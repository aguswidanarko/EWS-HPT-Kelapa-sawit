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agus.widanarko/Downloads/"/>
    </mc:Choice>
  </mc:AlternateContent>
  <xr:revisionPtr revIDLastSave="0" documentId="8_{1C8B5C22-7DCB-754E-BAFA-C5FC3DA15A89}" xr6:coauthVersionLast="47" xr6:coauthVersionMax="47" xr10:uidLastSave="{00000000-0000-0000-0000-000000000000}"/>
  <bookViews>
    <workbookView xWindow="0" yWindow="660" windowWidth="29400" windowHeight="18460" tabRatio="874" firstSheet="7" activeTab="14" xr2:uid="{00000000-000D-0000-FFFF-FFFF00000000}"/>
  </bookViews>
  <sheets>
    <sheet name="REKAP SNS UPDKS" sheetId="1" r:id="rId1"/>
    <sheet name="REKAP ESTATE UPDKS" sheetId="2" r:id="rId2"/>
    <sheet name="REKAP PENGENDALIAN HAMA UPDKS" sheetId="18" r:id="rId3"/>
    <sheet name="REKAP SNS TIKUS" sheetId="3" r:id="rId4"/>
    <sheet name="REKAP ESTATE TIKUS" sheetId="4" r:id="rId5"/>
    <sheet name="KUMBANG" sheetId="5" r:id="rId6"/>
    <sheet name="REKAP PENGENDALIAN TIKUS" sheetId="19" r:id="rId7"/>
    <sheet name="REKAP SNS KBH" sheetId="20" r:id="rId8"/>
    <sheet name="REKAP KBH" sheetId="21" r:id="rId9"/>
    <sheet name="SNSS ORYCTES" sheetId="17" r:id="rId10"/>
    <sheet name="REKAP ESTATE ORYCTES" sheetId="6" r:id="rId11"/>
    <sheet name="BENEFICIAL PLANT " sheetId="14" r:id="rId12"/>
    <sheet name="SNSS RAYAP" sheetId="22" r:id="rId13"/>
    <sheet name="SNS GANODERMA" sheetId="23" r:id="rId14"/>
    <sheet name="SENSUS KBH" sheetId="7" r:id="rId15"/>
    <sheet name="REALISASI BENEFICIAL PLANT" sheetId="24" r:id="rId16"/>
  </sheets>
  <externalReferences>
    <externalReference r:id="rId17"/>
    <externalReference r:id="rId18"/>
  </externalReferences>
  <definedNames>
    <definedName name="__________KEY2" hidden="1">#REF!</definedName>
    <definedName name="_________KEY2" hidden="1">#REF!</definedName>
    <definedName name="________KEY2" hidden="1">#REF!</definedName>
    <definedName name="_______hal01" hidden="1">#REF!</definedName>
    <definedName name="_______KEY2" hidden="1">#REF!</definedName>
    <definedName name="_______PTS03" hidden="1">#REF!</definedName>
    <definedName name="______KEY2" hidden="1">#REF!</definedName>
    <definedName name="______TR2007" hidden="1">{#N/A,#N/A,FALSE,"Aging Summary";#N/A,#N/A,FALSE,"Ratio Analysis";#N/A,#N/A,FALSE,"Test 120 Day Accts";#N/A,#N/A,FALSE,"Tickmarks"}</definedName>
    <definedName name="_____hal01" hidden="1">#REF!</definedName>
    <definedName name="_____KEY2" hidden="1">#REF!</definedName>
    <definedName name="_____PTS03" hidden="1">#REF!</definedName>
    <definedName name="_____TR2007" hidden="1">{#N/A,#N/A,FALSE,"Aging Summary";#N/A,#N/A,FALSE,"Ratio Analysis";#N/A,#N/A,FALSE,"Test 120 Day Accts";#N/A,#N/A,FALSE,"Tickmarks"}</definedName>
    <definedName name="____KEY2" hidden="1">#REF!</definedName>
    <definedName name="___hal01" hidden="1">#REF!</definedName>
    <definedName name="___KEY2" hidden="1">#REF!</definedName>
    <definedName name="___PTS03" hidden="1">#REF!</definedName>
    <definedName name="___TR2007" hidden="1">{#N/A,#N/A,FALSE,"Aging Summary";#N/A,#N/A,FALSE,"Ratio Analysis";#N/A,#N/A,FALSE,"Test 120 Day Accts";#N/A,#N/A,FALSE,"Tickmarks"}</definedName>
    <definedName name="__123Graph_A" hidden="1">#REF!</definedName>
    <definedName name="__123Graph_ACURAH" hidden="1">#REF!</definedName>
    <definedName name="__123Graph_AHARI" hidden="1">#REF!</definedName>
    <definedName name="__123Graph_AHH" hidden="1">#REF!</definedName>
    <definedName name="__123Graph_ASATU" hidden="1">#REF!</definedName>
    <definedName name="__123Graph_B" hidden="1">#REF!</definedName>
    <definedName name="__123Graph_BCURAH" hidden="1">#REF!</definedName>
    <definedName name="__123Graph_BHARI" hidden="1">#REF!</definedName>
    <definedName name="__123Graph_BSATU" hidden="1">#REF!</definedName>
    <definedName name="__123Graph_C" hidden="1">#REF!</definedName>
    <definedName name="__123Graph_CCURAH" hidden="1">#REF!</definedName>
    <definedName name="__123Graph_CHARI" hidden="1">#REF!</definedName>
    <definedName name="__123Graph_CSATU" hidden="1">#REF!</definedName>
    <definedName name="__123Graph_D" hidden="1">#REF!</definedName>
    <definedName name="__123Graph_DCURAH" hidden="1">#REF!</definedName>
    <definedName name="__123Graph_DHARI" hidden="1">#REF!</definedName>
    <definedName name="__123Graph_E" hidden="1">#REF!</definedName>
    <definedName name="__123Graph_ECURAH" hidden="1">#REF!</definedName>
    <definedName name="__123Graph_EHARI" hidden="1">#REF!</definedName>
    <definedName name="__123Graph_F" hidden="1">#REF!</definedName>
    <definedName name="__123Graph_X" hidden="1">#REF!</definedName>
    <definedName name="__123Graph_XCURAH" hidden="1">#REF!</definedName>
    <definedName name="__123Graph_XHARI" hidden="1">#REF!</definedName>
    <definedName name="__hal01" hidden="1">#REF!</definedName>
    <definedName name="__KEY2" hidden="1">#REF!</definedName>
    <definedName name="__PTS03" hidden="1">#REF!</definedName>
    <definedName name="__TR2007" hidden="1">{#N/A,#N/A,FALSE,"Aging Summary";#N/A,#N/A,FALSE,"Ratio Analysis";#N/A,#N/A,FALSE,"Test 120 Day Accts";#N/A,#N/A,FALSE,"Tickmarks"}</definedName>
    <definedName name="_1___123Graph_AGAE_2" hidden="1">#REF!</definedName>
    <definedName name="_1__123Graph_ACOMBIN_1" hidden="1">#REF!</definedName>
    <definedName name="_1__123Graph_AGAE_2" hidden="1">#REF!</definedName>
    <definedName name="_10__123Graph_CGAE_2" hidden="1">#REF!</definedName>
    <definedName name="_10__123Graph_EGAE_2" hidden="1">#REF!</definedName>
    <definedName name="_11__123Graph_DGAE_2" hidden="1">#REF!</definedName>
    <definedName name="_11__123Graph_FGAE_2" hidden="1">#REF!</definedName>
    <definedName name="_12__123Graph_EGAE_2" hidden="1">#REF!</definedName>
    <definedName name="_12__123Graph_XCOMBIN_1" hidden="1">#REF!</definedName>
    <definedName name="_13__123Graph_FGAE_2" hidden="1">#REF!</definedName>
    <definedName name="_13__123Graph_XCOMBINE_1" hidden="1">#REF!</definedName>
    <definedName name="_14__123Graph_XGAE_2" hidden="1">#REF!</definedName>
    <definedName name="_2___123Graph_BGAE_2" hidden="1">#REF!</definedName>
    <definedName name="_2__123Graph_ACOMBINE_1" hidden="1">#REF!</definedName>
    <definedName name="_2__123Graph_BGAE_2" hidden="1">#REF!</definedName>
    <definedName name="_3___123Graph_CGAE_2" hidden="1">#REF!</definedName>
    <definedName name="_3__123Graph_AGAE_2" hidden="1">#REF!</definedName>
    <definedName name="_3__123Graph_CGAE_2" hidden="1">#REF!</definedName>
    <definedName name="_4___123Graph_DGAE_2" hidden="1">#REF!</definedName>
    <definedName name="_4__123Graph_BCOMBIN_1" hidden="1">#REF!</definedName>
    <definedName name="_4__123Graph_DGAE_2" hidden="1">#REF!</definedName>
    <definedName name="_5___123Graph_EGAE_2" hidden="1">#REF!</definedName>
    <definedName name="_5__123Graph_BCOMBINE_1" hidden="1">#REF!</definedName>
    <definedName name="_5__123Graph_EGAE_2" hidden="1">#REF!</definedName>
    <definedName name="_6___123Graph_FGAE_2" hidden="1">#REF!</definedName>
    <definedName name="_6__123Graph_BGAE_2" hidden="1">#REF!</definedName>
    <definedName name="_6__123Graph_FGAE_2" hidden="1">#REF!</definedName>
    <definedName name="_7___123Graph_XGAE_2" hidden="1">#REF!</definedName>
    <definedName name="_7__123Graph_CCOMBIN_1" hidden="1">#REF!</definedName>
    <definedName name="_7__123Graph_XGAE_2" hidden="1">#REF!</definedName>
    <definedName name="_8__123Graph_AGAE_2" hidden="1">#REF!</definedName>
    <definedName name="_8__123Graph_CGAE_2" hidden="1">#REF!</definedName>
    <definedName name="_9__123Graph_BGAE_2" hidden="1">#REF!</definedName>
    <definedName name="_9__123Graph_DGAE_2" hidden="1">#REF!</definedName>
    <definedName name="_Dist_Bin" hidden="1">#REF!</definedName>
    <definedName name="_Dist_Values" hidden="1">#REF!</definedName>
    <definedName name="_Dist_Values." hidden="1">#REF!</definedName>
    <definedName name="_Fill" hidden="1">#REF!</definedName>
    <definedName name="_fill1" hidden="1">#REF!</definedName>
    <definedName name="_xlnm._FilterDatabase" localSheetId="5" hidden="1">KUMBANG!$A$7:$S$53</definedName>
    <definedName name="_xlnm._FilterDatabase" localSheetId="0" hidden="1">'REKAP SNS UPDKS'!$A$7:$R$429</definedName>
    <definedName name="_xlnm._FilterDatabase" localSheetId="14" hidden="1">'SENSUS KBH'!$A$9:$AV$433</definedName>
    <definedName name="_hal01" hidden="1">#REF!</definedName>
    <definedName name="_Key1" hidden="1">#REF!</definedName>
    <definedName name="_Key2" hidden="1">#REF!</definedName>
    <definedName name="_MatInverse_In" hidden="1">#REF!</definedName>
    <definedName name="_MatMult_A" hidden="1">#REF!</definedName>
    <definedName name="_Order1" hidden="1">255</definedName>
    <definedName name="_Order2" hidden="1">255</definedName>
    <definedName name="_PTS03" hidden="1">#REF!</definedName>
    <definedName name="_Regression_X" hidden="1">#REF!</definedName>
    <definedName name="_Sort" hidden="1">#REF!</definedName>
    <definedName name="_Table1_Out" hidden="1">#REF!</definedName>
    <definedName name="_TR2007" hidden="1">{#N/A,#N/A,FALSE,"Aging Summary";#N/A,#N/A,FALSE,"Ratio Analysis";#N/A,#N/A,FALSE,"Test 120 Day Accts";#N/A,#N/A,FALSE,"Tickmarks"}</definedName>
    <definedName name="_tros" hidden="1">#REF!</definedName>
    <definedName name="\0" localSheetId="8">#REF!</definedName>
    <definedName name="\0" localSheetId="2">#REF!</definedName>
    <definedName name="\0" localSheetId="6">#REF!</definedName>
    <definedName name="\0" localSheetId="13">#REF!</definedName>
    <definedName name="\0" localSheetId="9">#REF!</definedName>
    <definedName name="\0" localSheetId="12">#REF!</definedName>
    <definedName name="\0">#REF!</definedName>
    <definedName name="AA" hidden="1">#REF!</definedName>
    <definedName name="AAA" hidden="1">{#N/A,#N/A,FALSE,"Aging Summary";#N/A,#N/A,FALSE,"Ratio Analysis";#N/A,#N/A,FALSE,"Test 120 Day Accts";#N/A,#N/A,FALSE,"Tickmarks"}</definedName>
    <definedName name="aaaa" hidden="1">#REF!</definedName>
    <definedName name="aaaaa" hidden="1">{#N/A,#N/A,FALSE,"Aging Summary";#N/A,#N/A,FALSE,"Ratio Analysis";#N/A,#N/A,FALSE,"Test 120 Day Accts";#N/A,#N/A,FALSE,"Tickmarks"}</definedName>
    <definedName name="AAAAAA" hidden="1">{#N/A,#N/A,FALSE,"Aging Summary";#N/A,#N/A,FALSE,"Ratio Analysis";#N/A,#N/A,FALSE,"Test 120 Day Accts";#N/A,#N/A,FALSE,"Tickmarks"}</definedName>
    <definedName name="aaaaaaaaaaaaaaaaa" hidden="1">{#N/A,#N/A,FALSE,"Aging Summary";#N/A,#N/A,FALSE,"Ratio Analysis";#N/A,#N/A,FALSE,"Test 120 Day Accts";#N/A,#N/A,FALSE,"Tickmarks"}</definedName>
    <definedName name="aaaaaaaaaaaaaaaaaaaaa" hidden="1">{#N/A,#N/A,FALSE,"Aging Summary";#N/A,#N/A,FALSE,"Ratio Analysis";#N/A,#N/A,FALSE,"Test 120 Day Accts";#N/A,#N/A,FALSE,"Tickmarks"}</definedName>
    <definedName name="aaaaaaaaef" hidden="1">{#N/A,#N/A,FALSE,"Aging Summary";#N/A,#N/A,FALSE,"Ratio Analysis";#N/A,#N/A,FALSE,"Test 120 Day Accts";#N/A,#N/A,FALSE,"Tickmarks"}</definedName>
    <definedName name="aassss" hidden="1">#REF!</definedName>
    <definedName name="AB" hidden="1">#REF!</definedName>
    <definedName name="abc" hidden="1">#REF!</definedName>
    <definedName name="abs" hidden="1">#REF!</definedName>
    <definedName name="accc" hidden="1">{#N/A,#N/A,FALSE,"Aging Summary";#N/A,#N/A,FALSE,"Ratio Analysis";#N/A,#N/A,FALSE,"Test 120 Day Accts";#N/A,#N/A,FALSE,"Tickmarks"}</definedName>
    <definedName name="ada" hidden="1">#REF!</definedName>
    <definedName name="adasdasdasd" hidden="1">{#N/A,#N/A,FALSE,"Aging Summary";#N/A,#N/A,FALSE,"Ratio Analysis";#N/A,#N/A,FALSE,"Test 120 Day Accts";#N/A,#N/A,FALSE,"Tickmarks"}</definedName>
    <definedName name="adi" hidden="1">#REF!</definedName>
    <definedName name="ADSA" hidden="1">#REF!</definedName>
    <definedName name="aeffsiensi" hidden="1">{#N/A,#N/A,FALSE,"Aging Summary";#N/A,#N/A,FALSE,"Ratio Analysis";#N/A,#N/A,FALSE,"Test 120 Day Accts";#N/A,#N/A,FALSE,"Tickmarks"}</definedName>
    <definedName name="AFKIRIIII" hidden="1">{#N/A,#N/A,FALSE,"Thn-0"}</definedName>
    <definedName name="ag" hidden="1">#REF!</definedName>
    <definedName name="agag" hidden="1">{#N/A,#N/A,FALSE,"Thn-0"}</definedName>
    <definedName name="AN" hidden="1">{#N/A,#N/A,FALSE,"Aging Summary";#N/A,#N/A,FALSE,"Ratio Analysis";#N/A,#N/A,FALSE,"Test 120 Day Accts";#N/A,#N/A,FALSE,"Tickmarks"}</definedName>
    <definedName name="ANCAK" hidden="1">#REF!</definedName>
    <definedName name="ANH" hidden="1">{#N/A,#N/A,FALSE,"Aging Summary";#N/A,#N/A,FALSE,"Ratio Analysis";#N/A,#N/A,FALSE,"Test 120 Day Accts";#N/A,#N/A,FALSE,"Tickmarks"}</definedName>
    <definedName name="Anh._.Snapshot" hidden="1">{#N/A,#N/A,FALSE,"Aging Summary";#N/A,#N/A,FALSE,"Ratio Analysis";#N/A,#N/A,FALSE,"Test 120 Day Accts";#N/A,#N/A,FALSE,"Tickmarks"}</definedName>
    <definedName name="anscount" hidden="1">2</definedName>
    <definedName name="AREST" hidden="1">#REF!</definedName>
    <definedName name="AS2DocOpenMode" hidden="1">"AS2DocumentEdit"</definedName>
    <definedName name="asad" hidden="1">{#N/A,#N/A,FALSE,"Aging Summary";#N/A,#N/A,FALSE,"Ratio Analysis";#N/A,#N/A,FALSE,"Test 120 Day Accts";#N/A,#N/A,FALSE,"Tickmarks"}</definedName>
    <definedName name="asahd" hidden="1">#REF!</definedName>
    <definedName name="asas" hidden="1">#REF!</definedName>
    <definedName name="asddddddddd" hidden="1">{#N/A,#N/A,FALSE,"Aging Summary";#N/A,#N/A,FALSE,"Ratio Analysis";#N/A,#N/A,FALSE,"Test 120 Day Accts";#N/A,#N/A,FALSE,"Tickmarks"}</definedName>
    <definedName name="asddffgghb" hidden="1">{#N/A,#N/A,FALSE,"Aging Summary";#N/A,#N/A,FALSE,"Ratio Analysis";#N/A,#N/A,FALSE,"Test 120 Day Accts";#N/A,#N/A,FALSE,"Tickmarks"}</definedName>
    <definedName name="asdf" hidden="1">{#N/A,#N/A,FALSE,"Aging Summary";#N/A,#N/A,FALSE,"Ratio Analysis";#N/A,#N/A,FALSE,"Test 120 Day Accts";#N/A,#N/A,FALSE,"Tickmarks"}</definedName>
    <definedName name="asdfccccccccc" hidden="1">{#N/A,#N/A,FALSE,"Aging Summary";#N/A,#N/A,FALSE,"Ratio Analysis";#N/A,#N/A,FALSE,"Test 120 Day Accts";#N/A,#N/A,FALSE,"Tickmarks"}</definedName>
    <definedName name="asdfffffffffg" hidden="1">{#N/A,#N/A,FALSE,"Aging Summary";#N/A,#N/A,FALSE,"Ratio Analysis";#N/A,#N/A,FALSE,"Test 120 Day Accts";#N/A,#N/A,FALSE,"Tickmarks"}</definedName>
    <definedName name="asdfg" hidden="1">{#N/A,#N/A,FALSE,"Aging Summary";#N/A,#N/A,FALSE,"Ratio Analysis";#N/A,#N/A,FALSE,"Test 120 Day Accts";#N/A,#N/A,FALSE,"Tickmarks"}</definedName>
    <definedName name="asdfggggggggg" hidden="1">{#N/A,#N/A,FALSE,"Aging Summary";#N/A,#N/A,FALSE,"Ratio Analysis";#N/A,#N/A,FALSE,"Test 120 Day Accts";#N/A,#N/A,FALSE,"Tickmarks"}</definedName>
    <definedName name="asdfghk" hidden="1">{#N/A,#N/A,FALSE,"Aging Summary";#N/A,#N/A,FALSE,"Ratio Analysis";#N/A,#N/A,FALSE,"Test 120 Day Accts";#N/A,#N/A,FALSE,"Tickmarks"}</definedName>
    <definedName name="asdfgv" hidden="1">{#N/A,#N/A,FALSE,"Aging Summary";#N/A,#N/A,FALSE,"Ratio Analysis";#N/A,#N/A,FALSE,"Test 120 Day Accts";#N/A,#N/A,FALSE,"Tickmarks"}</definedName>
    <definedName name="asdfv" hidden="1">{#N/A,#N/A,FALSE,"Aging Summary";#N/A,#N/A,FALSE,"Ratio Analysis";#N/A,#N/A,FALSE,"Test 120 Day Accts";#N/A,#N/A,FALSE,"Tickmarks"}</definedName>
    <definedName name="asdrt" hidden="1">{#N/A,#N/A,FALSE,"Aging Summary";#N/A,#N/A,FALSE,"Ratio Analysis";#N/A,#N/A,FALSE,"Test 120 Day Accts";#N/A,#N/A,FALSE,"Tickmarks"}</definedName>
    <definedName name="ASI" hidden="1">#REF!</definedName>
    <definedName name="asl" hidden="1">#REF!</definedName>
    <definedName name="ASSASS" hidden="1">#REF!</definedName>
    <definedName name="assssssssssssssssss" hidden="1">{#N/A,#N/A,FALSE,"Aging Summary";#N/A,#N/A,FALSE,"Ratio Analysis";#N/A,#N/A,FALSE,"Test 120 Day Accts";#N/A,#N/A,FALSE,"Tickmarks"}</definedName>
    <definedName name="asszx" hidden="1">{#N/A,#N/A,FALSE,"Aging Summary";#N/A,#N/A,FALSE,"Ratio Analysis";#N/A,#N/A,FALSE,"Test 120 Day Accts";#N/A,#N/A,FALSE,"Tickmarks"}</definedName>
    <definedName name="ASW" hidden="1">#REF!</definedName>
    <definedName name="aszxcv" hidden="1">{#N/A,#N/A,FALSE,"Aging Summary";#N/A,#N/A,FALSE,"Ratio Analysis";#N/A,#N/A,FALSE,"Test 120 Day Accts";#N/A,#N/A,FALSE,"Tickmarks"}</definedName>
    <definedName name="auo" hidden="1">{#N/A,#N/A,FALSE,"Aging Summary";#N/A,#N/A,FALSE,"Ratio Analysis";#N/A,#N/A,FALSE,"Test 120 Day Accts";#N/A,#N/A,FALSE,"Tickmarks"}</definedName>
    <definedName name="bab" hidden="1">#REF!</definedName>
    <definedName name="BBBB" hidden="1">{#N/A,#N/A,FALSE,"Aging Summary";#N/A,#N/A,FALSE,"Ratio Analysis";#N/A,#N/A,FALSE,"Test 120 Day Accts";#N/A,#N/A,FALSE,"Tickmarks"}</definedName>
    <definedName name="bbbbbbbbbbbbbbbbbbbb" hidden="1">{#N/A,#N/A,FALSE,"Aging Summary";#N/A,#N/A,FALSE,"Ratio Analysis";#N/A,#N/A,FALSE,"Test 120 Day Accts";#N/A,#N/A,FALSE,"Tickmarks"}</definedName>
    <definedName name="bbbbbbbbbbbbvc" hidden="1">{#N/A,#N/A,FALSE,"Aging Summary";#N/A,#N/A,FALSE,"Ratio Analysis";#N/A,#N/A,FALSE,"Test 120 Day Accts";#N/A,#N/A,FALSE,"Tickmarks"}</definedName>
    <definedName name="bbm" hidden="1">#REF!</definedName>
    <definedName name="bjkcskj" hidden="1">#REF!</definedName>
    <definedName name="BLA" hidden="1">{#N/A,#N/A,FALSE,"Aging Summary";#N/A,#N/A,FALSE,"Ratio Analysis";#N/A,#N/A,FALSE,"Test 120 Day Accts";#N/A,#N/A,FALSE,"Tickmarks"}</definedName>
    <definedName name="BLU" hidden="1">{#N/A,#N/A,FALSE,"Aging Summary";#N/A,#N/A,FALSE,"Ratio Analysis";#N/A,#N/A,FALSE,"Test 120 Day Accts";#N/A,#N/A,FALSE,"Tickmarks"}</definedName>
    <definedName name="BNE" hidden="1">#REF!</definedName>
    <definedName name="bnmjk" hidden="1">{#N/A,#N/A,FALSE,"Aging Summary";#N/A,#N/A,FALSE,"Ratio Analysis";#N/A,#N/A,FALSE,"Test 120 Day Accts";#N/A,#N/A,FALSE,"Tickmarks"}</definedName>
    <definedName name="book" hidden="1">{#N/A,#N/A,FALSE,"Aging Summary";#N/A,#N/A,FALSE,"Ratio Analysis";#N/A,#N/A,FALSE,"Test 120 Day Accts";#N/A,#N/A,FALSE,"Tickmarks"}</definedName>
    <definedName name="BOX" hidden="1">#REF!</definedName>
    <definedName name="bulanan" hidden="1">#REF!</definedName>
    <definedName name="capec" hidden="1">#REF!</definedName>
    <definedName name="capex2" hidden="1">#REF!</definedName>
    <definedName name="ccccccccccccccccc" hidden="1">{#N/A,#N/A,FALSE,"Aging Summary";#N/A,#N/A,FALSE,"Ratio Analysis";#N/A,#N/A,FALSE,"Test 120 Day Accts";#N/A,#N/A,FALSE,"Tickmarks"}</definedName>
    <definedName name="cccccccccccccccccc" hidden="1">{#N/A,#N/A,FALSE,"Aging Summary";#N/A,#N/A,FALSE,"Ratio Analysis";#N/A,#N/A,FALSE,"Test 120 Day Accts";#N/A,#N/A,FALSE,"Tickmarks"}</definedName>
    <definedName name="ccccccccccccccccccccccccc" hidden="1">{#N/A,#N/A,FALSE,"Aging Summary";#N/A,#N/A,FALSE,"Ratio Analysis";#N/A,#N/A,FALSE,"Test 120 Day Accts";#N/A,#N/A,FALSE,"Tickmarks"}</definedName>
    <definedName name="ccccccccccccccccccccccccccc" hidden="1">{#N/A,#N/A,FALSE,"Aging Summary";#N/A,#N/A,FALSE,"Ratio Analysis";#N/A,#N/A,FALSE,"Test 120 Day Accts";#N/A,#N/A,FALSE,"Tickmarks"}</definedName>
    <definedName name="cccccccccccccccccccccccccccc" hidden="1">{#N/A,#N/A,FALSE,"Aging Summary";#N/A,#N/A,FALSE,"Ratio Analysis";#N/A,#N/A,FALSE,"Test 120 Day Accts";#N/A,#N/A,FALSE,"Tickmarks"}</definedName>
    <definedName name="cfvgbhhhhhhhh" hidden="1">{#N/A,#N/A,FALSE,"Aging Summary";#N/A,#N/A,FALSE,"Ratio Analysis";#N/A,#N/A,FALSE,"Test 120 Day Accts";#N/A,#N/A,FALSE,"Tickmarks"}</definedName>
    <definedName name="CH" hidden="1">#REF!</definedName>
    <definedName name="CIPHSJ" hidden="1">#REF!</definedName>
    <definedName name="Code" hidden="1">#REF!</definedName>
    <definedName name="compactor" hidden="1">{#N/A,#N/A,FALSE,"Aging Summary";#N/A,#N/A,FALSE,"Ratio Analysis";#N/A,#N/A,FALSE,"Test 120 Day Accts";#N/A,#N/A,FALSE,"Tickmarks"}</definedName>
    <definedName name="copactor" hidden="1">{#N/A,#N/A,FALSE,"Aging Summary";#N/A,#N/A,FALSE,"Ratio Analysis";#N/A,#N/A,FALSE,"Test 120 Day Accts";#N/A,#N/A,FALSE,"Tickmarks"}</definedName>
    <definedName name="COV" hidden="1">#REF!</definedName>
    <definedName name="cover" hidden="1">#REF!</definedName>
    <definedName name="COVER1" hidden="1">{#N/A,#N/A,FALSE,"Aging Summary";#N/A,#N/A,FALSE,"Ratio Analysis";#N/A,#N/A,FALSE,"Test 120 Day Accts";#N/A,#N/A,FALSE,"Tickmarks"}</definedName>
    <definedName name="Covered" hidden="1">#REF!</definedName>
    <definedName name="cs" hidden="1">{#N/A,#N/A,FALSE,"Sheet1";#N/A,#N/A,FALSE,"Sheet2";#N/A,#N/A,FALSE,"Sheet3";#N/A,#N/A,FALSE,"Sheet4";#N/A,#N/A,FALSE,"Sheet5";#N/A,#N/A,FALSE,"Sheet6";#N/A,#N/A,FALSE,"Sheet7 ";#N/A,#N/A,FALSE,"Sheet8"}</definedName>
    <definedName name="cvvvvvvvvvvvvvvvvvvvvvvvv" hidden="1">{#N/A,#N/A,FALSE,"Aging Summary";#N/A,#N/A,FALSE,"Ratio Analysis";#N/A,#N/A,FALSE,"Test 120 Day Accts";#N/A,#N/A,FALSE,"Tickmarks"}</definedName>
    <definedName name="d" hidden="1">#REF!</definedName>
    <definedName name="DA" hidden="1">#N/A</definedName>
    <definedName name="darma" hidden="1">#REF!</definedName>
    <definedName name="DAT" hidden="1">{#N/A,#N/A,FALSE,"Aging Summary";#N/A,#N/A,FALSE,"Ratio Analysis";#N/A,#N/A,FALSE,"Test 120 Day Accts";#N/A,#N/A,FALSE,"Tickmarks"}</definedName>
    <definedName name="data1" hidden="1">#REF!</definedName>
    <definedName name="data2" hidden="1">#REF!</definedName>
    <definedName name="data3" hidden="1">#REF!</definedName>
    <definedName name="DATARUMAH" hidden="1">{#N/A,#N/A,FALSE,"Aging Summary";#N/A,#N/A,FALSE,"Ratio Analysis";#N/A,#N/A,FALSE,"Test 120 Day Accts";#N/A,#N/A,FALSE,"Tickmarks"}</definedName>
    <definedName name="dddd" hidden="1">{#N/A,#N/A,FALSE,"Aging Summary";#N/A,#N/A,FALSE,"Ratio Analysis";#N/A,#N/A,FALSE,"Test 120 Day Accts";#N/A,#N/A,FALSE,"Tickmarks"}</definedName>
    <definedName name="ddddddddddddddddddd" hidden="1">{#N/A,#N/A,FALSE,"Aging Summary";#N/A,#N/A,FALSE,"Ratio Analysis";#N/A,#N/A,FALSE,"Test 120 Day Accts";#N/A,#N/A,FALSE,"Tickmarks"}</definedName>
    <definedName name="dfdf" hidden="1">#REF!</definedName>
    <definedName name="dfdsf" hidden="1">{#N/A,#N/A,FALSE,"Aging Summary";#N/A,#N/A,FALSE,"Ratio Analysis";#N/A,#N/A,FALSE,"Test 120 Day Accts";#N/A,#N/A,FALSE,"Tickmarks"}</definedName>
    <definedName name="dffffffffffffffffffffff" hidden="1">{#N/A,#N/A,FALSE,"Aging Summary";#N/A,#N/A,FALSE,"Ratio Analysis";#N/A,#N/A,FALSE,"Test 120 Day Accts";#N/A,#N/A,FALSE,"Tickmarks"}</definedName>
    <definedName name="dffhj" hidden="1">{#N/A,#N/A,FALSE,"Aging Summary";#N/A,#N/A,FALSE,"Ratio Analysis";#N/A,#N/A,FALSE,"Test 120 Day Accts";#N/A,#N/A,FALSE,"Tickmarks"}</definedName>
    <definedName name="dfgbnvvvvv" hidden="1">{#N/A,#N/A,FALSE,"Aging Summary";#N/A,#N/A,FALSE,"Ratio Analysis";#N/A,#N/A,FALSE,"Test 120 Day Accts";#N/A,#N/A,FALSE,"Tickmarks"}</definedName>
    <definedName name="dfghhhhhhhhh" hidden="1">{#N/A,#N/A,FALSE,"Aging Summary";#N/A,#N/A,FALSE,"Ratio Analysis";#N/A,#N/A,FALSE,"Test 120 Day Accts";#N/A,#N/A,FALSE,"Tickmarks"}</definedName>
    <definedName name="dfgkjl" hidden="1">{#N/A,#N/A,FALSE,"Aging Summary";#N/A,#N/A,FALSE,"Ratio Analysis";#N/A,#N/A,FALSE,"Test 120 Day Accts";#N/A,#N/A,FALSE,"Tickmarks"}</definedName>
    <definedName name="Discount" hidden="1">#REF!</definedName>
    <definedName name="display_area_2" hidden="1">#REF!</definedName>
    <definedName name="DO" hidden="1">#REF!</definedName>
    <definedName name="dONA" hidden="1">#REF!</definedName>
    <definedName name="dsa" hidden="1">#REF!</definedName>
    <definedName name="DSDDWD" hidden="1">{#N/A,#N/A,FALSE,"Aging Summary";#N/A,#N/A,FALSE,"Ratio Analysis";#N/A,#N/A,FALSE,"Test 120 Day Accts";#N/A,#N/A,FALSE,"Tickmarks"}</definedName>
    <definedName name="emm" hidden="1">{#N/A,#N/A,FALSE,"Aging Summary";#N/A,#N/A,FALSE,"Ratio Analysis";#N/A,#N/A,FALSE,"Test 120 Day Accts";#N/A,#N/A,FALSE,"Tickmarks"}</definedName>
    <definedName name="ertyukj" hidden="1">{#N/A,#N/A,FALSE,"Aging Summary";#N/A,#N/A,FALSE,"Ratio Analysis";#N/A,#N/A,FALSE,"Test 120 Day Accts";#N/A,#N/A,FALSE,"Tickmarks"}</definedName>
    <definedName name="et" hidden="1">#REF!</definedName>
    <definedName name="EWQ" hidden="1">#REF!</definedName>
    <definedName name="F.Dody" hidden="1">#REF!</definedName>
    <definedName name="FASFASFA" hidden="1">#REF!</definedName>
    <definedName name="FCode" hidden="1">#REF!</definedName>
    <definedName name="fdg" hidden="1">{#N/A,#N/A,FALSE,"Aging Summary";#N/A,#N/A,FALSE,"Ratio Analysis";#N/A,#N/A,FALSE,"Test 120 Day Accts";#N/A,#N/A,FALSE,"Tickmarks"}</definedName>
    <definedName name="febr" hidden="1">{#N/A,#N/A,FALSE,"Aging Summary";#N/A,#N/A,FALSE,"Ratio Analysis";#N/A,#N/A,FALSE,"Test 120 Day Accts";#N/A,#N/A,FALSE,"Tickmarks"}</definedName>
    <definedName name="february" hidden="1">{#N/A,#N/A,FALSE,"Aging Summary";#N/A,#N/A,FALSE,"Ratio Analysis";#N/A,#N/A,FALSE,"Test 120 Day Accts";#N/A,#N/A,FALSE,"Tickmarks"}</definedName>
    <definedName name="fffffffffffffffff" hidden="1">{#N/A,#N/A,FALSE,"Aging Summary";#N/A,#N/A,FALSE,"Ratio Analysis";#N/A,#N/A,FALSE,"Test 120 Day Accts";#N/A,#N/A,FALSE,"Tickmarks"}</definedName>
    <definedName name="ffffffffffffffffffffff" hidden="1">{#N/A,#N/A,FALSE,"Aging Summary";#N/A,#N/A,FALSE,"Ratio Analysis";#N/A,#N/A,FALSE,"Test 120 Day Accts";#N/A,#N/A,FALSE,"Tickmarks"}</definedName>
    <definedName name="FFV" hidden="1">{#N/A,#N/A,FALSE,"Aging Summary";#N/A,#N/A,FALSE,"Ratio Analysis";#N/A,#N/A,FALSE,"Test 120 Day Accts";#N/A,#N/A,FALSE,"Tickmarks"}</definedName>
    <definedName name="FG" hidden="1">{#N/A,#N/A,FALSE,"Sheet1";#N/A,#N/A,FALSE,"Sheet2";#N/A,#N/A,FALSE,"Sheet3";#N/A,#N/A,FALSE,"Sheet4";#N/A,#N/A,FALSE,"Sheet5";#N/A,#N/A,FALSE,"Sheet6";#N/A,#N/A,FALSE,"Sheet7 ";#N/A,#N/A,FALSE,"Sheet8"}</definedName>
    <definedName name="fghjkl" hidden="1">{#N/A,#N/A,FALSE,"Aging Summary";#N/A,#N/A,FALSE,"Ratio Analysis";#N/A,#N/A,FALSE,"Test 120 Day Accts";#N/A,#N/A,FALSE,"Tickmarks"}</definedName>
    <definedName name="fill" hidden="1">#REF!</definedName>
    <definedName name="FO" hidden="1">#REF!</definedName>
    <definedName name="format" hidden="1">#REF!</definedName>
    <definedName name="FVGG" hidden="1">{#N/A,#N/A,FALSE,"Thn-0"}</definedName>
    <definedName name="GGG" hidden="1">#REF!</definedName>
    <definedName name="GGGG" hidden="1">#REF!</definedName>
    <definedName name="gggggggggg" hidden="1">{#N/A,#N/A,FALSE,"Aging Summary";#N/A,#N/A,FALSE,"Ratio Analysis";#N/A,#N/A,FALSE,"Test 120 Day Accts";#N/A,#N/A,FALSE,"Tickmarks"}</definedName>
    <definedName name="ggggggggggggg" hidden="1">{#N/A,#N/A,FALSE,"Aging Summary";#N/A,#N/A,FALSE,"Ratio Analysis";#N/A,#N/A,FALSE,"Test 120 Day Accts";#N/A,#N/A,FALSE,"Tickmarks"}</definedName>
    <definedName name="gggggggggggggggggg" hidden="1">{#N/A,#N/A,FALSE,"Aging Summary";#N/A,#N/A,FALSE,"Ratio Analysis";#N/A,#N/A,FALSE,"Test 120 Day Accts";#N/A,#N/A,FALSE,"Tickmarks"}</definedName>
    <definedName name="ggggggggggggggggggggg" hidden="1">{#N/A,#N/A,FALSE,"Aging Summary";#N/A,#N/A,FALSE,"Ratio Analysis";#N/A,#N/A,FALSE,"Test 120 Day Accts";#N/A,#N/A,FALSE,"Tickmarks"}</definedName>
    <definedName name="gggggggggggggggggggggg" hidden="1">{#N/A,#N/A,FALSE,"Aging Summary";#N/A,#N/A,FALSE,"Ratio Analysis";#N/A,#N/A,FALSE,"Test 120 Day Accts";#N/A,#N/A,FALSE,"Tickmarks"}</definedName>
    <definedName name="ghjkllllll" hidden="1">{#N/A,#N/A,FALSE,"Aging Summary";#N/A,#N/A,FALSE,"Ratio Analysis";#N/A,#N/A,FALSE,"Test 120 Day Accts";#N/A,#N/A,FALSE,"Tickmarks"}</definedName>
    <definedName name="group" hidden="1">#REF!</definedName>
    <definedName name="grt" hidden="1">{#N/A,#N/A,FALSE,"Aging Summary";#N/A,#N/A,FALSE,"Ratio Analysis";#N/A,#N/A,FALSE,"Test 120 Day Accts";#N/A,#N/A,FALSE,"Tickmarks"}</definedName>
    <definedName name="gwa" hidden="1">#REF!</definedName>
    <definedName name="gwg" hidden="1">#REF!</definedName>
    <definedName name="Hal.3.1" hidden="1">#REF!</definedName>
    <definedName name="hananan" hidden="1">#REF!</definedName>
    <definedName name="HBBKHKHBK" hidden="1">{#N/A,#N/A,FALSE,"Aging Summary";#N/A,#N/A,FALSE,"Ratio Analysis";#N/A,#N/A,FALSE,"Test 120 Day Accts";#N/A,#N/A,FALSE,"Tickmarks"}</definedName>
    <definedName name="hgfd" hidden="1">{#N/A,#N/A,FALSE,"Aging Summary";#N/A,#N/A,FALSE,"Ratio Analysis";#N/A,#N/A,FALSE,"Test 120 Day Accts";#N/A,#N/A,FALSE,"Tickmarks"}</definedName>
    <definedName name="hhhhhhhhhhhhhhhhh" hidden="1">{#N/A,#N/A,FALSE,"Aging Summary";#N/A,#N/A,FALSE,"Ratio Analysis";#N/A,#N/A,FALSE,"Test 120 Day Accts";#N/A,#N/A,FALSE,"Tickmarks"}</definedName>
    <definedName name="hhhhhhhhhhhhhhhhhhhhhhhhhhhh" hidden="1">{#N/A,#N/A,FALSE,"Aging Summary";#N/A,#N/A,FALSE,"Ratio Analysis";#N/A,#N/A,FALSE,"Test 120 Day Accts";#N/A,#N/A,FALSE,"Tickmarks"}</definedName>
    <definedName name="HiddenRows" hidden="1">#REF!</definedName>
    <definedName name="hju" hidden="1">#REF!</definedName>
    <definedName name="HR" hidden="1">#N/A</definedName>
    <definedName name="HTML_CodePage" hidden="1">1252</definedName>
    <definedName name="HTML_Control" hidden="1">{"'Sheet5'!$A$1:$S$8","'Sheet5'!$A$7:$S$62"}</definedName>
    <definedName name="HTML_Description" hidden="1">""</definedName>
    <definedName name="HTML_Email" hidden="1">""</definedName>
    <definedName name="HTML_Header" hidden="1">"Sheet5"</definedName>
    <definedName name="HTML_LastUpdate" hidden="1">"9/22/99"</definedName>
    <definedName name="HTML_LineAfter" hidden="1">FALSE</definedName>
    <definedName name="HTML_LineBefore" hidden="1">FALSE</definedName>
    <definedName name="HTML_Name" hidden="1">"Microsoft Windows '98"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"C:\My Documents\sap98\index.htm"</definedName>
    <definedName name="HTML_Title" hidden="1">"New Microsoft Excel Worksheet"</definedName>
    <definedName name="II.3" hidden="1">{#N/A,#N/A,FALSE,"Aging Summary";#N/A,#N/A,FALSE,"Ratio Analysis";#N/A,#N/A,FALSE,"Test 120 Day Accts";#N/A,#N/A,FALSE,"Tickmarks"}</definedName>
    <definedName name="irsyam" hidden="1">#N/A</definedName>
    <definedName name="IUSI" hidden="1">#N/A</definedName>
    <definedName name="jadwal" hidden="1">"C:\BGTEDP\Bgt99\dtlunt199"</definedName>
    <definedName name="jantung" hidden="1">#REF!</definedName>
    <definedName name="JE" hidden="1">#REF!</definedName>
    <definedName name="jhg" hidden="1">{#N/A,#N/A,FALSE,"Aging Summary";#N/A,#N/A,FALSE,"Ratio Analysis";#N/A,#N/A,FALSE,"Test 120 Day Accts";#N/A,#N/A,FALSE,"Tickmarks"}</definedName>
    <definedName name="jjjjjjjjjjjjjjjjjjjjjjjjjjjjjjj" hidden="1">{#N/A,#N/A,FALSE,"Aging Summary";#N/A,#N/A,FALSE,"Ratio Analysis";#N/A,#N/A,FALSE,"Test 120 Day Accts";#N/A,#N/A,FALSE,"Tickmarks"}</definedName>
    <definedName name="Jun" hidden="1">#REF!</definedName>
    <definedName name="kal" hidden="1">#REF!</definedName>
    <definedName name="kap" hidden="1">#REF!</definedName>
    <definedName name="kapital" hidden="1">#REF!</definedName>
    <definedName name="KBL" hidden="1">{#N/A,#N/A,FALSE,"Aging Summary";#N/A,#N/A,FALSE,"Ratio Analysis";#N/A,#N/A,FALSE,"Test 120 Day Accts";#N/A,#N/A,FALSE,"Tickmarks"}</definedName>
    <definedName name="KBN" hidden="1">#REF!</definedName>
    <definedName name="KBT" hidden="1">{#N/A,#N/A,FALSE,"Aging Summary";#N/A,#N/A,FALSE,"Ratio Analysis";#N/A,#N/A,FALSE,"Test 120 Day Accts";#N/A,#N/A,FALSE,"Tickmarks"}</definedName>
    <definedName name="KDP_1" hidden="1">#REF!</definedName>
    <definedName name="KGD" hidden="1">{#N/A,#N/A,FALSE,"Aging Summary";#N/A,#N/A,FALSE,"Ratio Analysis";#N/A,#N/A,FALSE,"Test 120 Day Accts";#N/A,#N/A,FALSE,"Tickmarks"}</definedName>
    <definedName name="khml" hidden="1">{#N/A,#N/A,FALSE,"Sheet1";#N/A,#N/A,FALSE,"Sheet2";#N/A,#N/A,FALSE,"Sheet3";#N/A,#N/A,FALSE,"Sheet4";#N/A,#N/A,FALSE,"Sheet5";#N/A,#N/A,FALSE,"Sheet6";#N/A,#N/A,FALSE,"Sheet7 ";#N/A,#N/A,FALSE,"Sheet8"}</definedName>
    <definedName name="kjl" hidden="1">#REF!</definedName>
    <definedName name="kjmh" hidden="1">{#N/A,#N/A,FALSE,"Sheet1";#N/A,#N/A,FALSE,"Sheet2";#N/A,#N/A,FALSE,"Sheet3";#N/A,#N/A,FALSE,"Sheet4";#N/A,#N/A,FALSE,"Sheet5";#N/A,#N/A,FALSE,"Sheet6";#N/A,#N/A,FALSE,"Sheet7 ";#N/A,#N/A,FALSE,"Sheet8"}</definedName>
    <definedName name="KKC" hidden="1">{#N/A,#N/A,FALSE,"Thn-0"}</definedName>
    <definedName name="KKKK" hidden="1">{#N/A,#N/A,FALSE,"Aging Summary";#N/A,#N/A,FALSE,"Ratio Analysis";#N/A,#N/A,FALSE,"Test 120 Day Accts";#N/A,#N/A,FALSE,"Tickmarks"}</definedName>
    <definedName name="kl" hidden="1">{#N/A,#N/A,FALSE,"Aging Summary";#N/A,#N/A,FALSE,"Ratio Analysis";#N/A,#N/A,FALSE,"Test 120 Day Accts";#N/A,#N/A,FALSE,"Tickmarks"}</definedName>
    <definedName name="KLA" hidden="1">#REF!</definedName>
    <definedName name="KLL" hidden="1">{#N/A,#N/A,FALSE,"Aging Summary";#N/A,#N/A,FALSE,"Ratio Analysis";#N/A,#N/A,FALSE,"Test 120 Day Accts";#N/A,#N/A,FALSE,"Tickmarks"}</definedName>
    <definedName name="KMP" hidden="1">{#N/A,#N/A,FALSE,"Aging Summary";#N/A,#N/A,FALSE,"Ratio Analysis";#N/A,#N/A,FALSE,"Test 120 Day Accts";#N/A,#N/A,FALSE,"Tickmarks"}</definedName>
    <definedName name="KPN" hidden="1">#REF!</definedName>
    <definedName name="KPR" hidden="1">{#N/A,#N/A,FALSE,"Aging Summary";#N/A,#N/A,FALSE,"Ratio Analysis";#N/A,#N/A,FALSE,"Test 120 Day Accts";#N/A,#N/A,FALSE,"Tickmarks"}</definedName>
    <definedName name="KRB" hidden="1">#REF!</definedName>
    <definedName name="KSG" hidden="1">{#N/A,#N/A,FALSE,"Aging Summary";#N/A,#N/A,FALSE,"Ratio Analysis";#N/A,#N/A,FALSE,"Test 120 Day Accts";#N/A,#N/A,FALSE,"Tickmarks"}</definedName>
    <definedName name="KTU" hidden="1">{#N/A,#N/A,FALSE,"Aging Summary";#N/A,#N/A,FALSE,"Ratio Analysis";#N/A,#N/A,FALSE,"Test 120 Day Accts";#N/A,#N/A,FALSE,"Tickmarks"}</definedName>
    <definedName name="KUK" hidden="1">{#N/A,#N/A,FALSE,"Aging Summary";#N/A,#N/A,FALSE,"Ratio Analysis";#N/A,#N/A,FALSE,"Test 120 Day Accts";#N/A,#N/A,FALSE,"Tickmarks"}</definedName>
    <definedName name="la" hidden="1">{#N/A,#N/A,FALSE,"Aging Summary";#N/A,#N/A,FALSE,"Ratio Analysis";#N/A,#N/A,FALSE,"Test 120 Day Accts";#N/A,#N/A,FALSE,"Tickmarks"}</definedName>
    <definedName name="LABEL" hidden="1">#REF!</definedName>
    <definedName name="LAMP" hidden="1">#REF!</definedName>
    <definedName name="lc" hidden="1">#REF!</definedName>
    <definedName name="LEGAL" hidden="1">{#N/A,#N/A,FALSE,"Aging Summary";#N/A,#N/A,FALSE,"Ratio Analysis";#N/A,#N/A,FALSE,"Test 120 Day Accts";#N/A,#N/A,FALSE,"Tickmarks"}</definedName>
    <definedName name="LembuBTL" hidden="1">{#N/A,#N/A,FALSE,"Aging Summary";#N/A,#N/A,FALSE,"Ratio Analysis";#N/A,#N/A,FALSE,"Test 120 Day Accts";#N/A,#N/A,FALSE,"Tickmarks"}</definedName>
    <definedName name="les" hidden="1">#REF!</definedName>
    <definedName name="lg" hidden="1">{#N/A,#N/A,FALSE,"Aging Summary";#N/A,#N/A,FALSE,"Ratio Analysis";#N/A,#N/A,FALSE,"Test 120 Day Accts";#N/A,#N/A,FALSE,"Tickmarks"}</definedName>
    <definedName name="LIA" hidden="1">#REF!</definedName>
    <definedName name="LLL" hidden="1">#REF!</definedName>
    <definedName name="LLLLL" hidden="1">#REF!</definedName>
    <definedName name="Lokal" hidden="1">#REF!</definedName>
    <definedName name="loss" hidden="1">#REF!</definedName>
    <definedName name="M.REPORT" hidden="1">#REF!</definedName>
    <definedName name="mAIN" hidden="1">#REF!</definedName>
    <definedName name="march" hidden="1">{#N/A,#N/A,FALSE,"Aging Summary";#N/A,#N/A,FALSE,"Ratio Analysis";#N/A,#N/A,FALSE,"Test 120 Day Accts";#N/A,#N/A,FALSE,"Tickmarks"}</definedName>
    <definedName name="Maret" hidden="1">#REF!</definedName>
    <definedName name="MATMULT_A" hidden="1">#REF!</definedName>
    <definedName name="MGR" hidden="1">#REF!</definedName>
    <definedName name="mmm" hidden="1">#REF!</definedName>
    <definedName name="mmmmm" hidden="1">{#N/A,#N/A,FALSE,"Aging Summary";#N/A,#N/A,FALSE,"Ratio Analysis";#N/A,#N/A,FALSE,"Test 120 Day Accts";#N/A,#N/A,FALSE,"Tickmarks"}</definedName>
    <definedName name="mmmmmmmmmmmmmmmm" hidden="1">{#N/A,#N/A,FALSE,"Aging Summary";#N/A,#N/A,FALSE,"Ratio Analysis";#N/A,#N/A,FALSE,"Test 120 Day Accts";#N/A,#N/A,FALSE,"Tickmarks"}</definedName>
    <definedName name="MNKM" hidden="1">{#N/A,#N/A,FALSE,"Sheet1";#N/A,#N/A,FALSE,"Sheet2";#N/A,#N/A,FALSE,"Sheet3";#N/A,#N/A,FALSE,"Sheet4";#N/A,#N/A,FALSE,"Sheet5";#N/A,#N/A,FALSE,"Sheet6";#N/A,#N/A,FALSE,"Sheet7 ";#N/A,#N/A,FALSE,"Sheet8"}</definedName>
    <definedName name="mos" hidden="1">#REF!</definedName>
    <definedName name="nmn" hidden="1">{#N/A,#N/A,FALSE,"Sheet1";#N/A,#N/A,FALSE,"Sheet2";#N/A,#N/A,FALSE,"Sheet3";#N/A,#N/A,FALSE,"Sheet4";#N/A,#N/A,FALSE,"Sheet5";#N/A,#N/A,FALSE,"Sheet6";#N/A,#N/A,FALSE,"Sheet7 ";#N/A,#N/A,FALSE,"Sheet8"}</definedName>
    <definedName name="nnnnnnnn" hidden="1">{#N/A,#N/A,FALSE,"Aging Summary";#N/A,#N/A,FALSE,"Ratio Analysis";#N/A,#N/A,FALSE,"Test 120 Day Accts";#N/A,#N/A,FALSE,"Tickmarks"}</definedName>
    <definedName name="Not" hidden="1">#REF!</definedName>
    <definedName name="OK" hidden="1">#REF!</definedName>
    <definedName name="OKE" hidden="1">{#N/A,#N/A,FALSE,"Aging Summary";#N/A,#N/A,FALSE,"Ratio Analysis";#N/A,#N/A,FALSE,"Test 120 Day Accts";#N/A,#N/A,FALSE,"Tickmarks"}</definedName>
    <definedName name="oll" hidden="1">{#N/A,#N/A,FALSE,"Aging Summary";#N/A,#N/A,FALSE,"Ratio Analysis";#N/A,#N/A,FALSE,"Test 120 Day Accts";#N/A,#N/A,FALSE,"Tickmarks"}</definedName>
    <definedName name="oorst" hidden="1">#REF!</definedName>
    <definedName name="OrderTable" hidden="1">#REF!</definedName>
    <definedName name="PAMOR" hidden="1">#REF!</definedName>
    <definedName name="PARIT" hidden="1">#REF!</definedName>
    <definedName name="Pdk" hidden="1">#REF!</definedName>
    <definedName name="Pejelasan" hidden="1">#REF!</definedName>
    <definedName name="pinem" hidden="1">#REF!</definedName>
    <definedName name="pir" hidden="1">#REF!</definedName>
    <definedName name="plasma" hidden="1">{#N/A,#N/A,FALSE,"Aging Summary";#N/A,#N/A,FALSE,"Ratio Analysis";#N/A,#N/A,FALSE,"Test 120 Day Accts";#N/A,#N/A,FALSE,"Tickmarks"}</definedName>
    <definedName name="pol" hidden="1">#REF!</definedName>
    <definedName name="POTENSI" hidden="1">#REF!</definedName>
    <definedName name="PP" hidden="1">{#N/A,#N/A,FALSE,"Aging Summary";#N/A,#N/A,FALSE,"Ratio Analysis";#N/A,#N/A,FALSE,"Test 120 Day Accts";#N/A,#N/A,FALSE,"Tickmarks"}</definedName>
    <definedName name="ppk" hidden="1">#REF!</definedName>
    <definedName name="PPP" hidden="1">{#N/A,#N/A,FALSE,"Aging Summary";#N/A,#N/A,FALSE,"Ratio Analysis";#N/A,#N/A,FALSE,"Test 120 Day Accts";#N/A,#N/A,FALSE,"Tickmarks"}</definedName>
    <definedName name="pppp" hidden="1">#REF!</definedName>
    <definedName name="ProdForm" hidden="1">#REF!</definedName>
    <definedName name="Product" hidden="1">#REF!</definedName>
    <definedName name="PROGRES" hidden="1">{#N/A,#N/A,FALSE,"Aging Summary";#N/A,#N/A,FALSE,"Ratio Analysis";#N/A,#N/A,FALSE,"Test 120 Day Accts";#N/A,#N/A,FALSE,"Tickmarks"}</definedName>
    <definedName name="ptp" hidden="1">{#N/A,#N/A,FALSE,"Aging Summary";#N/A,#N/A,FALSE,"Ratio Analysis";#N/A,#N/A,FALSE,"Test 120 Day Accts";#N/A,#N/A,FALSE,"Tickmarks"}</definedName>
    <definedName name="PWE" hidden="1">#REF!</definedName>
    <definedName name="qe" hidden="1">#REF!</definedName>
    <definedName name="qq" hidden="1">#REF!</definedName>
    <definedName name="qqq" hidden="1">{#N/A,#N/A,FALSE,"Aging Summary";#N/A,#N/A,FALSE,"Ratio Analysis";#N/A,#N/A,FALSE,"Test 120 Day Accts";#N/A,#N/A,FALSE,"Tickmarks"}</definedName>
    <definedName name="qqqqqq" hidden="1">#REF!</definedName>
    <definedName name="qs" hidden="1">{#N/A,#N/A,FALSE,"Aging Summary";#N/A,#N/A,FALSE,"Ratio Analysis";#N/A,#N/A,FALSE,"Test 120 Day Accts";#N/A,#N/A,FALSE,"Tickmarks"}</definedName>
    <definedName name="qw" hidden="1">#REF!</definedName>
    <definedName name="qwer" hidden="1">{#N/A,#N/A,FALSE,"Aging Summary";#N/A,#N/A,FALSE,"Ratio Analysis";#N/A,#N/A,FALSE,"Test 120 Day Accts";#N/A,#N/A,FALSE,"Tickmarks"}</definedName>
    <definedName name="RACUN" hidden="1">{#N/A,#N/A,FALSE,"Thn-0"}</definedName>
    <definedName name="RAT" hidden="1">#REF!</definedName>
    <definedName name="RCArea" hidden="1">#REF!</definedName>
    <definedName name="Rev" hidden="1">{"'unit'!$A$1:$E$73"}</definedName>
    <definedName name="Revisi" hidden="1">#REF!</definedName>
    <definedName name="RFEE" hidden="1">#REF!</definedName>
    <definedName name="RGREGR" hidden="1">#REF!</definedName>
    <definedName name="rina" hidden="1">{#N/A,#N/A,FALSE,"Aging Summary";#N/A,#N/A,FALSE,"Ratio Analysis";#N/A,#N/A,FALSE,"Test 120 Day Accts";#N/A,#N/A,FALSE,"Tickmarks"}</definedName>
    <definedName name="rit" hidden="1">#REF!</definedName>
    <definedName name="rrrrrrrrrrrrrrrrr" hidden="1">{#N/A,#N/A,FALSE,"Aging Summary";#N/A,#N/A,FALSE,"Ratio Analysis";#N/A,#N/A,FALSE,"Test 120 Day Accts";#N/A,#N/A,FALSE,"Tickmarks"}</definedName>
    <definedName name="RUMAH" hidden="1">#REF!</definedName>
    <definedName name="rvv" hidden="1">{#N/A,#N/A,FALSE,"Aging Summary";#N/A,#N/A,FALSE,"Ratio Analysis";#N/A,#N/A,FALSE,"Test 120 Day Accts";#N/A,#N/A,FALSE,"Tickmarks"}</definedName>
    <definedName name="Sa" hidden="1">#REF!</definedName>
    <definedName name="sdfew" hidden="1">#REF!</definedName>
    <definedName name="sdfgbbbb" hidden="1">{#N/A,#N/A,FALSE,"Aging Summary";#N/A,#N/A,FALSE,"Ratio Analysis";#N/A,#N/A,FALSE,"Test 120 Day Accts";#N/A,#N/A,FALSE,"Tickmarks"}</definedName>
    <definedName name="sdfgh" hidden="1">{#N/A,#N/A,FALSE,"Aging Summary";#N/A,#N/A,FALSE,"Ratio Analysis";#N/A,#N/A,FALSE,"Test 120 Day Accts";#N/A,#N/A,FALSE,"Tickmarks"}</definedName>
    <definedName name="sdfsdfasf" hidden="1">#REF!</definedName>
    <definedName name="seee" hidden="1">#REF!</definedName>
    <definedName name="sel" hidden="1">#REF!</definedName>
    <definedName name="sf" hidden="1">#REF!</definedName>
    <definedName name="simon" hidden="1">#REF!</definedName>
    <definedName name="sje" hidden="1">{#N/A,#N/A,FALSE,"Sheet1";#N/A,#N/A,FALSE,"Sheet2";#N/A,#N/A,FALSE,"Sheet3";#N/A,#N/A,FALSE,"Sheet4";#N/A,#N/A,FALSE,"Sheet5";#N/A,#N/A,FALSE,"Sheet6";#N/A,#N/A,FALSE,"Sheet7 ";#N/A,#N/A,FALSE,"Sheet8"}</definedName>
    <definedName name="sku" hidden="1">#REF!</definedName>
    <definedName name="snap" hidden="1">{#N/A,#N/A,FALSE,"Aging Summary";#N/A,#N/A,FALSE,"Ratio Analysis";#N/A,#N/A,FALSE,"Test 120 Day Accts";#N/A,#N/A,FALSE,"Tickmarks"}</definedName>
    <definedName name="Snapshot" hidden="1">{#N/A,#N/A,FALSE,"Aging Summary";#N/A,#N/A,FALSE,"Ratio Analysis";#N/A,#N/A,FALSE,"Test 120 Day Accts";#N/A,#N/A,FALSE,"Tickmarks"}</definedName>
    <definedName name="snapshot._.febr" hidden="1">{#N/A,#N/A,FALSE,"Aging Summary";#N/A,#N/A,FALSE,"Ratio Analysis";#N/A,#N/A,FALSE,"Test 120 Day Accts";#N/A,#N/A,FALSE,"Tickmarks"}</definedName>
    <definedName name="snapshot._.febr2" hidden="1">{#N/A,#N/A,FALSE,"Aging Summary";#N/A,#N/A,FALSE,"Ratio Analysis";#N/A,#N/A,FALSE,"Test 120 Day Accts";#N/A,#N/A,FALSE,"Tickmarks"}</definedName>
    <definedName name="snapshot._.jan" hidden="1">{#N/A,#N/A,FALSE,"Aging Summary";#N/A,#N/A,FALSE,"Ratio Analysis";#N/A,#N/A,FALSE,"Test 120 Day Accts";#N/A,#N/A,FALSE,"Tickmarks"}</definedName>
    <definedName name="sp" hidden="1">#REF!</definedName>
    <definedName name="SpecialPrice" hidden="1">#REF!</definedName>
    <definedName name="spl" hidden="1">#REF!</definedName>
    <definedName name="sqqqqqq" hidden="1">{#N/A,#N/A,FALSE,"Aging Summary";#N/A,#N/A,FALSE,"Ratio Analysis";#N/A,#N/A,FALSE,"Test 120 Day Accts";#N/A,#N/A,FALSE,"Tickmarks"}</definedName>
    <definedName name="SS" hidden="1">{#N/A,#N/A,FALSE,"Aging Summary";#N/A,#N/A,FALSE,"Ratio Analysis";#N/A,#N/A,FALSE,"Test 120 Day Accts";#N/A,#N/A,FALSE,"Tickmarks"}</definedName>
    <definedName name="ssssss" hidden="1">{#N/A,#N/A,FALSE,"Aging Summary";#N/A,#N/A,FALSE,"Ratio Analysis";#N/A,#N/A,FALSE,"Test 120 Day Accts";#N/A,#N/A,FALSE,"Tickmarks"}</definedName>
    <definedName name="sssssssssssssssss" hidden="1">{#N/A,#N/A,FALSE,"Aging Summary";#N/A,#N/A,FALSE,"Ratio Analysis";#N/A,#N/A,FALSE,"Test 120 Day Accts";#N/A,#N/A,FALSE,"Tickmarks"}</definedName>
    <definedName name="sssssssssssssssssss" hidden="1">{#N/A,#N/A,FALSE,"Aging Summary";#N/A,#N/A,FALSE,"Ratio Analysis";#N/A,#N/A,FALSE,"Test 120 Day Accts";#N/A,#N/A,FALSE,"Tickmarks"}</definedName>
    <definedName name="sssssssssssssssssssss" hidden="1">{#N/A,#N/A,FALSE,"Aging Summary";#N/A,#N/A,FALSE,"Ratio Analysis";#N/A,#N/A,FALSE,"Test 120 Day Accts";#N/A,#N/A,FALSE,"Tickmarks"}</definedName>
    <definedName name="ssssssssssssssssssssssss" hidden="1">{#N/A,#N/A,FALSE,"Aging Summary";#N/A,#N/A,FALSE,"Ratio Analysis";#N/A,#N/A,FALSE,"Test 120 Day Accts";#N/A,#N/A,FALSE,"Tickmarks"}</definedName>
    <definedName name="sssssssssssssssssssssssss" hidden="1">{#N/A,#N/A,FALSE,"Aging Summary";#N/A,#N/A,FALSE,"Ratio Analysis";#N/A,#N/A,FALSE,"Test 120 Day Accts";#N/A,#N/A,FALSE,"Tickmarks"}</definedName>
    <definedName name="STATEMEN" hidden="1">#REF!</definedName>
    <definedName name="STATUSAN" hidden="1">#REF!</definedName>
    <definedName name="STD" hidden="1">#REF!</definedName>
    <definedName name="StdTK" hidden="1">{#N/A,#N/A,FALSE,"Aging Summary";#N/A,#N/A,FALSE,"Ratio Analysis";#N/A,#N/A,FALSE,"Test 120 Day Accts";#N/A,#N/A,FALSE,"Tickmarks"}</definedName>
    <definedName name="SUI" hidden="1">#REF!</definedName>
    <definedName name="sumprat" hidden="1">#REF!</definedName>
    <definedName name="sxzdr" hidden="1">{#N/A,#N/A,FALSE,"Aging Summary";#N/A,#N/A,FALSE,"Ratio Analysis";#N/A,#N/A,FALSE,"Test 120 Day Accts";#N/A,#N/A,FALSE,"Tickmarks"}</definedName>
    <definedName name="tabel" hidden="1">#REF!</definedName>
    <definedName name="Taker" hidden="1">#REF!</definedName>
    <definedName name="tbl_ProdInfo" hidden="1">#REF!</definedName>
    <definedName name="TEEE" hidden="1">#REF!</definedName>
    <definedName name="tenagakerja" hidden="1">{#N/A,#N/A,FALSE,"Aging Summary";#N/A,#N/A,FALSE,"Ratio Analysis";#N/A,#N/A,FALSE,"Test 120 Day Accts";#N/A,#N/A,FALSE,"Tickmarks"}</definedName>
    <definedName name="TES" hidden="1">#REF!</definedName>
    <definedName name="tess" hidden="1">{#N/A,#N/A,FALSE,"Aging Summary";#N/A,#N/A,FALSE,"Ratio Analysis";#N/A,#N/A,FALSE,"Test 120 Day Accts";#N/A,#N/A,FALSE,"Tickmarks"}</definedName>
    <definedName name="titipanen" hidden="1">#REF!</definedName>
    <definedName name="TM" hidden="1">{#N/A,#N/A,FALSE,"Aging Summary";#N/A,#N/A,FALSE,"Ratio Analysis";#N/A,#N/A,FALSE,"Test 120 Day Accts";#N/A,#N/A,FALSE,"Tickmarks"}</definedName>
    <definedName name="TR" hidden="1">#REF!</definedName>
    <definedName name="tractore" hidden="1">{#N/A,#N/A,FALSE,"Aging Summary";#N/A,#N/A,FALSE,"Ratio Analysis";#N/A,#N/A,FALSE,"Test 120 Day Accts";#N/A,#N/A,FALSE,"Tickmarks"}</definedName>
    <definedName name="Trend._.Analysis" hidden="1">{#N/A,#N/A,FALSE,"Aging Summary";#N/A,#N/A,FALSE,"Ratio Analysis";#N/A,#N/A,FALSE,"Test 120 Day Accts";#N/A,#N/A,FALSE,"Tickmarks"}</definedName>
    <definedName name="tsl" hidden="1">{#N/A,#N/A,FALSE,"Aging Summary";#N/A,#N/A,FALSE,"Ratio Analysis";#N/A,#N/A,FALSE,"Test 120 Day Accts";#N/A,#N/A,FALSE,"Tickmarks"}</definedName>
    <definedName name="tsltsl" hidden="1">{#N/A,#N/A,FALSE,"Aging Summary";#N/A,#N/A,FALSE,"Ratio Analysis";#N/A,#N/A,FALSE,"Test 120 Day Accts";#N/A,#N/A,FALSE,"Tickmarks"}</definedName>
    <definedName name="TTPANEN" hidden="1">#REF!</definedName>
    <definedName name="uio" hidden="1">{#N/A,#N/A,FALSE,"Aging Summary";#N/A,#N/A,FALSE,"Ratio Analysis";#N/A,#N/A,FALSE,"Test 120 Day Accts";#N/A,#N/A,FALSE,"Tickmarks"}</definedName>
    <definedName name="ukui" hidden="1">#REF!</definedName>
    <definedName name="ULASAN" hidden="1">#REF!</definedName>
    <definedName name="VRFVRV" hidden="1">{#N/A,#N/A,FALSE,"Aging Summary";#N/A,#N/A,FALSE,"Ratio Analysis";#N/A,#N/A,FALSE,"Test 120 Day Accts";#N/A,#N/A,FALSE,"Tickmarks"}</definedName>
    <definedName name="VVV" hidden="1">{#N/A,#N/A,FALSE,"Aging Summary";#N/A,#N/A,FALSE,"Ratio Analysis";#N/A,#N/A,FALSE,"Test 120 Day Accts";#N/A,#N/A,FALSE,"Tickmarks"}</definedName>
    <definedName name="vvvvvvvvvvvvv" hidden="1">{#N/A,#N/A,FALSE,"Aging Summary";#N/A,#N/A,FALSE,"Ratio Analysis";#N/A,#N/A,FALSE,"Test 120 Day Accts";#N/A,#N/A,FALSE,"Tickmarks"}</definedName>
    <definedName name="vvvvvvvvvvvvvvvvvvvvv" hidden="1">{#N/A,#N/A,FALSE,"Aging Summary";#N/A,#N/A,FALSE,"Ratio Analysis";#N/A,#N/A,FALSE,"Test 120 Day Accts";#N/A,#N/A,FALSE,"Tickmarks"}</definedName>
    <definedName name="w" hidden="1">{#N/A,#N/A,FALSE,"Aging Summary";#N/A,#N/A,FALSE,"Ratio Analysis";#N/A,#N/A,FALSE,"Test 120 Day Accts";#N/A,#N/A,FALSE,"Tickmarks"}</definedName>
    <definedName name="W2SW" hidden="1">{#N/A,#N/A,FALSE,"Aging Summary";#N/A,#N/A,FALSE,"Ratio Analysis";#N/A,#N/A,FALSE,"Test 120 Day Accts";#N/A,#N/A,FALSE,"Tickmarks"}</definedName>
    <definedName name="WA" hidden="1">#REF!</definedName>
    <definedName name="WC" hidden="1">{#N/A,#N/A,FALSE,"Aging Summary";#N/A,#N/A,FALSE,"Ratio Analysis";#N/A,#N/A,FALSE,"Test 120 Day Accts";#N/A,#N/A,FALSE,"Tickmarks"}</definedName>
    <definedName name="wcc" hidden="1">{#N/A,#N/A,FALSE,"Aging Summary";#N/A,#N/A,FALSE,"Ratio Analysis";#N/A,#N/A,FALSE,"Test 120 Day Accts";#N/A,#N/A,FALSE,"Tickmarks"}</definedName>
    <definedName name="wdsa" hidden="1">{#N/A,#N/A,FALSE,"Aging Summary";#N/A,#N/A,FALSE,"Ratio Analysis";#N/A,#N/A,FALSE,"Test 120 Day Accts";#N/A,#N/A,FALSE,"Tickmarks"}</definedName>
    <definedName name="werrty" hidden="1">{#N/A,#N/A,FALSE,"Aging Summary";#N/A,#N/A,FALSE,"Ratio Analysis";#N/A,#N/A,FALSE,"Test 120 Day Accts";#N/A,#N/A,FALSE,"Tickmarks"}</definedName>
    <definedName name="werty" hidden="1">{#N/A,#N/A,FALSE,"Aging Summary";#N/A,#N/A,FALSE,"Ratio Analysis";#N/A,#N/A,FALSE,"Test 120 Day Accts";#N/A,#N/A,FALSE,"Tickmarks"}</definedName>
    <definedName name="wq" hidden="1">#REF!</definedName>
    <definedName name="wrn.0." hidden="1">{#N/A,#N/A,FALSE,"Thn-0"}</definedName>
    <definedName name="wrn.Aging._.and._.Trend._.Analysis." hidden="1">{#N/A,#N/A,FALSE,"Aging Summary";#N/A,#N/A,FALSE,"Ratio Analysis";#N/A,#N/A,FALSE,"Test 120 Day Accts";#N/A,#N/A,FALSE,"Tickmarks"}</definedName>
    <definedName name="wrn.Aging1" hidden="1">{#N/A,#N/A,FALSE,"Aging Summary";#N/A,#N/A,FALSE,"Ratio Analysis";#N/A,#N/A,FALSE,"Test 120 Day Accts";#N/A,#N/A,FALSE,"Tickmarks"}</definedName>
    <definedName name="wrn.GUS." hidden="1">{#N/A,#N/A,FALSE,"Sheet1";#N/A,#N/A,FALSE,"Sheet2";#N/A,#N/A,FALSE,"Sheet3";#N/A,#N/A,FALSE,"Sheet4";#N/A,#N/A,FALSE,"Sheet5";#N/A,#N/A,FALSE,"Sheet6";#N/A,#N/A,FALSE,"Sheet7 ";#N/A,#N/A,FALSE,"Sheet8"}</definedName>
    <definedName name="x" hidden="1">{#N/A,#N/A,FALSE,"Thn-0"}</definedName>
    <definedName name="XSS" hidden="1">{#N/A,#N/A,FALSE,"Aging Summary";#N/A,#N/A,FALSE,"Ratio Analysis";#N/A,#N/A,FALSE,"Test 120 Day Accts";#N/A,#N/A,FALSE,"Tickmarks"}</definedName>
    <definedName name="xxx" hidden="1">#REF!</definedName>
    <definedName name="xxxxxxxxxxxxxxx" hidden="1">{#N/A,#N/A,FALSE,"Aging Summary";#N/A,#N/A,FALSE,"Ratio Analysis";#N/A,#N/A,FALSE,"Test 120 Day Accts";#N/A,#N/A,FALSE,"Tickmarks"}</definedName>
    <definedName name="xxxxxxxxxxxxxxxxx" hidden="1">{#N/A,#N/A,FALSE,"Aging Summary";#N/A,#N/A,FALSE,"Ratio Analysis";#N/A,#N/A,FALSE,"Test 120 Day Accts";#N/A,#N/A,FALSE,"Tickmarks"}</definedName>
    <definedName name="xxxxxxxxxxxxxxxxxxxx" hidden="1">{#N/A,#N/A,FALSE,"Aging Summary";#N/A,#N/A,FALSE,"Ratio Analysis";#N/A,#N/A,FALSE,"Test 120 Day Accts";#N/A,#N/A,FALSE,"Tickmarks"}</definedName>
    <definedName name="xxxxxxxxxxxxxxxxxxxxx" hidden="1">{#N/A,#N/A,FALSE,"Aging Summary";#N/A,#N/A,FALSE,"Ratio Analysis";#N/A,#N/A,FALSE,"Test 120 Day Accts";#N/A,#N/A,FALSE,"Tickmarks"}</definedName>
    <definedName name="xxxxxxxxxxxxxxxxxxxxxxxx" hidden="1">{#N/A,#N/A,FALSE,"Aging Summary";#N/A,#N/A,FALSE,"Ratio Analysis";#N/A,#N/A,FALSE,"Test 120 Day Accts";#N/A,#N/A,FALSE,"Tickmarks"}</definedName>
    <definedName name="y" hidden="1">{#N/A,#N/A,FALSE,"Aging Summary";#N/A,#N/A,FALSE,"Ratio Analysis";#N/A,#N/A,FALSE,"Test 120 Day Accts";#N/A,#N/A,FALSE,"Tickmarks"}</definedName>
    <definedName name="yek" hidden="1">#REF!</definedName>
    <definedName name="yuku" hidden="1">{#N/A,#N/A,FALSE,"Aging Summary";#N/A,#N/A,FALSE,"Ratio Analysis";#N/A,#N/A,FALSE,"Test 120 Day Accts";#N/A,#N/A,FALSE,"Tickmarks"}</definedName>
    <definedName name="zswe" hidden="1">#REF!</definedName>
    <definedName name="ZZZZZZZZ" hidden="1">{#N/A,#N/A,FALSE,"Aging Summary";#N/A,#N/A,FALSE,"Ratio Analysis";#N/A,#N/A,FALSE,"Test 120 Day Accts";#N/A,#N/A,FALSE,"Tickmarks"}</definedName>
    <definedName name="zzzzzzzzzzzzzzzzzz" hidden="1">{#N/A,#N/A,FALSE,"Aging Summary";#N/A,#N/A,FALSE,"Ratio Analysis";#N/A,#N/A,FALSE,"Test 120 Day Accts";#N/A,#N/A,FALSE,"Tickmarks"}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06" i="24" l="1"/>
  <c r="N506" i="24"/>
  <c r="M506" i="24"/>
  <c r="L506" i="24"/>
  <c r="K506" i="24"/>
  <c r="J506" i="24"/>
  <c r="H506" i="24"/>
  <c r="I506" i="24" s="1"/>
  <c r="G506" i="24"/>
  <c r="F506" i="24"/>
  <c r="E506" i="24"/>
  <c r="O505" i="24"/>
  <c r="N505" i="24"/>
  <c r="M505" i="24"/>
  <c r="K505" i="24"/>
  <c r="L505" i="24" s="1"/>
  <c r="J505" i="24"/>
  <c r="H505" i="24"/>
  <c r="G505" i="24"/>
  <c r="I505" i="24" s="1"/>
  <c r="F505" i="24"/>
  <c r="E505" i="24"/>
  <c r="N504" i="24"/>
  <c r="O504" i="24" s="1"/>
  <c r="M504" i="24"/>
  <c r="K504" i="24"/>
  <c r="J504" i="24"/>
  <c r="L504" i="24" s="1"/>
  <c r="H504" i="24"/>
  <c r="I504" i="24" s="1"/>
  <c r="G504" i="24"/>
  <c r="F504" i="24"/>
  <c r="E504" i="24"/>
  <c r="N503" i="24"/>
  <c r="O503" i="24" s="1"/>
  <c r="M503" i="24"/>
  <c r="K503" i="24"/>
  <c r="L503" i="24" s="1"/>
  <c r="J503" i="24"/>
  <c r="I503" i="24"/>
  <c r="H503" i="24"/>
  <c r="G503" i="24"/>
  <c r="F503" i="24"/>
  <c r="E503" i="24"/>
  <c r="N502" i="24"/>
  <c r="O502" i="24" s="1"/>
  <c r="M502" i="24"/>
  <c r="L502" i="24"/>
  <c r="K502" i="24"/>
  <c r="J502" i="24"/>
  <c r="H502" i="24"/>
  <c r="I502" i="24" s="1"/>
  <c r="G502" i="24"/>
  <c r="F502" i="24"/>
  <c r="E502" i="24"/>
  <c r="N496" i="24"/>
  <c r="O496" i="24" s="1"/>
  <c r="M496" i="24"/>
  <c r="K496" i="24"/>
  <c r="L496" i="24" s="1"/>
  <c r="J496" i="24"/>
  <c r="H496" i="24"/>
  <c r="I496" i="24" s="1"/>
  <c r="G496" i="24"/>
  <c r="F496" i="24"/>
  <c r="E496" i="24"/>
  <c r="N495" i="24"/>
  <c r="O495" i="24" s="1"/>
  <c r="M495" i="24"/>
  <c r="K495" i="24"/>
  <c r="L495" i="24" s="1"/>
  <c r="J495" i="24"/>
  <c r="I495" i="24"/>
  <c r="H495" i="24"/>
  <c r="G495" i="24"/>
  <c r="F495" i="24"/>
  <c r="E495" i="24"/>
  <c r="O490" i="24"/>
  <c r="N490" i="24"/>
  <c r="M490" i="24"/>
  <c r="L490" i="24"/>
  <c r="K490" i="24"/>
  <c r="J490" i="24"/>
  <c r="H490" i="24"/>
  <c r="I490" i="24" s="1"/>
  <c r="G490" i="24"/>
  <c r="F490" i="24"/>
  <c r="E490" i="24"/>
  <c r="O489" i="24"/>
  <c r="N489" i="24"/>
  <c r="M489" i="24"/>
  <c r="K489" i="24"/>
  <c r="L489" i="24" s="1"/>
  <c r="J489" i="24"/>
  <c r="H489" i="24"/>
  <c r="I489" i="24" s="1"/>
  <c r="G489" i="24"/>
  <c r="F489" i="24"/>
  <c r="E489" i="24"/>
  <c r="N488" i="24"/>
  <c r="O488" i="24" s="1"/>
  <c r="M488" i="24"/>
  <c r="K488" i="24"/>
  <c r="L488" i="24" s="1"/>
  <c r="J488" i="24"/>
  <c r="H488" i="24"/>
  <c r="I488" i="24" s="1"/>
  <c r="G488" i="24"/>
  <c r="F488" i="24"/>
  <c r="E488" i="24"/>
  <c r="O485" i="24"/>
  <c r="N485" i="24"/>
  <c r="M485" i="24"/>
  <c r="K485" i="24"/>
  <c r="L485" i="24" s="1"/>
  <c r="J485" i="24"/>
  <c r="H485" i="24"/>
  <c r="G485" i="24"/>
  <c r="I485" i="24" s="1"/>
  <c r="F485" i="24"/>
  <c r="E485" i="24"/>
  <c r="B485" i="24"/>
  <c r="O484" i="24"/>
  <c r="N484" i="24"/>
  <c r="M484" i="24"/>
  <c r="K484" i="24"/>
  <c r="L484" i="24" s="1"/>
  <c r="J484" i="24"/>
  <c r="H484" i="24"/>
  <c r="I484" i="24" s="1"/>
  <c r="G484" i="24"/>
  <c r="F484" i="24"/>
  <c r="E484" i="24"/>
  <c r="B484" i="24"/>
  <c r="O483" i="24"/>
  <c r="N483" i="24"/>
  <c r="M483" i="24"/>
  <c r="L483" i="24"/>
  <c r="K483" i="24"/>
  <c r="J483" i="24"/>
  <c r="H483" i="24"/>
  <c r="I483" i="24" s="1"/>
  <c r="G483" i="24"/>
  <c r="F483" i="24"/>
  <c r="E483" i="24"/>
  <c r="B483" i="24"/>
  <c r="O482" i="24"/>
  <c r="N482" i="24"/>
  <c r="M482" i="24"/>
  <c r="L482" i="24"/>
  <c r="K482" i="24"/>
  <c r="J482" i="24"/>
  <c r="H482" i="24"/>
  <c r="I482" i="24" s="1"/>
  <c r="G482" i="24"/>
  <c r="F482" i="24"/>
  <c r="E482" i="24"/>
  <c r="B482" i="24"/>
  <c r="O481" i="24"/>
  <c r="N481" i="24"/>
  <c r="N486" i="24" s="1"/>
  <c r="M481" i="24"/>
  <c r="L481" i="24"/>
  <c r="K481" i="24"/>
  <c r="J481" i="24"/>
  <c r="H481" i="24"/>
  <c r="I481" i="24" s="1"/>
  <c r="G481" i="24"/>
  <c r="F481" i="24"/>
  <c r="F486" i="24" s="1"/>
  <c r="E481" i="24"/>
  <c r="B481" i="24"/>
  <c r="O480" i="24"/>
  <c r="N480" i="24"/>
  <c r="M480" i="24"/>
  <c r="M486" i="24" s="1"/>
  <c r="L480" i="24"/>
  <c r="K480" i="24"/>
  <c r="K486" i="24" s="1"/>
  <c r="J480" i="24"/>
  <c r="J486" i="24" s="1"/>
  <c r="H480" i="24"/>
  <c r="I480" i="24" s="1"/>
  <c r="G480" i="24"/>
  <c r="G486" i="24" s="1"/>
  <c r="F480" i="24"/>
  <c r="E480" i="24"/>
  <c r="E486" i="24" s="1"/>
  <c r="B480" i="24"/>
  <c r="H479" i="24"/>
  <c r="I479" i="24" s="1"/>
  <c r="O478" i="24"/>
  <c r="N478" i="24"/>
  <c r="M478" i="24"/>
  <c r="K478" i="24"/>
  <c r="L478" i="24" s="1"/>
  <c r="J478" i="24"/>
  <c r="H478" i="24"/>
  <c r="G478" i="24"/>
  <c r="I478" i="24" s="1"/>
  <c r="F478" i="24"/>
  <c r="E478" i="24"/>
  <c r="B478" i="24"/>
  <c r="O477" i="24"/>
  <c r="N477" i="24"/>
  <c r="M477" i="24"/>
  <c r="K477" i="24"/>
  <c r="L477" i="24" s="1"/>
  <c r="J477" i="24"/>
  <c r="H477" i="24"/>
  <c r="I477" i="24" s="1"/>
  <c r="G477" i="24"/>
  <c r="F477" i="24"/>
  <c r="E477" i="24"/>
  <c r="B477" i="24"/>
  <c r="O476" i="24"/>
  <c r="N476" i="24"/>
  <c r="M476" i="24"/>
  <c r="K476" i="24"/>
  <c r="L476" i="24" s="1"/>
  <c r="J476" i="24"/>
  <c r="H476" i="24"/>
  <c r="I476" i="24" s="1"/>
  <c r="G476" i="24"/>
  <c r="F476" i="24"/>
  <c r="E476" i="24"/>
  <c r="B476" i="24"/>
  <c r="O475" i="24"/>
  <c r="N475" i="24"/>
  <c r="M475" i="24"/>
  <c r="K475" i="24"/>
  <c r="L475" i="24" s="1"/>
  <c r="J475" i="24"/>
  <c r="H475" i="24"/>
  <c r="I475" i="24" s="1"/>
  <c r="G475" i="24"/>
  <c r="F475" i="24"/>
  <c r="E475" i="24"/>
  <c r="B475" i="24"/>
  <c r="O474" i="24"/>
  <c r="N474" i="24"/>
  <c r="N479" i="24" s="1"/>
  <c r="M474" i="24"/>
  <c r="M479" i="24" s="1"/>
  <c r="K474" i="24"/>
  <c r="K479" i="24" s="1"/>
  <c r="L479" i="24" s="1"/>
  <c r="J474" i="24"/>
  <c r="J479" i="24" s="1"/>
  <c r="H474" i="24"/>
  <c r="I474" i="24" s="1"/>
  <c r="G474" i="24"/>
  <c r="G479" i="24" s="1"/>
  <c r="F474" i="24"/>
  <c r="F479" i="24" s="1"/>
  <c r="E474" i="24"/>
  <c r="E479" i="24" s="1"/>
  <c r="B474" i="24"/>
  <c r="G473" i="24"/>
  <c r="N472" i="24"/>
  <c r="O472" i="24" s="1"/>
  <c r="M472" i="24"/>
  <c r="K472" i="24"/>
  <c r="L472" i="24" s="1"/>
  <c r="J472" i="24"/>
  <c r="H472" i="24"/>
  <c r="G472" i="24"/>
  <c r="I472" i="24" s="1"/>
  <c r="F472" i="24"/>
  <c r="E472" i="24"/>
  <c r="B472" i="24"/>
  <c r="N471" i="24"/>
  <c r="O471" i="24" s="1"/>
  <c r="M471" i="24"/>
  <c r="K471" i="24"/>
  <c r="L471" i="24" s="1"/>
  <c r="J471" i="24"/>
  <c r="H471" i="24"/>
  <c r="I471" i="24" s="1"/>
  <c r="G471" i="24"/>
  <c r="F471" i="24"/>
  <c r="E471" i="24"/>
  <c r="B471" i="24"/>
  <c r="N470" i="24"/>
  <c r="O470" i="24" s="1"/>
  <c r="M470" i="24"/>
  <c r="K470" i="24"/>
  <c r="L470" i="24" s="1"/>
  <c r="J470" i="24"/>
  <c r="H470" i="24"/>
  <c r="I470" i="24" s="1"/>
  <c r="G470" i="24"/>
  <c r="F470" i="24"/>
  <c r="E470" i="24"/>
  <c r="B470" i="24"/>
  <c r="N469" i="24"/>
  <c r="O469" i="24" s="1"/>
  <c r="M469" i="24"/>
  <c r="K469" i="24"/>
  <c r="L469" i="24" s="1"/>
  <c r="J469" i="24"/>
  <c r="H469" i="24"/>
  <c r="I469" i="24" s="1"/>
  <c r="G469" i="24"/>
  <c r="F469" i="24"/>
  <c r="E469" i="24"/>
  <c r="B469" i="24"/>
  <c r="N468" i="24"/>
  <c r="O468" i="24" s="1"/>
  <c r="M468" i="24"/>
  <c r="K468" i="24"/>
  <c r="L468" i="24" s="1"/>
  <c r="J468" i="24"/>
  <c r="H468" i="24"/>
  <c r="I468" i="24" s="1"/>
  <c r="G468" i="24"/>
  <c r="F468" i="24"/>
  <c r="E468" i="24"/>
  <c r="B468" i="24"/>
  <c r="N467" i="24"/>
  <c r="N473" i="24" s="1"/>
  <c r="M467" i="24"/>
  <c r="M473" i="24" s="1"/>
  <c r="K467" i="24"/>
  <c r="L467" i="24" s="1"/>
  <c r="J467" i="24"/>
  <c r="J473" i="24" s="1"/>
  <c r="H467" i="24"/>
  <c r="I467" i="24" s="1"/>
  <c r="G467" i="24"/>
  <c r="F467" i="24"/>
  <c r="F473" i="24" s="1"/>
  <c r="E467" i="24"/>
  <c r="E473" i="24" s="1"/>
  <c r="B467" i="24"/>
  <c r="N465" i="24"/>
  <c r="O465" i="24" s="1"/>
  <c r="M465" i="24"/>
  <c r="K465" i="24"/>
  <c r="L465" i="24" s="1"/>
  <c r="J465" i="24"/>
  <c r="I465" i="24"/>
  <c r="H465" i="24"/>
  <c r="G465" i="24"/>
  <c r="F465" i="24"/>
  <c r="E465" i="24"/>
  <c r="N464" i="24"/>
  <c r="O464" i="24" s="1"/>
  <c r="M464" i="24"/>
  <c r="M510" i="24" s="1"/>
  <c r="L464" i="24"/>
  <c r="K464" i="24"/>
  <c r="K510" i="24" s="1"/>
  <c r="L510" i="24" s="1"/>
  <c r="J464" i="24"/>
  <c r="J510" i="24" s="1"/>
  <c r="H464" i="24"/>
  <c r="H510" i="24" s="1"/>
  <c r="G464" i="24"/>
  <c r="G510" i="24" s="1"/>
  <c r="F464" i="24"/>
  <c r="F510" i="24" s="1"/>
  <c r="E464" i="24"/>
  <c r="E510" i="24" s="1"/>
  <c r="B464" i="24"/>
  <c r="N463" i="24"/>
  <c r="N509" i="24" s="1"/>
  <c r="M463" i="24"/>
  <c r="M509" i="24" s="1"/>
  <c r="L463" i="24"/>
  <c r="K463" i="24"/>
  <c r="K509" i="24" s="1"/>
  <c r="J463" i="24"/>
  <c r="J509" i="24" s="1"/>
  <c r="H463" i="24"/>
  <c r="I463" i="24" s="1"/>
  <c r="G463" i="24"/>
  <c r="G509" i="24" s="1"/>
  <c r="F463" i="24"/>
  <c r="F509" i="24" s="1"/>
  <c r="E463" i="24"/>
  <c r="E509" i="24" s="1"/>
  <c r="B463" i="24"/>
  <c r="N462" i="24"/>
  <c r="O462" i="24" s="1"/>
  <c r="M462" i="24"/>
  <c r="M508" i="24" s="1"/>
  <c r="L462" i="24"/>
  <c r="K462" i="24"/>
  <c r="K508" i="24" s="1"/>
  <c r="J462" i="24"/>
  <c r="J508" i="24" s="1"/>
  <c r="H462" i="24"/>
  <c r="H508" i="24" s="1"/>
  <c r="I508" i="24" s="1"/>
  <c r="G462" i="24"/>
  <c r="G508" i="24" s="1"/>
  <c r="F462" i="24"/>
  <c r="F508" i="24" s="1"/>
  <c r="E462" i="24"/>
  <c r="E508" i="24" s="1"/>
  <c r="B462" i="24"/>
  <c r="N461" i="24"/>
  <c r="O461" i="24" s="1"/>
  <c r="M461" i="24"/>
  <c r="M507" i="24" s="1"/>
  <c r="L461" i="24"/>
  <c r="K461" i="24"/>
  <c r="K507" i="24" s="1"/>
  <c r="L507" i="24" s="1"/>
  <c r="J461" i="24"/>
  <c r="J507" i="24" s="1"/>
  <c r="H461" i="24"/>
  <c r="I461" i="24" s="1"/>
  <c r="G461" i="24"/>
  <c r="G507" i="24" s="1"/>
  <c r="F461" i="24"/>
  <c r="F507" i="24" s="1"/>
  <c r="E461" i="24"/>
  <c r="E507" i="24" s="1"/>
  <c r="B461" i="24"/>
  <c r="N460" i="24"/>
  <c r="O460" i="24" s="1"/>
  <c r="M460" i="24"/>
  <c r="L460" i="24"/>
  <c r="K460" i="24"/>
  <c r="J460" i="24"/>
  <c r="H460" i="24"/>
  <c r="I460" i="24" s="1"/>
  <c r="G460" i="24"/>
  <c r="F460" i="24"/>
  <c r="E460" i="24"/>
  <c r="B460" i="24"/>
  <c r="N459" i="24"/>
  <c r="O459" i="24" s="1"/>
  <c r="M459" i="24"/>
  <c r="L459" i="24"/>
  <c r="K459" i="24"/>
  <c r="J459" i="24"/>
  <c r="H459" i="24"/>
  <c r="I459" i="24" s="1"/>
  <c r="G459" i="24"/>
  <c r="F459" i="24"/>
  <c r="E459" i="24"/>
  <c r="B459" i="24"/>
  <c r="N458" i="24"/>
  <c r="O458" i="24" s="1"/>
  <c r="M458" i="24"/>
  <c r="M497" i="24" s="1"/>
  <c r="L458" i="24"/>
  <c r="K458" i="24"/>
  <c r="K497" i="24" s="1"/>
  <c r="J458" i="24"/>
  <c r="J497" i="24" s="1"/>
  <c r="H458" i="24"/>
  <c r="H497" i="24" s="1"/>
  <c r="I497" i="24" s="1"/>
  <c r="G458" i="24"/>
  <c r="G497" i="24" s="1"/>
  <c r="F458" i="24"/>
  <c r="F497" i="24" s="1"/>
  <c r="E458" i="24"/>
  <c r="E497" i="24" s="1"/>
  <c r="B458" i="24"/>
  <c r="N457" i="24"/>
  <c r="O457" i="24" s="1"/>
  <c r="M457" i="24"/>
  <c r="M494" i="24" s="1"/>
  <c r="L457" i="24"/>
  <c r="K457" i="24"/>
  <c r="K494" i="24" s="1"/>
  <c r="L494" i="24" s="1"/>
  <c r="J457" i="24"/>
  <c r="J494" i="24" s="1"/>
  <c r="H457" i="24"/>
  <c r="I457" i="24" s="1"/>
  <c r="G457" i="24"/>
  <c r="G494" i="24" s="1"/>
  <c r="F457" i="24"/>
  <c r="F494" i="24" s="1"/>
  <c r="E457" i="24"/>
  <c r="E494" i="24" s="1"/>
  <c r="B457" i="24"/>
  <c r="N456" i="24"/>
  <c r="O456" i="24" s="1"/>
  <c r="M456" i="24"/>
  <c r="M493" i="24" s="1"/>
  <c r="L456" i="24"/>
  <c r="K456" i="24"/>
  <c r="K493" i="24" s="1"/>
  <c r="L493" i="24" s="1"/>
  <c r="J456" i="24"/>
  <c r="J493" i="24" s="1"/>
  <c r="H456" i="24"/>
  <c r="I456" i="24" s="1"/>
  <c r="G456" i="24"/>
  <c r="G493" i="24" s="1"/>
  <c r="F456" i="24"/>
  <c r="F493" i="24" s="1"/>
  <c r="E456" i="24"/>
  <c r="E493" i="24" s="1"/>
  <c r="B456" i="24"/>
  <c r="N455" i="24"/>
  <c r="N466" i="24" s="1"/>
  <c r="M455" i="24"/>
  <c r="M466" i="24" s="1"/>
  <c r="L455" i="24"/>
  <c r="K455" i="24"/>
  <c r="J455" i="24"/>
  <c r="J466" i="24" s="1"/>
  <c r="H455" i="24"/>
  <c r="H466" i="24" s="1"/>
  <c r="G455" i="24"/>
  <c r="G466" i="24" s="1"/>
  <c r="F455" i="24"/>
  <c r="F466" i="24" s="1"/>
  <c r="E455" i="24"/>
  <c r="E466" i="24" s="1"/>
  <c r="B455" i="24"/>
  <c r="N454" i="24"/>
  <c r="H454" i="24"/>
  <c r="F454" i="24"/>
  <c r="N453" i="24"/>
  <c r="N501" i="24" s="1"/>
  <c r="M453" i="24"/>
  <c r="M501" i="24" s="1"/>
  <c r="K453" i="24"/>
  <c r="K501" i="24" s="1"/>
  <c r="L501" i="24" s="1"/>
  <c r="J453" i="24"/>
  <c r="J501" i="24" s="1"/>
  <c r="I453" i="24"/>
  <c r="H453" i="24"/>
  <c r="H501" i="24" s="1"/>
  <c r="G453" i="24"/>
  <c r="G501" i="24" s="1"/>
  <c r="F453" i="24"/>
  <c r="F501" i="24" s="1"/>
  <c r="E453" i="24"/>
  <c r="E501" i="24" s="1"/>
  <c r="B453" i="24"/>
  <c r="O452" i="24"/>
  <c r="N452" i="24"/>
  <c r="N500" i="24" s="1"/>
  <c r="M452" i="24"/>
  <c r="M500" i="24" s="1"/>
  <c r="K452" i="24"/>
  <c r="L452" i="24" s="1"/>
  <c r="J452" i="24"/>
  <c r="J500" i="24" s="1"/>
  <c r="H452" i="24"/>
  <c r="H500" i="24" s="1"/>
  <c r="G452" i="24"/>
  <c r="G500" i="24" s="1"/>
  <c r="F452" i="24"/>
  <c r="F500" i="24" s="1"/>
  <c r="E452" i="24"/>
  <c r="E500" i="24" s="1"/>
  <c r="B452" i="24"/>
  <c r="N451" i="24"/>
  <c r="O451" i="24" s="1"/>
  <c r="M451" i="24"/>
  <c r="M499" i="24" s="1"/>
  <c r="K451" i="24"/>
  <c r="K499" i="24" s="1"/>
  <c r="J451" i="24"/>
  <c r="J499" i="24" s="1"/>
  <c r="I451" i="24"/>
  <c r="H451" i="24"/>
  <c r="H499" i="24" s="1"/>
  <c r="G451" i="24"/>
  <c r="G499" i="24" s="1"/>
  <c r="F451" i="24"/>
  <c r="F499" i="24" s="1"/>
  <c r="E451" i="24"/>
  <c r="E499" i="24" s="1"/>
  <c r="B451" i="24"/>
  <c r="O450" i="24"/>
  <c r="N450" i="24"/>
  <c r="N498" i="24" s="1"/>
  <c r="M450" i="24"/>
  <c r="M498" i="24" s="1"/>
  <c r="K450" i="24"/>
  <c r="L450" i="24" s="1"/>
  <c r="J450" i="24"/>
  <c r="J498" i="24" s="1"/>
  <c r="H450" i="24"/>
  <c r="H498" i="24" s="1"/>
  <c r="G450" i="24"/>
  <c r="G498" i="24" s="1"/>
  <c r="F450" i="24"/>
  <c r="F498" i="24" s="1"/>
  <c r="E450" i="24"/>
  <c r="E498" i="24" s="1"/>
  <c r="B450" i="24"/>
  <c r="N449" i="24"/>
  <c r="O449" i="24" s="1"/>
  <c r="M449" i="24"/>
  <c r="M454" i="24" s="1"/>
  <c r="K449" i="24"/>
  <c r="K454" i="24" s="1"/>
  <c r="L454" i="24" s="1"/>
  <c r="J449" i="24"/>
  <c r="J454" i="24" s="1"/>
  <c r="I449" i="24"/>
  <c r="H449" i="24"/>
  <c r="G449" i="24"/>
  <c r="G454" i="24" s="1"/>
  <c r="F449" i="24"/>
  <c r="E449" i="24"/>
  <c r="E454" i="24" s="1"/>
  <c r="B449" i="24"/>
  <c r="O448" i="24"/>
  <c r="N448" i="24"/>
  <c r="M448" i="24"/>
  <c r="K448" i="24"/>
  <c r="G448" i="24"/>
  <c r="F448" i="24"/>
  <c r="E448" i="24"/>
  <c r="N447" i="24"/>
  <c r="O447" i="24" s="1"/>
  <c r="M447" i="24"/>
  <c r="K447" i="24"/>
  <c r="J447" i="24"/>
  <c r="J448" i="24" s="1"/>
  <c r="H447" i="24"/>
  <c r="I447" i="24" s="1"/>
  <c r="G447" i="24"/>
  <c r="F447" i="24"/>
  <c r="E447" i="24"/>
  <c r="B447" i="24"/>
  <c r="N446" i="24"/>
  <c r="O446" i="24" s="1"/>
  <c r="J446" i="24"/>
  <c r="F446" i="24"/>
  <c r="O445" i="24"/>
  <c r="N445" i="24"/>
  <c r="M445" i="24"/>
  <c r="M446" i="24" s="1"/>
  <c r="L445" i="24"/>
  <c r="K445" i="24"/>
  <c r="K446" i="24" s="1"/>
  <c r="L446" i="24" s="1"/>
  <c r="J445" i="24"/>
  <c r="I445" i="24"/>
  <c r="H445" i="24"/>
  <c r="H446" i="24" s="1"/>
  <c r="I446" i="24" s="1"/>
  <c r="G445" i="24"/>
  <c r="G446" i="24" s="1"/>
  <c r="F445" i="24"/>
  <c r="E445" i="24"/>
  <c r="E446" i="24" s="1"/>
  <c r="B445" i="24"/>
  <c r="M444" i="24"/>
  <c r="K444" i="24"/>
  <c r="E444" i="24"/>
  <c r="N443" i="24"/>
  <c r="O443" i="24" s="1"/>
  <c r="M443" i="24"/>
  <c r="K443" i="24"/>
  <c r="L443" i="24" s="1"/>
  <c r="J443" i="24"/>
  <c r="H443" i="24"/>
  <c r="H444" i="24" s="1"/>
  <c r="G443" i="24"/>
  <c r="F443" i="24"/>
  <c r="E443" i="24"/>
  <c r="B443" i="24"/>
  <c r="O442" i="24"/>
  <c r="N442" i="24"/>
  <c r="N444" i="24" s="1"/>
  <c r="O444" i="24" s="1"/>
  <c r="M442" i="24"/>
  <c r="L442" i="24"/>
  <c r="K442" i="24"/>
  <c r="J442" i="24"/>
  <c r="J444" i="24" s="1"/>
  <c r="H442" i="24"/>
  <c r="I442" i="24" s="1"/>
  <c r="G442" i="24"/>
  <c r="G444" i="24" s="1"/>
  <c r="F442" i="24"/>
  <c r="F444" i="24" s="1"/>
  <c r="E442" i="24"/>
  <c r="B442" i="24"/>
  <c r="N441" i="24"/>
  <c r="H441" i="24"/>
  <c r="I441" i="24" s="1"/>
  <c r="F441" i="24"/>
  <c r="N440" i="24"/>
  <c r="O440" i="24" s="1"/>
  <c r="M440" i="24"/>
  <c r="K440" i="24"/>
  <c r="K441" i="24" s="1"/>
  <c r="J440" i="24"/>
  <c r="I440" i="24"/>
  <c r="H440" i="24"/>
  <c r="G440" i="24"/>
  <c r="F440" i="24"/>
  <c r="E440" i="24"/>
  <c r="B440" i="24"/>
  <c r="O439" i="24"/>
  <c r="N439" i="24"/>
  <c r="N491" i="24" s="1"/>
  <c r="M439" i="24"/>
  <c r="M491" i="24" s="1"/>
  <c r="K439" i="24"/>
  <c r="K491" i="24" s="1"/>
  <c r="J439" i="24"/>
  <c r="J491" i="24" s="1"/>
  <c r="H439" i="24"/>
  <c r="H491" i="24" s="1"/>
  <c r="G439" i="24"/>
  <c r="G441" i="24" s="1"/>
  <c r="F439" i="24"/>
  <c r="F491" i="24" s="1"/>
  <c r="E439" i="24"/>
  <c r="E491" i="24" s="1"/>
  <c r="B439" i="24"/>
  <c r="K438" i="24"/>
  <c r="L438" i="24" s="1"/>
  <c r="N437" i="24"/>
  <c r="N514" i="24" s="1"/>
  <c r="M437" i="24"/>
  <c r="M514" i="24" s="1"/>
  <c r="L437" i="24"/>
  <c r="K437" i="24"/>
  <c r="K514" i="24" s="1"/>
  <c r="J437" i="24"/>
  <c r="J514" i="24" s="1"/>
  <c r="I437" i="24"/>
  <c r="H437" i="24"/>
  <c r="H514" i="24" s="1"/>
  <c r="G437" i="24"/>
  <c r="G514" i="24" s="1"/>
  <c r="F437" i="24"/>
  <c r="F514" i="24" s="1"/>
  <c r="E437" i="24"/>
  <c r="E514" i="24" s="1"/>
  <c r="B437" i="24"/>
  <c r="N436" i="24"/>
  <c r="O436" i="24" s="1"/>
  <c r="M436" i="24"/>
  <c r="M513" i="24" s="1"/>
  <c r="K436" i="24"/>
  <c r="K513" i="24" s="1"/>
  <c r="J436" i="24"/>
  <c r="J513" i="24" s="1"/>
  <c r="H436" i="24"/>
  <c r="I436" i="24" s="1"/>
  <c r="G436" i="24"/>
  <c r="G513" i="24" s="1"/>
  <c r="F436" i="24"/>
  <c r="F513" i="24" s="1"/>
  <c r="E436" i="24"/>
  <c r="E513" i="24" s="1"/>
  <c r="B436" i="24"/>
  <c r="N435" i="24"/>
  <c r="N512" i="24" s="1"/>
  <c r="O512" i="24" s="1"/>
  <c r="M435" i="24"/>
  <c r="M512" i="24" s="1"/>
  <c r="L435" i="24"/>
  <c r="K435" i="24"/>
  <c r="K512" i="24" s="1"/>
  <c r="J435" i="24"/>
  <c r="J512" i="24" s="1"/>
  <c r="I435" i="24"/>
  <c r="H435" i="24"/>
  <c r="H512" i="24" s="1"/>
  <c r="I512" i="24" s="1"/>
  <c r="G435" i="24"/>
  <c r="G512" i="24" s="1"/>
  <c r="F435" i="24"/>
  <c r="F512" i="24" s="1"/>
  <c r="E435" i="24"/>
  <c r="E512" i="24" s="1"/>
  <c r="B435" i="24"/>
  <c r="N434" i="24"/>
  <c r="O434" i="24" s="1"/>
  <c r="M434" i="24"/>
  <c r="M511" i="24" s="1"/>
  <c r="K434" i="24"/>
  <c r="K511" i="24" s="1"/>
  <c r="J434" i="24"/>
  <c r="L434" i="24" s="1"/>
  <c r="H434" i="24"/>
  <c r="I434" i="24" s="1"/>
  <c r="G434" i="24"/>
  <c r="G511" i="24" s="1"/>
  <c r="F434" i="24"/>
  <c r="F511" i="24" s="1"/>
  <c r="E434" i="24"/>
  <c r="E511" i="24" s="1"/>
  <c r="B434" i="24"/>
  <c r="N433" i="24"/>
  <c r="N492" i="24" s="1"/>
  <c r="M433" i="24"/>
  <c r="M492" i="24" s="1"/>
  <c r="L433" i="24"/>
  <c r="K433" i="24"/>
  <c r="K492" i="24" s="1"/>
  <c r="J433" i="24"/>
  <c r="J492" i="24" s="1"/>
  <c r="I433" i="24"/>
  <c r="H433" i="24"/>
  <c r="H492" i="24" s="1"/>
  <c r="G433" i="24"/>
  <c r="G492" i="24" s="1"/>
  <c r="F433" i="24"/>
  <c r="F492" i="24" s="1"/>
  <c r="E433" i="24"/>
  <c r="E492" i="24" s="1"/>
  <c r="B433" i="24"/>
  <c r="N432" i="24"/>
  <c r="O432" i="24" s="1"/>
  <c r="M432" i="24"/>
  <c r="M487" i="24" s="1"/>
  <c r="K432" i="24"/>
  <c r="L432" i="24" s="1"/>
  <c r="J432" i="24"/>
  <c r="J438" i="24" s="1"/>
  <c r="H432" i="24"/>
  <c r="I432" i="24" s="1"/>
  <c r="G432" i="24"/>
  <c r="G487" i="24" s="1"/>
  <c r="F432" i="24"/>
  <c r="F487" i="24" s="1"/>
  <c r="F515" i="24" s="1"/>
  <c r="E432" i="24"/>
  <c r="E487" i="24" s="1"/>
  <c r="E515" i="24" s="1"/>
  <c r="B432" i="24"/>
  <c r="O430" i="24"/>
  <c r="N430" i="24"/>
  <c r="M430" i="24"/>
  <c r="L430" i="24"/>
  <c r="K430" i="24"/>
  <c r="J430" i="24"/>
  <c r="H430" i="24"/>
  <c r="G430" i="24"/>
  <c r="I430" i="24" s="1"/>
  <c r="F430" i="24"/>
  <c r="E430" i="24"/>
  <c r="O429" i="24"/>
  <c r="L429" i="24"/>
  <c r="I429" i="24"/>
  <c r="O428" i="24"/>
  <c r="L428" i="24"/>
  <c r="I428" i="24"/>
  <c r="O427" i="24"/>
  <c r="L427" i="24"/>
  <c r="I427" i="24"/>
  <c r="O426" i="24"/>
  <c r="L426" i="24"/>
  <c r="I426" i="24"/>
  <c r="O425" i="24"/>
  <c r="L425" i="24"/>
  <c r="I425" i="24"/>
  <c r="O424" i="24"/>
  <c r="L424" i="24"/>
  <c r="I424" i="24"/>
  <c r="O423" i="24"/>
  <c r="L423" i="24"/>
  <c r="I423" i="24"/>
  <c r="O422" i="24"/>
  <c r="L422" i="24"/>
  <c r="I422" i="24"/>
  <c r="O421" i="24"/>
  <c r="L421" i="24"/>
  <c r="I421" i="24"/>
  <c r="O420" i="24"/>
  <c r="L420" i="24"/>
  <c r="I420" i="24"/>
  <c r="O419" i="24"/>
  <c r="L419" i="24"/>
  <c r="I419" i="24"/>
  <c r="O418" i="24"/>
  <c r="L418" i="24"/>
  <c r="I418" i="24"/>
  <c r="O417" i="24"/>
  <c r="L417" i="24"/>
  <c r="I417" i="24"/>
  <c r="O416" i="24"/>
  <c r="L416" i="24"/>
  <c r="I416" i="24"/>
  <c r="O415" i="24"/>
  <c r="L415" i="24"/>
  <c r="I415" i="24"/>
  <c r="O414" i="24"/>
  <c r="L414" i="24"/>
  <c r="I414" i="24"/>
  <c r="O413" i="24"/>
  <c r="L413" i="24"/>
  <c r="I413" i="24"/>
  <c r="O412" i="24"/>
  <c r="L412" i="24"/>
  <c r="I412" i="24"/>
  <c r="O411" i="24"/>
  <c r="L411" i="24"/>
  <c r="I411" i="24"/>
  <c r="O410" i="24"/>
  <c r="L410" i="24"/>
  <c r="I410" i="24"/>
  <c r="O409" i="24"/>
  <c r="L409" i="24"/>
  <c r="I409" i="24"/>
  <c r="O408" i="24"/>
  <c r="L408" i="24"/>
  <c r="I408" i="24"/>
  <c r="O407" i="24"/>
  <c r="L407" i="24"/>
  <c r="I407" i="24"/>
  <c r="O406" i="24"/>
  <c r="L406" i="24"/>
  <c r="I406" i="24"/>
  <c r="O405" i="24"/>
  <c r="L405" i="24"/>
  <c r="I405" i="24"/>
  <c r="O404" i="24"/>
  <c r="L404" i="24"/>
  <c r="I404" i="24"/>
  <c r="O403" i="24"/>
  <c r="L403" i="24"/>
  <c r="I403" i="24"/>
  <c r="O402" i="24"/>
  <c r="L402" i="24"/>
  <c r="I402" i="24"/>
  <c r="O401" i="24"/>
  <c r="L401" i="24"/>
  <c r="I401" i="24"/>
  <c r="O400" i="24"/>
  <c r="L400" i="24"/>
  <c r="I400" i="24"/>
  <c r="O399" i="24"/>
  <c r="L399" i="24"/>
  <c r="I399" i="24"/>
  <c r="O398" i="24"/>
  <c r="L398" i="24"/>
  <c r="I398" i="24"/>
  <c r="O397" i="24"/>
  <c r="L397" i="24"/>
  <c r="I397" i="24"/>
  <c r="O396" i="24"/>
  <c r="L396" i="24"/>
  <c r="I396" i="24"/>
  <c r="O395" i="24"/>
  <c r="L395" i="24"/>
  <c r="I395" i="24"/>
  <c r="O394" i="24"/>
  <c r="L394" i="24"/>
  <c r="I394" i="24"/>
  <c r="O393" i="24"/>
  <c r="L393" i="24"/>
  <c r="I393" i="24"/>
  <c r="O392" i="24"/>
  <c r="L392" i="24"/>
  <c r="I392" i="24"/>
  <c r="O391" i="24"/>
  <c r="L391" i="24"/>
  <c r="I391" i="24"/>
  <c r="O390" i="24"/>
  <c r="L390" i="24"/>
  <c r="I390" i="24"/>
  <c r="O389" i="24"/>
  <c r="N389" i="24"/>
  <c r="M389" i="24"/>
  <c r="K389" i="24"/>
  <c r="J389" i="24"/>
  <c r="L389" i="24" s="1"/>
  <c r="H389" i="24"/>
  <c r="G389" i="24"/>
  <c r="I389" i="24" s="1"/>
  <c r="F389" i="24"/>
  <c r="E389" i="24"/>
  <c r="O388" i="24"/>
  <c r="L388" i="24"/>
  <c r="I388" i="24"/>
  <c r="O387" i="24"/>
  <c r="L387" i="24"/>
  <c r="I387" i="24"/>
  <c r="O386" i="24"/>
  <c r="L386" i="24"/>
  <c r="I386" i="24"/>
  <c r="O385" i="24"/>
  <c r="L385" i="24"/>
  <c r="I385" i="24"/>
  <c r="O384" i="24"/>
  <c r="L384" i="24"/>
  <c r="I384" i="24"/>
  <c r="O383" i="24"/>
  <c r="L383" i="24"/>
  <c r="I383" i="24"/>
  <c r="O382" i="24"/>
  <c r="L382" i="24"/>
  <c r="I382" i="24"/>
  <c r="O381" i="24"/>
  <c r="L381" i="24"/>
  <c r="I381" i="24"/>
  <c r="O380" i="24"/>
  <c r="L380" i="24"/>
  <c r="I380" i="24"/>
  <c r="O379" i="24"/>
  <c r="L379" i="24"/>
  <c r="I379" i="24"/>
  <c r="O378" i="24"/>
  <c r="L378" i="24"/>
  <c r="I378" i="24"/>
  <c r="O377" i="24"/>
  <c r="L377" i="24"/>
  <c r="I377" i="24"/>
  <c r="O376" i="24"/>
  <c r="L376" i="24"/>
  <c r="I376" i="24"/>
  <c r="O375" i="24"/>
  <c r="L375" i="24"/>
  <c r="I375" i="24"/>
  <c r="O374" i="24"/>
  <c r="L374" i="24"/>
  <c r="I374" i="24"/>
  <c r="O373" i="24"/>
  <c r="L373" i="24"/>
  <c r="I373" i="24"/>
  <c r="O372" i="24"/>
  <c r="L372" i="24"/>
  <c r="I372" i="24"/>
  <c r="O371" i="24"/>
  <c r="L371" i="24"/>
  <c r="I371" i="24"/>
  <c r="O370" i="24"/>
  <c r="L370" i="24"/>
  <c r="I370" i="24"/>
  <c r="O369" i="24"/>
  <c r="L369" i="24"/>
  <c r="I369" i="24"/>
  <c r="O368" i="24"/>
  <c r="L368" i="24"/>
  <c r="I368" i="24"/>
  <c r="O367" i="24"/>
  <c r="L367" i="24"/>
  <c r="I367" i="24"/>
  <c r="O366" i="24"/>
  <c r="L366" i="24"/>
  <c r="I366" i="24"/>
  <c r="O365" i="24"/>
  <c r="L365" i="24"/>
  <c r="I365" i="24"/>
  <c r="O364" i="24"/>
  <c r="L364" i="24"/>
  <c r="I364" i="24"/>
  <c r="O363" i="24"/>
  <c r="L363" i="24"/>
  <c r="I363" i="24"/>
  <c r="O362" i="24"/>
  <c r="L362" i="24"/>
  <c r="I362" i="24"/>
  <c r="O361" i="24"/>
  <c r="L361" i="24"/>
  <c r="I361" i="24"/>
  <c r="O360" i="24"/>
  <c r="L360" i="24"/>
  <c r="I360" i="24"/>
  <c r="O359" i="24"/>
  <c r="L359" i="24"/>
  <c r="I359" i="24"/>
  <c r="O358" i="24"/>
  <c r="L358" i="24"/>
  <c r="I358" i="24"/>
  <c r="O357" i="24"/>
  <c r="L357" i="24"/>
  <c r="I357" i="24"/>
  <c r="O356" i="24"/>
  <c r="L356" i="24"/>
  <c r="I356" i="24"/>
  <c r="O355" i="24"/>
  <c r="L355" i="24"/>
  <c r="I355" i="24"/>
  <c r="O354" i="24"/>
  <c r="L354" i="24"/>
  <c r="I354" i="24"/>
  <c r="O353" i="24"/>
  <c r="L353" i="24"/>
  <c r="I353" i="24"/>
  <c r="O352" i="24"/>
  <c r="L352" i="24"/>
  <c r="I352" i="24"/>
  <c r="O351" i="24"/>
  <c r="L351" i="24"/>
  <c r="I351" i="24"/>
  <c r="O350" i="24"/>
  <c r="L350" i="24"/>
  <c r="I350" i="24"/>
  <c r="O349" i="24"/>
  <c r="L349" i="24"/>
  <c r="I349" i="24"/>
  <c r="O348" i="24"/>
  <c r="L348" i="24"/>
  <c r="I348" i="24"/>
  <c r="O347" i="24"/>
  <c r="L347" i="24"/>
  <c r="I347" i="24"/>
  <c r="N346" i="24"/>
  <c r="O346" i="24" s="1"/>
  <c r="M346" i="24"/>
  <c r="K346" i="24"/>
  <c r="L346" i="24" s="1"/>
  <c r="J346" i="24"/>
  <c r="H346" i="24"/>
  <c r="I346" i="24" s="1"/>
  <c r="G346" i="24"/>
  <c r="F346" i="24"/>
  <c r="E346" i="24"/>
  <c r="O345" i="24"/>
  <c r="L345" i="24"/>
  <c r="I345" i="24"/>
  <c r="O344" i="24"/>
  <c r="L344" i="24"/>
  <c r="I344" i="24"/>
  <c r="O343" i="24"/>
  <c r="L343" i="24"/>
  <c r="I343" i="24"/>
  <c r="O342" i="24"/>
  <c r="L342" i="24"/>
  <c r="I342" i="24"/>
  <c r="O341" i="24"/>
  <c r="L341" i="24"/>
  <c r="I341" i="24"/>
  <c r="O340" i="24"/>
  <c r="L340" i="24"/>
  <c r="I340" i="24"/>
  <c r="O339" i="24"/>
  <c r="L339" i="24"/>
  <c r="I339" i="24"/>
  <c r="O338" i="24"/>
  <c r="L338" i="24"/>
  <c r="I338" i="24"/>
  <c r="O337" i="24"/>
  <c r="L337" i="24"/>
  <c r="I337" i="24"/>
  <c r="O336" i="24"/>
  <c r="L336" i="24"/>
  <c r="I336" i="24"/>
  <c r="O335" i="24"/>
  <c r="L335" i="24"/>
  <c r="I335" i="24"/>
  <c r="O334" i="24"/>
  <c r="L334" i="24"/>
  <c r="I334" i="24"/>
  <c r="O333" i="24"/>
  <c r="L333" i="24"/>
  <c r="I333" i="24"/>
  <c r="O332" i="24"/>
  <c r="L332" i="24"/>
  <c r="I332" i="24"/>
  <c r="O331" i="24"/>
  <c r="L331" i="24"/>
  <c r="I331" i="24"/>
  <c r="O330" i="24"/>
  <c r="L330" i="24"/>
  <c r="I330" i="24"/>
  <c r="O329" i="24"/>
  <c r="L329" i="24"/>
  <c r="I329" i="24"/>
  <c r="O328" i="24"/>
  <c r="L328" i="24"/>
  <c r="I328" i="24"/>
  <c r="O327" i="24"/>
  <c r="L327" i="24"/>
  <c r="I327" i="24"/>
  <c r="O326" i="24"/>
  <c r="L326" i="24"/>
  <c r="I326" i="24"/>
  <c r="O325" i="24"/>
  <c r="L325" i="24"/>
  <c r="I325" i="24"/>
  <c r="O324" i="24"/>
  <c r="L324" i="24"/>
  <c r="I324" i="24"/>
  <c r="O323" i="24"/>
  <c r="L323" i="24"/>
  <c r="I323" i="24"/>
  <c r="O322" i="24"/>
  <c r="L322" i="24"/>
  <c r="I322" i="24"/>
  <c r="O321" i="24"/>
  <c r="L321" i="24"/>
  <c r="I321" i="24"/>
  <c r="O320" i="24"/>
  <c r="L320" i="24"/>
  <c r="I320" i="24"/>
  <c r="O319" i="24"/>
  <c r="L319" i="24"/>
  <c r="I319" i="24"/>
  <c r="O318" i="24"/>
  <c r="L318" i="24"/>
  <c r="I318" i="24"/>
  <c r="O317" i="24"/>
  <c r="L317" i="24"/>
  <c r="I317" i="24"/>
  <c r="O316" i="24"/>
  <c r="L316" i="24"/>
  <c r="I316" i="24"/>
  <c r="O315" i="24"/>
  <c r="L315" i="24"/>
  <c r="I315" i="24"/>
  <c r="O314" i="24"/>
  <c r="L314" i="24"/>
  <c r="I314" i="24"/>
  <c r="O313" i="24"/>
  <c r="L313" i="24"/>
  <c r="I313" i="24"/>
  <c r="O312" i="24"/>
  <c r="L312" i="24"/>
  <c r="I312" i="24"/>
  <c r="O311" i="24"/>
  <c r="L311" i="24"/>
  <c r="I311" i="24"/>
  <c r="O310" i="24"/>
  <c r="L310" i="24"/>
  <c r="I310" i="24"/>
  <c r="O309" i="24"/>
  <c r="L309" i="24"/>
  <c r="I309" i="24"/>
  <c r="O308" i="24"/>
  <c r="L308" i="24"/>
  <c r="I308" i="24"/>
  <c r="O307" i="24"/>
  <c r="L307" i="24"/>
  <c r="I307" i="24"/>
  <c r="O306" i="24"/>
  <c r="L306" i="24"/>
  <c r="I306" i="24"/>
  <c r="N305" i="24"/>
  <c r="O305" i="24" s="1"/>
  <c r="M305" i="24"/>
  <c r="K305" i="24"/>
  <c r="L305" i="24" s="1"/>
  <c r="J305" i="24"/>
  <c r="H305" i="24"/>
  <c r="I305" i="24" s="1"/>
  <c r="G305" i="24"/>
  <c r="F305" i="24"/>
  <c r="E305" i="24"/>
  <c r="O304" i="24"/>
  <c r="L304" i="24"/>
  <c r="I304" i="24"/>
  <c r="O303" i="24"/>
  <c r="L303" i="24"/>
  <c r="I303" i="24"/>
  <c r="O302" i="24"/>
  <c r="L302" i="24"/>
  <c r="I302" i="24"/>
  <c r="O301" i="24"/>
  <c r="L301" i="24"/>
  <c r="I301" i="24"/>
  <c r="O300" i="24"/>
  <c r="L300" i="24"/>
  <c r="I300" i="24"/>
  <c r="O299" i="24"/>
  <c r="L299" i="24"/>
  <c r="I299" i="24"/>
  <c r="O298" i="24"/>
  <c r="L298" i="24"/>
  <c r="I298" i="24"/>
  <c r="O297" i="24"/>
  <c r="L297" i="24"/>
  <c r="I297" i="24"/>
  <c r="O296" i="24"/>
  <c r="L296" i="24"/>
  <c r="I296" i="24"/>
  <c r="O295" i="24"/>
  <c r="L295" i="24"/>
  <c r="I295" i="24"/>
  <c r="O294" i="24"/>
  <c r="L294" i="24"/>
  <c r="I294" i="24"/>
  <c r="O293" i="24"/>
  <c r="L293" i="24"/>
  <c r="I293" i="24"/>
  <c r="O292" i="24"/>
  <c r="L292" i="24"/>
  <c r="I292" i="24"/>
  <c r="O291" i="24"/>
  <c r="L291" i="24"/>
  <c r="I291" i="24"/>
  <c r="O290" i="24"/>
  <c r="L290" i="24"/>
  <c r="I290" i="24"/>
  <c r="O289" i="24"/>
  <c r="L289" i="24"/>
  <c r="I289" i="24"/>
  <c r="O288" i="24"/>
  <c r="L288" i="24"/>
  <c r="I288" i="24"/>
  <c r="O287" i="24"/>
  <c r="L287" i="24"/>
  <c r="I287" i="24"/>
  <c r="O286" i="24"/>
  <c r="L286" i="24"/>
  <c r="I286" i="24"/>
  <c r="O285" i="24"/>
  <c r="L285" i="24"/>
  <c r="I285" i="24"/>
  <c r="O284" i="24"/>
  <c r="L284" i="24"/>
  <c r="I284" i="24"/>
  <c r="O283" i="24"/>
  <c r="L283" i="24"/>
  <c r="I283" i="24"/>
  <c r="O282" i="24"/>
  <c r="L282" i="24"/>
  <c r="I282" i="24"/>
  <c r="O281" i="24"/>
  <c r="L281" i="24"/>
  <c r="I281" i="24"/>
  <c r="O280" i="24"/>
  <c r="L280" i="24"/>
  <c r="I280" i="24"/>
  <c r="O279" i="24"/>
  <c r="L279" i="24"/>
  <c r="I279" i="24"/>
  <c r="O278" i="24"/>
  <c r="L278" i="24"/>
  <c r="I278" i="24"/>
  <c r="O277" i="24"/>
  <c r="L277" i="24"/>
  <c r="I277" i="24"/>
  <c r="O276" i="24"/>
  <c r="L276" i="24"/>
  <c r="I276" i="24"/>
  <c r="O275" i="24"/>
  <c r="L275" i="24"/>
  <c r="I275" i="24"/>
  <c r="O274" i="24"/>
  <c r="L274" i="24"/>
  <c r="I274" i="24"/>
  <c r="O273" i="24"/>
  <c r="L273" i="24"/>
  <c r="I273" i="24"/>
  <c r="O272" i="24"/>
  <c r="L272" i="24"/>
  <c r="I272" i="24"/>
  <c r="O271" i="24"/>
  <c r="L271" i="24"/>
  <c r="I271" i="24"/>
  <c r="O270" i="24"/>
  <c r="L270" i="24"/>
  <c r="I270" i="24"/>
  <c r="O269" i="24"/>
  <c r="L269" i="24"/>
  <c r="I269" i="24"/>
  <c r="O268" i="24"/>
  <c r="L268" i="24"/>
  <c r="I268" i="24"/>
  <c r="O267" i="24"/>
  <c r="L267" i="24"/>
  <c r="I267" i="24"/>
  <c r="O266" i="24"/>
  <c r="L266" i="24"/>
  <c r="I266" i="24"/>
  <c r="O265" i="24"/>
  <c r="L265" i="24"/>
  <c r="I265" i="24"/>
  <c r="O264" i="24"/>
  <c r="L264" i="24"/>
  <c r="I264" i="24"/>
  <c r="O263" i="24"/>
  <c r="L263" i="24"/>
  <c r="I263" i="24"/>
  <c r="O262" i="24"/>
  <c r="L262" i="24"/>
  <c r="I262" i="24"/>
  <c r="O261" i="24"/>
  <c r="L261" i="24"/>
  <c r="I261" i="24"/>
  <c r="O260" i="24"/>
  <c r="L260" i="24"/>
  <c r="I260" i="24"/>
  <c r="O259" i="24"/>
  <c r="L259" i="24"/>
  <c r="I259" i="24"/>
  <c r="O258" i="24"/>
  <c r="L258" i="24"/>
  <c r="I258" i="24"/>
  <c r="O257" i="24"/>
  <c r="L257" i="24"/>
  <c r="I257" i="24"/>
  <c r="N256" i="24"/>
  <c r="O256" i="24" s="1"/>
  <c r="M256" i="24"/>
  <c r="K256" i="24"/>
  <c r="L256" i="24" s="1"/>
  <c r="J256" i="24"/>
  <c r="I256" i="24"/>
  <c r="H256" i="24"/>
  <c r="G256" i="24"/>
  <c r="F256" i="24"/>
  <c r="F431" i="24" s="1"/>
  <c r="E256" i="24"/>
  <c r="O255" i="24"/>
  <c r="L255" i="24"/>
  <c r="I255" i="24"/>
  <c r="O254" i="24"/>
  <c r="L254" i="24"/>
  <c r="I254" i="24"/>
  <c r="O253" i="24"/>
  <c r="L253" i="24"/>
  <c r="I253" i="24"/>
  <c r="O252" i="24"/>
  <c r="L252" i="24"/>
  <c r="I252" i="24"/>
  <c r="O251" i="24"/>
  <c r="L251" i="24"/>
  <c r="I251" i="24"/>
  <c r="O250" i="24"/>
  <c r="L250" i="24"/>
  <c r="I250" i="24"/>
  <c r="O249" i="24"/>
  <c r="L249" i="24"/>
  <c r="I249" i="24"/>
  <c r="O248" i="24"/>
  <c r="L248" i="24"/>
  <c r="I248" i="24"/>
  <c r="O247" i="24"/>
  <c r="L247" i="24"/>
  <c r="I247" i="24"/>
  <c r="O246" i="24"/>
  <c r="L246" i="24"/>
  <c r="I246" i="24"/>
  <c r="O245" i="24"/>
  <c r="L245" i="24"/>
  <c r="I245" i="24"/>
  <c r="O244" i="24"/>
  <c r="L244" i="24"/>
  <c r="I244" i="24"/>
  <c r="O243" i="24"/>
  <c r="L243" i="24"/>
  <c r="I243" i="24"/>
  <c r="O242" i="24"/>
  <c r="L242" i="24"/>
  <c r="I242" i="24"/>
  <c r="O241" i="24"/>
  <c r="L241" i="24"/>
  <c r="I241" i="24"/>
  <c r="O240" i="24"/>
  <c r="L240" i="24"/>
  <c r="I240" i="24"/>
  <c r="O239" i="24"/>
  <c r="L239" i="24"/>
  <c r="I239" i="24"/>
  <c r="O238" i="24"/>
  <c r="L238" i="24"/>
  <c r="I238" i="24"/>
  <c r="O237" i="24"/>
  <c r="L237" i="24"/>
  <c r="I237" i="24"/>
  <c r="O236" i="24"/>
  <c r="L236" i="24"/>
  <c r="I236" i="24"/>
  <c r="O235" i="24"/>
  <c r="L235" i="24"/>
  <c r="I235" i="24"/>
  <c r="O234" i="24"/>
  <c r="L234" i="24"/>
  <c r="I234" i="24"/>
  <c r="O233" i="24"/>
  <c r="L233" i="24"/>
  <c r="I233" i="24"/>
  <c r="O232" i="24"/>
  <c r="L232" i="24"/>
  <c r="I232" i="24"/>
  <c r="O231" i="24"/>
  <c r="L231" i="24"/>
  <c r="I231" i="24"/>
  <c r="O230" i="24"/>
  <c r="L230" i="24"/>
  <c r="I230" i="24"/>
  <c r="O229" i="24"/>
  <c r="L229" i="24"/>
  <c r="I229" i="24"/>
  <c r="O228" i="24"/>
  <c r="L228" i="24"/>
  <c r="I228" i="24"/>
  <c r="O227" i="24"/>
  <c r="L227" i="24"/>
  <c r="I227" i="24"/>
  <c r="O226" i="24"/>
  <c r="L226" i="24"/>
  <c r="I226" i="24"/>
  <c r="O225" i="24"/>
  <c r="L225" i="24"/>
  <c r="I225" i="24"/>
  <c r="O224" i="24"/>
  <c r="L224" i="24"/>
  <c r="I224" i="24"/>
  <c r="O223" i="24"/>
  <c r="L223" i="24"/>
  <c r="I223" i="24"/>
  <c r="O222" i="24"/>
  <c r="L222" i="24"/>
  <c r="I222" i="24"/>
  <c r="O221" i="24"/>
  <c r="L221" i="24"/>
  <c r="I221" i="24"/>
  <c r="O220" i="24"/>
  <c r="L220" i="24"/>
  <c r="I220" i="24"/>
  <c r="N219" i="24"/>
  <c r="M219" i="24"/>
  <c r="O219" i="24" s="1"/>
  <c r="K219" i="24"/>
  <c r="L219" i="24" s="1"/>
  <c r="J219" i="24"/>
  <c r="H219" i="24"/>
  <c r="I219" i="24" s="1"/>
  <c r="G219" i="24"/>
  <c r="F219" i="24"/>
  <c r="E219" i="24"/>
  <c r="O218" i="24"/>
  <c r="L218" i="24"/>
  <c r="I218" i="24"/>
  <c r="O217" i="24"/>
  <c r="L217" i="24"/>
  <c r="I217" i="24"/>
  <c r="O216" i="24"/>
  <c r="L216" i="24"/>
  <c r="I216" i="24"/>
  <c r="O215" i="24"/>
  <c r="L215" i="24"/>
  <c r="I215" i="24"/>
  <c r="O214" i="24"/>
  <c r="L214" i="24"/>
  <c r="I214" i="24"/>
  <c r="O213" i="24"/>
  <c r="L213" i="24"/>
  <c r="I213" i="24"/>
  <c r="O212" i="24"/>
  <c r="L212" i="24"/>
  <c r="I212" i="24"/>
  <c r="O211" i="24"/>
  <c r="L211" i="24"/>
  <c r="I211" i="24"/>
  <c r="O210" i="24"/>
  <c r="L210" i="24"/>
  <c r="I210" i="24"/>
  <c r="O209" i="24"/>
  <c r="L209" i="24"/>
  <c r="I209" i="24"/>
  <c r="O208" i="24"/>
  <c r="L208" i="24"/>
  <c r="I208" i="24"/>
  <c r="O207" i="24"/>
  <c r="L207" i="24"/>
  <c r="I207" i="24"/>
  <c r="O206" i="24"/>
  <c r="L206" i="24"/>
  <c r="I206" i="24"/>
  <c r="O205" i="24"/>
  <c r="L205" i="24"/>
  <c r="I205" i="24"/>
  <c r="O204" i="24"/>
  <c r="L204" i="24"/>
  <c r="I204" i="24"/>
  <c r="O203" i="24"/>
  <c r="L203" i="24"/>
  <c r="I203" i="24"/>
  <c r="O202" i="24"/>
  <c r="L202" i="24"/>
  <c r="I202" i="24"/>
  <c r="O201" i="24"/>
  <c r="L201" i="24"/>
  <c r="I201" i="24"/>
  <c r="O200" i="24"/>
  <c r="L200" i="24"/>
  <c r="I200" i="24"/>
  <c r="O199" i="24"/>
  <c r="L199" i="24"/>
  <c r="I199" i="24"/>
  <c r="O198" i="24"/>
  <c r="L198" i="24"/>
  <c r="I198" i="24"/>
  <c r="O197" i="24"/>
  <c r="L197" i="24"/>
  <c r="I197" i="24"/>
  <c r="O196" i="24"/>
  <c r="L196" i="24"/>
  <c r="I196" i="24"/>
  <c r="O195" i="24"/>
  <c r="L195" i="24"/>
  <c r="I195" i="24"/>
  <c r="O194" i="24"/>
  <c r="L194" i="24"/>
  <c r="I194" i="24"/>
  <c r="O193" i="24"/>
  <c r="L193" i="24"/>
  <c r="I193" i="24"/>
  <c r="O192" i="24"/>
  <c r="L192" i="24"/>
  <c r="I192" i="24"/>
  <c r="O191" i="24"/>
  <c r="L191" i="24"/>
  <c r="I191" i="24"/>
  <c r="O190" i="24"/>
  <c r="L190" i="24"/>
  <c r="I190" i="24"/>
  <c r="O189" i="24"/>
  <c r="L189" i="24"/>
  <c r="I189" i="24"/>
  <c r="O188" i="24"/>
  <c r="L188" i="24"/>
  <c r="I188" i="24"/>
  <c r="O187" i="24"/>
  <c r="L187" i="24"/>
  <c r="I187" i="24"/>
  <c r="O186" i="24"/>
  <c r="L186" i="24"/>
  <c r="I186" i="24"/>
  <c r="O185" i="24"/>
  <c r="L185" i="24"/>
  <c r="I185" i="24"/>
  <c r="O184" i="24"/>
  <c r="L184" i="24"/>
  <c r="I184" i="24"/>
  <c r="O183" i="24"/>
  <c r="L183" i="24"/>
  <c r="I183" i="24"/>
  <c r="O182" i="24"/>
  <c r="L182" i="24"/>
  <c r="I182" i="24"/>
  <c r="O181" i="24"/>
  <c r="L181" i="24"/>
  <c r="I181" i="24"/>
  <c r="O180" i="24"/>
  <c r="L180" i="24"/>
  <c r="I180" i="24"/>
  <c r="O179" i="24"/>
  <c r="L179" i="24"/>
  <c r="I179" i="24"/>
  <c r="O178" i="24"/>
  <c r="L178" i="24"/>
  <c r="I178" i="24"/>
  <c r="O177" i="24"/>
  <c r="L177" i="24"/>
  <c r="I177" i="24"/>
  <c r="N176" i="24"/>
  <c r="O176" i="24" s="1"/>
  <c r="M176" i="24"/>
  <c r="L176" i="24"/>
  <c r="H176" i="24"/>
  <c r="G176" i="24"/>
  <c r="I176" i="24" s="1"/>
  <c r="F176" i="24"/>
  <c r="E176" i="24"/>
  <c r="O175" i="24"/>
  <c r="L175" i="24"/>
  <c r="I175" i="24"/>
  <c r="O174" i="24"/>
  <c r="L174" i="24"/>
  <c r="I174" i="24"/>
  <c r="O173" i="24"/>
  <c r="L173" i="24"/>
  <c r="I173" i="24"/>
  <c r="O172" i="24"/>
  <c r="L172" i="24"/>
  <c r="I172" i="24"/>
  <c r="O171" i="24"/>
  <c r="L171" i="24"/>
  <c r="I171" i="24"/>
  <c r="O170" i="24"/>
  <c r="L170" i="24"/>
  <c r="I170" i="24"/>
  <c r="O169" i="24"/>
  <c r="L169" i="24"/>
  <c r="I169" i="24"/>
  <c r="O168" i="24"/>
  <c r="L168" i="24"/>
  <c r="I168" i="24"/>
  <c r="O167" i="24"/>
  <c r="L167" i="24"/>
  <c r="I167" i="24"/>
  <c r="O166" i="24"/>
  <c r="L166" i="24"/>
  <c r="I166" i="24"/>
  <c r="O165" i="24"/>
  <c r="L165" i="24"/>
  <c r="I165" i="24"/>
  <c r="O164" i="24"/>
  <c r="L164" i="24"/>
  <c r="I164" i="24"/>
  <c r="O163" i="24"/>
  <c r="L163" i="24"/>
  <c r="I163" i="24"/>
  <c r="O162" i="24"/>
  <c r="L162" i="24"/>
  <c r="I162" i="24"/>
  <c r="O161" i="24"/>
  <c r="L161" i="24"/>
  <c r="I161" i="24"/>
  <c r="O160" i="24"/>
  <c r="L160" i="24"/>
  <c r="I160" i="24"/>
  <c r="O159" i="24"/>
  <c r="L159" i="24"/>
  <c r="I159" i="24"/>
  <c r="O158" i="24"/>
  <c r="L158" i="24"/>
  <c r="I158" i="24"/>
  <c r="O157" i="24"/>
  <c r="L157" i="24"/>
  <c r="I157" i="24"/>
  <c r="O156" i="24"/>
  <c r="L156" i="24"/>
  <c r="I156" i="24"/>
  <c r="O155" i="24"/>
  <c r="L155" i="24"/>
  <c r="I155" i="24"/>
  <c r="O154" i="24"/>
  <c r="L154" i="24"/>
  <c r="I154" i="24"/>
  <c r="O153" i="24"/>
  <c r="L153" i="24"/>
  <c r="I153" i="24"/>
  <c r="O152" i="24"/>
  <c r="L152" i="24"/>
  <c r="I152" i="24"/>
  <c r="O151" i="24"/>
  <c r="L151" i="24"/>
  <c r="I151" i="24"/>
  <c r="O150" i="24"/>
  <c r="L150" i="24"/>
  <c r="I150" i="24"/>
  <c r="O149" i="24"/>
  <c r="L149" i="24"/>
  <c r="I149" i="24"/>
  <c r="O148" i="24"/>
  <c r="L148" i="24"/>
  <c r="I148" i="24"/>
  <c r="O147" i="24"/>
  <c r="L147" i="24"/>
  <c r="I147" i="24"/>
  <c r="O146" i="24"/>
  <c r="L146" i="24"/>
  <c r="I146" i="24"/>
  <c r="O145" i="24"/>
  <c r="L145" i="24"/>
  <c r="I145" i="24"/>
  <c r="O144" i="24"/>
  <c r="L144" i="24"/>
  <c r="I144" i="24"/>
  <c r="O143" i="24"/>
  <c r="L143" i="24"/>
  <c r="I143" i="24"/>
  <c r="O142" i="24"/>
  <c r="L142" i="24"/>
  <c r="I142" i="24"/>
  <c r="O141" i="24"/>
  <c r="L141" i="24"/>
  <c r="I141" i="24"/>
  <c r="O140" i="24"/>
  <c r="L140" i="24"/>
  <c r="I140" i="24"/>
  <c r="O139" i="24"/>
  <c r="L139" i="24"/>
  <c r="I139" i="24"/>
  <c r="O138" i="24"/>
  <c r="L138" i="24"/>
  <c r="I138" i="24"/>
  <c r="O137" i="24"/>
  <c r="L137" i="24"/>
  <c r="I137" i="24"/>
  <c r="O136" i="24"/>
  <c r="L136" i="24"/>
  <c r="I136" i="24"/>
  <c r="O135" i="24"/>
  <c r="L135" i="24"/>
  <c r="I135" i="24"/>
  <c r="O134" i="24"/>
  <c r="L134" i="24"/>
  <c r="I134" i="24"/>
  <c r="N133" i="24"/>
  <c r="O133" i="24" s="1"/>
  <c r="M133" i="24"/>
  <c r="K133" i="24"/>
  <c r="L133" i="24" s="1"/>
  <c r="J133" i="24"/>
  <c r="H133" i="24"/>
  <c r="I133" i="24" s="1"/>
  <c r="G133" i="24"/>
  <c r="F133" i="24"/>
  <c r="E133" i="24"/>
  <c r="O132" i="24"/>
  <c r="L132" i="24"/>
  <c r="I132" i="24"/>
  <c r="O131" i="24"/>
  <c r="L131" i="24"/>
  <c r="I131" i="24"/>
  <c r="O130" i="24"/>
  <c r="L130" i="24"/>
  <c r="I130" i="24"/>
  <c r="O129" i="24"/>
  <c r="L129" i="24"/>
  <c r="I129" i="24"/>
  <c r="O128" i="24"/>
  <c r="L128" i="24"/>
  <c r="I128" i="24"/>
  <c r="O127" i="24"/>
  <c r="L127" i="24"/>
  <c r="I127" i="24"/>
  <c r="O126" i="24"/>
  <c r="L126" i="24"/>
  <c r="I126" i="24"/>
  <c r="O125" i="24"/>
  <c r="L125" i="24"/>
  <c r="I125" i="24"/>
  <c r="O124" i="24"/>
  <c r="L124" i="24"/>
  <c r="I124" i="24"/>
  <c r="O123" i="24"/>
  <c r="L123" i="24"/>
  <c r="I123" i="24"/>
  <c r="O122" i="24"/>
  <c r="L122" i="24"/>
  <c r="I122" i="24"/>
  <c r="O121" i="24"/>
  <c r="L121" i="24"/>
  <c r="I121" i="24"/>
  <c r="O120" i="24"/>
  <c r="L120" i="24"/>
  <c r="I120" i="24"/>
  <c r="O119" i="24"/>
  <c r="L119" i="24"/>
  <c r="I119" i="24"/>
  <c r="O118" i="24"/>
  <c r="L118" i="24"/>
  <c r="I118" i="24"/>
  <c r="O117" i="24"/>
  <c r="L117" i="24"/>
  <c r="I117" i="24"/>
  <c r="O116" i="24"/>
  <c r="L116" i="24"/>
  <c r="I116" i="24"/>
  <c r="O115" i="24"/>
  <c r="L115" i="24"/>
  <c r="I115" i="24"/>
  <c r="O114" i="24"/>
  <c r="L114" i="24"/>
  <c r="I114" i="24"/>
  <c r="O113" i="24"/>
  <c r="L113" i="24"/>
  <c r="I113" i="24"/>
  <c r="O112" i="24"/>
  <c r="L112" i="24"/>
  <c r="I112" i="24"/>
  <c r="O111" i="24"/>
  <c r="L111" i="24"/>
  <c r="I111" i="24"/>
  <c r="O110" i="24"/>
  <c r="L110" i="24"/>
  <c r="I110" i="24"/>
  <c r="O109" i="24"/>
  <c r="L109" i="24"/>
  <c r="I109" i="24"/>
  <c r="O108" i="24"/>
  <c r="L108" i="24"/>
  <c r="I108" i="24"/>
  <c r="O107" i="24"/>
  <c r="L107" i="24"/>
  <c r="I107" i="24"/>
  <c r="O106" i="24"/>
  <c r="L106" i="24"/>
  <c r="I106" i="24"/>
  <c r="O105" i="24"/>
  <c r="L105" i="24"/>
  <c r="I105" i="24"/>
  <c r="O104" i="24"/>
  <c r="L104" i="24"/>
  <c r="I104" i="24"/>
  <c r="O103" i="24"/>
  <c r="L103" i="24"/>
  <c r="I103" i="24"/>
  <c r="O102" i="24"/>
  <c r="L102" i="24"/>
  <c r="I102" i="24"/>
  <c r="O101" i="24"/>
  <c r="L101" i="24"/>
  <c r="I101" i="24"/>
  <c r="O100" i="24"/>
  <c r="L100" i="24"/>
  <c r="I100" i="24"/>
  <c r="O99" i="24"/>
  <c r="L99" i="24"/>
  <c r="I99" i="24"/>
  <c r="O98" i="24"/>
  <c r="L98" i="24"/>
  <c r="I98" i="24"/>
  <c r="O97" i="24"/>
  <c r="L97" i="24"/>
  <c r="I97" i="24"/>
  <c r="O96" i="24"/>
  <c r="L96" i="24"/>
  <c r="I96" i="24"/>
  <c r="O95" i="24"/>
  <c r="L95" i="24"/>
  <c r="I95" i="24"/>
  <c r="O94" i="24"/>
  <c r="L94" i="24"/>
  <c r="I94" i="24"/>
  <c r="N93" i="24"/>
  <c r="O93" i="24" s="1"/>
  <c r="M93" i="24"/>
  <c r="K93" i="24"/>
  <c r="L93" i="24" s="1"/>
  <c r="J93" i="24"/>
  <c r="H93" i="24"/>
  <c r="I93" i="24" s="1"/>
  <c r="G93" i="24"/>
  <c r="F93" i="24"/>
  <c r="E93" i="24"/>
  <c r="O92" i="24"/>
  <c r="L92" i="24"/>
  <c r="I92" i="24"/>
  <c r="O91" i="24"/>
  <c r="L91" i="24"/>
  <c r="I91" i="24"/>
  <c r="O90" i="24"/>
  <c r="L90" i="24"/>
  <c r="I90" i="24"/>
  <c r="O89" i="24"/>
  <c r="L89" i="24"/>
  <c r="I89" i="24"/>
  <c r="O88" i="24"/>
  <c r="L88" i="24"/>
  <c r="I88" i="24"/>
  <c r="O87" i="24"/>
  <c r="L87" i="24"/>
  <c r="I87" i="24"/>
  <c r="O86" i="24"/>
  <c r="L86" i="24"/>
  <c r="I86" i="24"/>
  <c r="O85" i="24"/>
  <c r="L85" i="24"/>
  <c r="I85" i="24"/>
  <c r="O84" i="24"/>
  <c r="L84" i="24"/>
  <c r="I84" i="24"/>
  <c r="O83" i="24"/>
  <c r="L83" i="24"/>
  <c r="I83" i="24"/>
  <c r="O82" i="24"/>
  <c r="L82" i="24"/>
  <c r="I82" i="24"/>
  <c r="O81" i="24"/>
  <c r="L81" i="24"/>
  <c r="I81" i="24"/>
  <c r="O80" i="24"/>
  <c r="L80" i="24"/>
  <c r="I80" i="24"/>
  <c r="O79" i="24"/>
  <c r="L79" i="24"/>
  <c r="I79" i="24"/>
  <c r="O78" i="24"/>
  <c r="L78" i="24"/>
  <c r="I78" i="24"/>
  <c r="O77" i="24"/>
  <c r="L77" i="24"/>
  <c r="I77" i="24"/>
  <c r="O76" i="24"/>
  <c r="L76" i="24"/>
  <c r="I76" i="24"/>
  <c r="O75" i="24"/>
  <c r="L75" i="24"/>
  <c r="I75" i="24"/>
  <c r="O74" i="24"/>
  <c r="L74" i="24"/>
  <c r="I74" i="24"/>
  <c r="O73" i="24"/>
  <c r="L73" i="24"/>
  <c r="I73" i="24"/>
  <c r="O72" i="24"/>
  <c r="L72" i="24"/>
  <c r="I72" i="24"/>
  <c r="O71" i="24"/>
  <c r="L71" i="24"/>
  <c r="I71" i="24"/>
  <c r="O70" i="24"/>
  <c r="L70" i="24"/>
  <c r="I70" i="24"/>
  <c r="O69" i="24"/>
  <c r="L69" i="24"/>
  <c r="I69" i="24"/>
  <c r="O68" i="24"/>
  <c r="L68" i="24"/>
  <c r="I68" i="24"/>
  <c r="O67" i="24"/>
  <c r="L67" i="24"/>
  <c r="I67" i="24"/>
  <c r="O66" i="24"/>
  <c r="L66" i="24"/>
  <c r="I66" i="24"/>
  <c r="O65" i="24"/>
  <c r="L65" i="24"/>
  <c r="I65" i="24"/>
  <c r="O64" i="24"/>
  <c r="L64" i="24"/>
  <c r="I64" i="24"/>
  <c r="O63" i="24"/>
  <c r="L63" i="24"/>
  <c r="I63" i="24"/>
  <c r="O62" i="24"/>
  <c r="L62" i="24"/>
  <c r="I62" i="24"/>
  <c r="O61" i="24"/>
  <c r="L61" i="24"/>
  <c r="I61" i="24"/>
  <c r="O60" i="24"/>
  <c r="L60" i="24"/>
  <c r="I60" i="24"/>
  <c r="O59" i="24"/>
  <c r="L59" i="24"/>
  <c r="I59" i="24"/>
  <c r="O58" i="24"/>
  <c r="L58" i="24"/>
  <c r="I58" i="24"/>
  <c r="O57" i="24"/>
  <c r="L57" i="24"/>
  <c r="I57" i="24"/>
  <c r="O56" i="24"/>
  <c r="L56" i="24"/>
  <c r="I56" i="24"/>
  <c r="O55" i="24"/>
  <c r="L55" i="24"/>
  <c r="I55" i="24"/>
  <c r="N54" i="24"/>
  <c r="M54" i="24"/>
  <c r="M431" i="24" s="1"/>
  <c r="K54" i="24"/>
  <c r="K431" i="24" s="1"/>
  <c r="J54" i="24"/>
  <c r="J431" i="24" s="1"/>
  <c r="H54" i="24"/>
  <c r="H431" i="24" s="1"/>
  <c r="G54" i="24"/>
  <c r="G431" i="24" s="1"/>
  <c r="F54" i="24"/>
  <c r="E54" i="24"/>
  <c r="E431" i="24" s="1"/>
  <c r="O53" i="24"/>
  <c r="L53" i="24"/>
  <c r="I53" i="24"/>
  <c r="O52" i="24"/>
  <c r="L52" i="24"/>
  <c r="I52" i="24"/>
  <c r="O51" i="24"/>
  <c r="L51" i="24"/>
  <c r="I51" i="24"/>
  <c r="O50" i="24"/>
  <c r="L50" i="24"/>
  <c r="I50" i="24"/>
  <c r="O49" i="24"/>
  <c r="L49" i="24"/>
  <c r="I49" i="24"/>
  <c r="O48" i="24"/>
  <c r="L48" i="24"/>
  <c r="I48" i="24"/>
  <c r="O47" i="24"/>
  <c r="L47" i="24"/>
  <c r="I47" i="24"/>
  <c r="O46" i="24"/>
  <c r="L46" i="24"/>
  <c r="I46" i="24"/>
  <c r="O45" i="24"/>
  <c r="L45" i="24"/>
  <c r="I45" i="24"/>
  <c r="O44" i="24"/>
  <c r="L44" i="24"/>
  <c r="I44" i="24"/>
  <c r="O43" i="24"/>
  <c r="L43" i="24"/>
  <c r="I43" i="24"/>
  <c r="O42" i="24"/>
  <c r="L42" i="24"/>
  <c r="I42" i="24"/>
  <c r="O41" i="24"/>
  <c r="L41" i="24"/>
  <c r="I41" i="24"/>
  <c r="O40" i="24"/>
  <c r="L40" i="24"/>
  <c r="I40" i="24"/>
  <c r="O39" i="24"/>
  <c r="L39" i="24"/>
  <c r="I39" i="24"/>
  <c r="O38" i="24"/>
  <c r="L38" i="24"/>
  <c r="I38" i="24"/>
  <c r="O37" i="24"/>
  <c r="L37" i="24"/>
  <c r="I37" i="24"/>
  <c r="O36" i="24"/>
  <c r="L36" i="24"/>
  <c r="I36" i="24"/>
  <c r="O35" i="24"/>
  <c r="L35" i="24"/>
  <c r="I35" i="24"/>
  <c r="O34" i="24"/>
  <c r="L34" i="24"/>
  <c r="I34" i="24"/>
  <c r="O33" i="24"/>
  <c r="L33" i="24"/>
  <c r="I33" i="24"/>
  <c r="O32" i="24"/>
  <c r="L32" i="24"/>
  <c r="I32" i="24"/>
  <c r="O31" i="24"/>
  <c r="L31" i="24"/>
  <c r="I31" i="24"/>
  <c r="O30" i="24"/>
  <c r="L30" i="24"/>
  <c r="I30" i="24"/>
  <c r="O29" i="24"/>
  <c r="L29" i="24"/>
  <c r="I29" i="24"/>
  <c r="O28" i="24"/>
  <c r="L28" i="24"/>
  <c r="I28" i="24"/>
  <c r="O27" i="24"/>
  <c r="L27" i="24"/>
  <c r="I27" i="24"/>
  <c r="O26" i="24"/>
  <c r="L26" i="24"/>
  <c r="I26" i="24"/>
  <c r="O25" i="24"/>
  <c r="L25" i="24"/>
  <c r="I25" i="24"/>
  <c r="O24" i="24"/>
  <c r="L24" i="24"/>
  <c r="I24" i="24"/>
  <c r="O23" i="24"/>
  <c r="L23" i="24"/>
  <c r="I23" i="24"/>
  <c r="O22" i="24"/>
  <c r="L22" i="24"/>
  <c r="I22" i="24"/>
  <c r="O21" i="24"/>
  <c r="L21" i="24"/>
  <c r="I21" i="24"/>
  <c r="O20" i="24"/>
  <c r="L20" i="24"/>
  <c r="I20" i="24"/>
  <c r="O19" i="24"/>
  <c r="L19" i="24"/>
  <c r="I19" i="24"/>
  <c r="O18" i="24"/>
  <c r="L18" i="24"/>
  <c r="I18" i="24"/>
  <c r="O17" i="24"/>
  <c r="L17" i="24"/>
  <c r="I17" i="24"/>
  <c r="O16" i="24"/>
  <c r="L16" i="24"/>
  <c r="I16" i="24"/>
  <c r="O15" i="24"/>
  <c r="L15" i="24"/>
  <c r="I15" i="24"/>
  <c r="O14" i="24"/>
  <c r="L14" i="24"/>
  <c r="I14" i="24"/>
  <c r="O13" i="24"/>
  <c r="L13" i="24"/>
  <c r="I13" i="24"/>
  <c r="O12" i="24"/>
  <c r="L12" i="24"/>
  <c r="I12" i="24"/>
  <c r="O11" i="24"/>
  <c r="L11" i="24"/>
  <c r="I11" i="24"/>
  <c r="O10" i="24"/>
  <c r="L10" i="24"/>
  <c r="I10" i="24"/>
  <c r="O9" i="24"/>
  <c r="L9" i="24"/>
  <c r="I9" i="24"/>
  <c r="L373" i="23"/>
  <c r="I373" i="23"/>
  <c r="G373" i="23"/>
  <c r="H373" i="23" s="1"/>
  <c r="F373" i="23"/>
  <c r="L372" i="23"/>
  <c r="I372" i="23"/>
  <c r="G372" i="23"/>
  <c r="H372" i="23" s="1"/>
  <c r="F372" i="23"/>
  <c r="L371" i="23"/>
  <c r="I371" i="23"/>
  <c r="G371" i="23"/>
  <c r="H371" i="23" s="1"/>
  <c r="F371" i="23"/>
  <c r="L370" i="23"/>
  <c r="I370" i="23"/>
  <c r="G370" i="23"/>
  <c r="F370" i="23"/>
  <c r="L369" i="23"/>
  <c r="I369" i="23"/>
  <c r="G369" i="23"/>
  <c r="F369" i="23"/>
  <c r="L368" i="23"/>
  <c r="I368" i="23"/>
  <c r="G368" i="23"/>
  <c r="H368" i="23" s="1"/>
  <c r="F368" i="23"/>
  <c r="L367" i="23"/>
  <c r="I367" i="23"/>
  <c r="I374" i="23" s="1"/>
  <c r="G367" i="23"/>
  <c r="H367" i="23" s="1"/>
  <c r="F367" i="23"/>
  <c r="L366" i="23"/>
  <c r="L374" i="23" s="1"/>
  <c r="I366" i="23"/>
  <c r="G366" i="23"/>
  <c r="F366" i="23"/>
  <c r="H364" i="23"/>
  <c r="H363" i="23"/>
  <c r="H362" i="23"/>
  <c r="H361" i="23"/>
  <c r="H360" i="23"/>
  <c r="H359" i="23"/>
  <c r="H358" i="23"/>
  <c r="H357" i="23"/>
  <c r="H356" i="23"/>
  <c r="H355" i="23"/>
  <c r="H354" i="23"/>
  <c r="H353" i="23"/>
  <c r="H352" i="23"/>
  <c r="H351" i="23"/>
  <c r="H350" i="23"/>
  <c r="H349" i="23"/>
  <c r="H348" i="23"/>
  <c r="H347" i="23"/>
  <c r="H346" i="23"/>
  <c r="H345" i="23"/>
  <c r="H344" i="23"/>
  <c r="H343" i="23"/>
  <c r="H342" i="23"/>
  <c r="H341" i="23"/>
  <c r="H340" i="23"/>
  <c r="H339" i="23"/>
  <c r="H338" i="23"/>
  <c r="H337" i="23"/>
  <c r="H336" i="23"/>
  <c r="H335" i="23"/>
  <c r="H334" i="23"/>
  <c r="H333" i="23"/>
  <c r="H332" i="23"/>
  <c r="H331" i="23"/>
  <c r="H330" i="23"/>
  <c r="H329" i="23"/>
  <c r="H328" i="23"/>
  <c r="H327" i="23"/>
  <c r="H326" i="23"/>
  <c r="H325" i="23"/>
  <c r="H324" i="23"/>
  <c r="H323" i="23"/>
  <c r="H322" i="23"/>
  <c r="H321" i="23"/>
  <c r="H320" i="23"/>
  <c r="H319" i="23"/>
  <c r="H318" i="23"/>
  <c r="H317" i="23"/>
  <c r="H316" i="23"/>
  <c r="Q315" i="23"/>
  <c r="H315" i="23"/>
  <c r="Q314" i="23"/>
  <c r="H314" i="23"/>
  <c r="Q313" i="23"/>
  <c r="H313" i="23"/>
  <c r="H312" i="23"/>
  <c r="H311" i="23"/>
  <c r="H310" i="23"/>
  <c r="H309" i="23"/>
  <c r="Q308" i="23"/>
  <c r="H308" i="23"/>
  <c r="Q307" i="23"/>
  <c r="H307" i="23"/>
  <c r="Q306" i="23"/>
  <c r="H306" i="23"/>
  <c r="Q305" i="23"/>
  <c r="H305" i="23"/>
  <c r="H304" i="23"/>
  <c r="H303" i="23"/>
  <c r="H302" i="23"/>
  <c r="H301" i="23"/>
  <c r="H300" i="23"/>
  <c r="H299" i="23"/>
  <c r="H298" i="23"/>
  <c r="H297" i="23"/>
  <c r="H296" i="23"/>
  <c r="H295" i="23"/>
  <c r="Q294" i="23"/>
  <c r="H294" i="23"/>
  <c r="Q293" i="23"/>
  <c r="H293" i="23"/>
  <c r="Q292" i="23"/>
  <c r="H292" i="23"/>
  <c r="Q291" i="23"/>
  <c r="H291" i="23"/>
  <c r="Q290" i="23"/>
  <c r="H290" i="23"/>
  <c r="H289" i="23"/>
  <c r="H288" i="23"/>
  <c r="Q287" i="23"/>
  <c r="H287" i="23"/>
  <c r="Q286" i="23"/>
  <c r="H286" i="23"/>
  <c r="H285" i="23"/>
  <c r="H284" i="23"/>
  <c r="H283" i="23"/>
  <c r="H282" i="23"/>
  <c r="H281" i="23"/>
  <c r="H280" i="23"/>
  <c r="H279" i="23"/>
  <c r="H278" i="23"/>
  <c r="H277" i="23"/>
  <c r="H276" i="23"/>
  <c r="H275" i="23"/>
  <c r="H274" i="23"/>
  <c r="H273" i="23"/>
  <c r="H272" i="23"/>
  <c r="H271" i="23"/>
  <c r="H270" i="23"/>
  <c r="H269" i="23"/>
  <c r="H268" i="23"/>
  <c r="H267" i="23"/>
  <c r="H266" i="23"/>
  <c r="H265" i="23"/>
  <c r="H264" i="23"/>
  <c r="H263" i="23"/>
  <c r="H262" i="23"/>
  <c r="H261" i="23"/>
  <c r="H260" i="23"/>
  <c r="H259" i="23"/>
  <c r="H258" i="23"/>
  <c r="H257" i="23"/>
  <c r="H256" i="23"/>
  <c r="H255" i="23"/>
  <c r="H254" i="23"/>
  <c r="H253" i="23"/>
  <c r="H252" i="23"/>
  <c r="H251" i="23"/>
  <c r="H250" i="23"/>
  <c r="H249" i="23"/>
  <c r="H248" i="23"/>
  <c r="H247" i="23"/>
  <c r="H246" i="23"/>
  <c r="H245" i="23"/>
  <c r="H244" i="23"/>
  <c r="H243" i="23"/>
  <c r="H242" i="23"/>
  <c r="H241" i="23"/>
  <c r="H240" i="23"/>
  <c r="H239" i="23"/>
  <c r="H238" i="23"/>
  <c r="H237" i="23"/>
  <c r="H236" i="23"/>
  <c r="H235" i="23"/>
  <c r="H234" i="23"/>
  <c r="H233" i="23"/>
  <c r="H232" i="23"/>
  <c r="H231" i="23"/>
  <c r="H230" i="23"/>
  <c r="H229" i="23"/>
  <c r="H228" i="23"/>
  <c r="H227" i="23"/>
  <c r="H226" i="23"/>
  <c r="H225" i="23"/>
  <c r="H224" i="23"/>
  <c r="H223" i="23"/>
  <c r="H222" i="23"/>
  <c r="H221" i="23"/>
  <c r="H220" i="23"/>
  <c r="H219" i="23"/>
  <c r="H218" i="23"/>
  <c r="H217" i="23"/>
  <c r="H216" i="23"/>
  <c r="H215" i="23"/>
  <c r="H214" i="23"/>
  <c r="H213" i="23"/>
  <c r="H212" i="23"/>
  <c r="H211" i="23"/>
  <c r="H210" i="23"/>
  <c r="H209" i="23"/>
  <c r="H208" i="23"/>
  <c r="H207" i="23"/>
  <c r="H206" i="23"/>
  <c r="H205" i="23"/>
  <c r="H204" i="23"/>
  <c r="H203" i="23"/>
  <c r="H202" i="23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P372" i="22"/>
  <c r="O372" i="22"/>
  <c r="L372" i="22"/>
  <c r="I372" i="22"/>
  <c r="G372" i="22"/>
  <c r="H372" i="22" s="1"/>
  <c r="F372" i="22"/>
  <c r="P371" i="22"/>
  <c r="O371" i="22"/>
  <c r="L371" i="22"/>
  <c r="I371" i="22"/>
  <c r="G371" i="22"/>
  <c r="F371" i="22"/>
  <c r="P370" i="22"/>
  <c r="O370" i="22"/>
  <c r="L370" i="22"/>
  <c r="I370" i="22"/>
  <c r="G370" i="22"/>
  <c r="H370" i="22" s="1"/>
  <c r="F370" i="22"/>
  <c r="P369" i="22"/>
  <c r="O369" i="22"/>
  <c r="L369" i="22"/>
  <c r="I369" i="22"/>
  <c r="G369" i="22"/>
  <c r="H369" i="22" s="1"/>
  <c r="F369" i="22"/>
  <c r="P368" i="22"/>
  <c r="O368" i="22"/>
  <c r="L368" i="22"/>
  <c r="I368" i="22"/>
  <c r="G368" i="22"/>
  <c r="F368" i="22"/>
  <c r="P367" i="22"/>
  <c r="O367" i="22"/>
  <c r="L367" i="22"/>
  <c r="L373" i="22" s="1"/>
  <c r="I367" i="22"/>
  <c r="G367" i="22"/>
  <c r="F367" i="22"/>
  <c r="P366" i="22"/>
  <c r="O366" i="22"/>
  <c r="L366" i="22"/>
  <c r="I366" i="22"/>
  <c r="G366" i="22"/>
  <c r="F366" i="22"/>
  <c r="H366" i="22" s="1"/>
  <c r="L365" i="22"/>
  <c r="I365" i="22"/>
  <c r="G365" i="22"/>
  <c r="H365" i="22" s="1"/>
  <c r="F365" i="22"/>
  <c r="P363" i="22" a="1"/>
  <c r="P363" i="22" s="1"/>
  <c r="O363" i="22"/>
  <c r="P362" i="22" a="1"/>
  <c r="P362" i="22" s="1"/>
  <c r="O362" i="22"/>
  <c r="P361" i="22" a="1"/>
  <c r="P361" i="22" s="1"/>
  <c r="O361" i="22"/>
  <c r="P360" i="22" a="1"/>
  <c r="P360" i="22" s="1"/>
  <c r="O360" i="22"/>
  <c r="P359" i="22" a="1"/>
  <c r="P359" i="22" s="1"/>
  <c r="O359" i="22"/>
  <c r="P358" i="22" a="1"/>
  <c r="P358" i="22" s="1"/>
  <c r="O358" i="22"/>
  <c r="P357" i="22" a="1"/>
  <c r="P357" i="22" s="1"/>
  <c r="O357" i="22"/>
  <c r="P356" i="22"/>
  <c r="P356" i="22" a="1"/>
  <c r="O356" i="22"/>
  <c r="P355" i="22" a="1"/>
  <c r="P355" i="22" s="1"/>
  <c r="O355" i="22"/>
  <c r="P354" i="22" a="1"/>
  <c r="P354" i="22" s="1"/>
  <c r="O354" i="22"/>
  <c r="P353" i="22"/>
  <c r="P353" i="22" a="1"/>
  <c r="O353" i="22"/>
  <c r="P352" i="22" a="1"/>
  <c r="P352" i="22" s="1"/>
  <c r="O352" i="22"/>
  <c r="P351" i="22" a="1"/>
  <c r="P351" i="22" s="1"/>
  <c r="O351" i="22"/>
  <c r="P350" i="22"/>
  <c r="P350" i="22" a="1"/>
  <c r="O350" i="22"/>
  <c r="P349" i="22" a="1"/>
  <c r="P349" i="22" s="1"/>
  <c r="O349" i="22"/>
  <c r="P348" i="22"/>
  <c r="P348" i="22" a="1"/>
  <c r="O348" i="22"/>
  <c r="P347" i="22" a="1"/>
  <c r="P347" i="22" s="1"/>
  <c r="O347" i="22"/>
  <c r="P346" i="22" a="1"/>
  <c r="P346" i="22" s="1"/>
  <c r="O346" i="22"/>
  <c r="P345" i="22" a="1"/>
  <c r="P345" i="22" s="1"/>
  <c r="O345" i="22"/>
  <c r="P344" i="22"/>
  <c r="P344" i="22" a="1"/>
  <c r="O344" i="22"/>
  <c r="P343" i="22" a="1"/>
  <c r="P343" i="22" s="1"/>
  <c r="O343" i="22"/>
  <c r="P342" i="22" a="1"/>
  <c r="P342" i="22" s="1"/>
  <c r="O342" i="22"/>
  <c r="P341" i="22"/>
  <c r="P341" i="22" a="1"/>
  <c r="O341" i="22"/>
  <c r="P340" i="22" a="1"/>
  <c r="P340" i="22" s="1"/>
  <c r="O340" i="22"/>
  <c r="P339" i="22" a="1"/>
  <c r="P339" i="22" s="1"/>
  <c r="O339" i="22"/>
  <c r="P338" i="22" a="1"/>
  <c r="P338" i="22" s="1"/>
  <c r="O338" i="22"/>
  <c r="P337" i="22" a="1"/>
  <c r="P337" i="22" s="1"/>
  <c r="O337" i="22"/>
  <c r="P336" i="22" a="1"/>
  <c r="P336" i="22" s="1"/>
  <c r="O336" i="22"/>
  <c r="P335" i="22"/>
  <c r="P335" i="22" a="1"/>
  <c r="O335" i="22"/>
  <c r="P334" i="22" a="1"/>
  <c r="P334" i="22" s="1"/>
  <c r="O334" i="22"/>
  <c r="P333" i="22" a="1"/>
  <c r="P333" i="22" s="1"/>
  <c r="O333" i="22"/>
  <c r="P332" i="22"/>
  <c r="P332" i="22" a="1"/>
  <c r="O332" i="22"/>
  <c r="P331" i="22" a="1"/>
  <c r="P331" i="22" s="1"/>
  <c r="O331" i="22"/>
  <c r="P330" i="22" a="1"/>
  <c r="P330" i="22" s="1"/>
  <c r="O330" i="22"/>
  <c r="P329" i="22" a="1"/>
  <c r="P329" i="22" s="1"/>
  <c r="O329" i="22"/>
  <c r="P328" i="22" a="1"/>
  <c r="P328" i="22" s="1"/>
  <c r="O328" i="22"/>
  <c r="P327" i="22" a="1"/>
  <c r="P327" i="22" s="1"/>
  <c r="O327" i="22"/>
  <c r="P326" i="22" a="1"/>
  <c r="P326" i="22" s="1"/>
  <c r="O326" i="22"/>
  <c r="P325" i="22" a="1"/>
  <c r="P325" i="22" s="1"/>
  <c r="O325" i="22"/>
  <c r="P324" i="22" a="1"/>
  <c r="P324" i="22" s="1"/>
  <c r="O324" i="22"/>
  <c r="P323" i="22" a="1"/>
  <c r="P323" i="22" s="1"/>
  <c r="O323" i="22"/>
  <c r="P322" i="22" a="1"/>
  <c r="P322" i="22" s="1"/>
  <c r="O322" i="22"/>
  <c r="P321" i="22"/>
  <c r="P321" i="22" a="1"/>
  <c r="O321" i="22"/>
  <c r="P320" i="22" a="1"/>
  <c r="P320" i="22" s="1"/>
  <c r="O320" i="22"/>
  <c r="P319" i="22" a="1"/>
  <c r="P319" i="22" s="1"/>
  <c r="O319" i="22"/>
  <c r="P318" i="22" a="1"/>
  <c r="P318" i="22" s="1"/>
  <c r="O318" i="22"/>
  <c r="P317" i="22" a="1"/>
  <c r="P317" i="22" s="1"/>
  <c r="P316" i="22" a="1"/>
  <c r="P316" i="22" s="1"/>
  <c r="P315" i="22" a="1"/>
  <c r="P315" i="22" s="1"/>
  <c r="R314" i="22"/>
  <c r="P314" i="22" a="1"/>
  <c r="P314" i="22" s="1"/>
  <c r="O314" i="22"/>
  <c r="R313" i="22"/>
  <c r="P313" i="22"/>
  <c r="P313" i="22" a="1"/>
  <c r="O313" i="22"/>
  <c r="R312" i="22"/>
  <c r="P312" i="22" a="1"/>
  <c r="P312" i="22" s="1"/>
  <c r="O312" i="22"/>
  <c r="P311" i="22" a="1"/>
  <c r="P311" i="22" s="1"/>
  <c r="O311" i="22"/>
  <c r="P310" i="22" a="1"/>
  <c r="P310" i="22" s="1"/>
  <c r="O310" i="22"/>
  <c r="P309" i="22" a="1"/>
  <c r="P309" i="22" s="1"/>
  <c r="O309" i="22"/>
  <c r="P308" i="22" a="1"/>
  <c r="P308" i="22" s="1"/>
  <c r="O308" i="22"/>
  <c r="R307" i="22"/>
  <c r="P307" i="22"/>
  <c r="P307" i="22" a="1"/>
  <c r="O307" i="22"/>
  <c r="R306" i="22"/>
  <c r="P306" i="22" a="1"/>
  <c r="P306" i="22" s="1"/>
  <c r="O306" i="22"/>
  <c r="R305" i="22"/>
  <c r="P305" i="22"/>
  <c r="P305" i="22" a="1"/>
  <c r="O305" i="22"/>
  <c r="R304" i="22"/>
  <c r="P304" i="22" a="1"/>
  <c r="P304" i="22" s="1"/>
  <c r="O304" i="22"/>
  <c r="P303" i="22" a="1"/>
  <c r="P303" i="22" s="1"/>
  <c r="O303" i="22"/>
  <c r="P302" i="22" a="1"/>
  <c r="P302" i="22" s="1"/>
  <c r="O302" i="22"/>
  <c r="P301" i="22" a="1"/>
  <c r="P301" i="22" s="1"/>
  <c r="O301" i="22"/>
  <c r="P300" i="22" a="1"/>
  <c r="P300" i="22" s="1"/>
  <c r="O300" i="22"/>
  <c r="P299" i="22" a="1"/>
  <c r="P299" i="22" s="1"/>
  <c r="O299" i="22"/>
  <c r="P298" i="22" a="1"/>
  <c r="P298" i="22" s="1"/>
  <c r="O298" i="22"/>
  <c r="P297" i="22"/>
  <c r="P297" i="22" a="1"/>
  <c r="O297" i="22"/>
  <c r="P296" i="22" a="1"/>
  <c r="P296" i="22" s="1"/>
  <c r="O296" i="22"/>
  <c r="P295" i="22" a="1"/>
  <c r="P295" i="22" s="1"/>
  <c r="O295" i="22"/>
  <c r="P294" i="22" a="1"/>
  <c r="P294" i="22" s="1"/>
  <c r="O294" i="22"/>
  <c r="R293" i="22"/>
  <c r="P293" i="22" a="1"/>
  <c r="P293" i="22" s="1"/>
  <c r="O293" i="22"/>
  <c r="R292" i="22"/>
  <c r="P292" i="22" a="1"/>
  <c r="P292" i="22" s="1"/>
  <c r="O292" i="22"/>
  <c r="R291" i="22"/>
  <c r="P291" i="22" a="1"/>
  <c r="P291" i="22" s="1"/>
  <c r="O291" i="22"/>
  <c r="R290" i="22"/>
  <c r="P290" i="22" a="1"/>
  <c r="P290" i="22" s="1"/>
  <c r="O290" i="22"/>
  <c r="R289" i="22"/>
  <c r="P289" i="22" a="1"/>
  <c r="P289" i="22" s="1"/>
  <c r="O289" i="22"/>
  <c r="P288" i="22"/>
  <c r="P288" i="22" a="1"/>
  <c r="O288" i="22"/>
  <c r="P287" i="22"/>
  <c r="P287" i="22" a="1"/>
  <c r="O287" i="22"/>
  <c r="R286" i="22"/>
  <c r="P286" i="22" a="1"/>
  <c r="P286" i="22" s="1"/>
  <c r="O286" i="22"/>
  <c r="R285" i="22"/>
  <c r="P285" i="22"/>
  <c r="P285" i="22" a="1"/>
  <c r="O285" i="22"/>
  <c r="P284" i="22"/>
  <c r="P284" i="22" a="1"/>
  <c r="O284" i="22"/>
  <c r="P283" i="22" a="1"/>
  <c r="P283" i="22" s="1"/>
  <c r="O283" i="22"/>
  <c r="P282" i="22"/>
  <c r="P282" i="22" a="1"/>
  <c r="O282" i="22"/>
  <c r="P281" i="22"/>
  <c r="P281" i="22" a="1"/>
  <c r="O281" i="22"/>
  <c r="P280" i="22" a="1"/>
  <c r="P280" i="22" s="1"/>
  <c r="O280" i="22"/>
  <c r="P279" i="22" a="1"/>
  <c r="P279" i="22" s="1"/>
  <c r="O279" i="22"/>
  <c r="P278" i="22"/>
  <c r="P278" i="22" a="1"/>
  <c r="O278" i="22"/>
  <c r="P277" i="22"/>
  <c r="P277" i="22" a="1"/>
  <c r="O277" i="22"/>
  <c r="P276" i="22"/>
  <c r="P276" i="22" a="1"/>
  <c r="O276" i="22"/>
  <c r="P275" i="22" a="1"/>
  <c r="P275" i="22" s="1"/>
  <c r="O275" i="22"/>
  <c r="P274" i="22"/>
  <c r="P274" i="22" a="1"/>
  <c r="O274" i="22"/>
  <c r="P273" i="22"/>
  <c r="P273" i="22" a="1"/>
  <c r="O273" i="22"/>
  <c r="P272" i="22" a="1"/>
  <c r="P272" i="22" s="1"/>
  <c r="O272" i="22"/>
  <c r="P271" i="22" a="1"/>
  <c r="P271" i="22" s="1"/>
  <c r="O271" i="22"/>
  <c r="P270" i="22"/>
  <c r="P270" i="22" a="1"/>
  <c r="O270" i="22"/>
  <c r="P269" i="22"/>
  <c r="P269" i="22" a="1"/>
  <c r="O269" i="22"/>
  <c r="P268" i="22"/>
  <c r="P268" i="22" a="1"/>
  <c r="O268" i="22"/>
  <c r="P267" i="22" a="1"/>
  <c r="P267" i="22" s="1"/>
  <c r="O267" i="22"/>
  <c r="P266" i="22"/>
  <c r="P266" i="22" a="1"/>
  <c r="O266" i="22"/>
  <c r="P265" i="22"/>
  <c r="P265" i="22" a="1"/>
  <c r="O265" i="22"/>
  <c r="P264" i="22" a="1"/>
  <c r="P264" i="22" s="1"/>
  <c r="O264" i="22"/>
  <c r="P263" i="22" a="1"/>
  <c r="P263" i="22" s="1"/>
  <c r="O263" i="22"/>
  <c r="P262" i="22" a="1"/>
  <c r="P262" i="22" s="1"/>
  <c r="O262" i="22"/>
  <c r="P261" i="22"/>
  <c r="P261" i="22" a="1"/>
  <c r="O261" i="22"/>
  <c r="P260" i="22"/>
  <c r="P260" i="22" a="1"/>
  <c r="O260" i="22"/>
  <c r="P259" i="22" a="1"/>
  <c r="P259" i="22" s="1"/>
  <c r="O259" i="22"/>
  <c r="P258" i="22"/>
  <c r="P258" i="22" a="1"/>
  <c r="O258" i="22"/>
  <c r="P257" i="22"/>
  <c r="P257" i="22" a="1"/>
  <c r="O257" i="22"/>
  <c r="P256" i="22" a="1"/>
  <c r="P256" i="22" s="1"/>
  <c r="O256" i="22"/>
  <c r="P255" i="22" a="1"/>
  <c r="P255" i="22" s="1"/>
  <c r="O255" i="22"/>
  <c r="P254" i="22" a="1"/>
  <c r="P254" i="22" s="1"/>
  <c r="O254" i="22"/>
  <c r="P253" i="22" a="1"/>
  <c r="P253" i="22" s="1"/>
  <c r="O253" i="22"/>
  <c r="P252" i="22"/>
  <c r="P252" i="22" a="1"/>
  <c r="O252" i="22"/>
  <c r="P251" i="22" a="1"/>
  <c r="P251" i="22" s="1"/>
  <c r="O251" i="22"/>
  <c r="P250" i="22" a="1"/>
  <c r="P250" i="22" s="1"/>
  <c r="O250" i="22"/>
  <c r="P249" i="22"/>
  <c r="P249" i="22" a="1"/>
  <c r="O249" i="22"/>
  <c r="P248" i="22" a="1"/>
  <c r="P248" i="22" s="1"/>
  <c r="O248" i="22"/>
  <c r="P247" i="22" a="1"/>
  <c r="P247" i="22" s="1"/>
  <c r="O247" i="22"/>
  <c r="P246" i="22" a="1"/>
  <c r="P246" i="22" s="1"/>
  <c r="O246" i="22"/>
  <c r="P245" i="22" a="1"/>
  <c r="P245" i="22" s="1"/>
  <c r="O245" i="22"/>
  <c r="P244" i="22" a="1"/>
  <c r="P244" i="22" s="1"/>
  <c r="O244" i="22"/>
  <c r="P243" i="22" a="1"/>
  <c r="P243" i="22" s="1"/>
  <c r="O243" i="22"/>
  <c r="P242" i="22" a="1"/>
  <c r="P242" i="22" s="1"/>
  <c r="O242" i="22"/>
  <c r="P241" i="22" a="1"/>
  <c r="P241" i="22" s="1"/>
  <c r="O241" i="22"/>
  <c r="P240" i="22" a="1"/>
  <c r="P240" i="22" s="1"/>
  <c r="O240" i="22"/>
  <c r="P239" i="22" a="1"/>
  <c r="P239" i="22" s="1"/>
  <c r="O239" i="22"/>
  <c r="P238" i="22" a="1"/>
  <c r="P238" i="22" s="1"/>
  <c r="O238" i="22"/>
  <c r="P237" i="22" a="1"/>
  <c r="P237" i="22" s="1"/>
  <c r="O237" i="22"/>
  <c r="P236" i="22" a="1"/>
  <c r="P236" i="22" s="1"/>
  <c r="O236" i="22"/>
  <c r="P235" i="22" a="1"/>
  <c r="P235" i="22" s="1"/>
  <c r="O235" i="22"/>
  <c r="P234" i="22" a="1"/>
  <c r="P234" i="22" s="1"/>
  <c r="O234" i="22"/>
  <c r="P233" i="22" a="1"/>
  <c r="P233" i="22" s="1"/>
  <c r="O233" i="22"/>
  <c r="P232" i="22" a="1"/>
  <c r="P232" i="22" s="1"/>
  <c r="O232" i="22"/>
  <c r="P231" i="22" a="1"/>
  <c r="P231" i="22" s="1"/>
  <c r="O231" i="22"/>
  <c r="P230" i="22"/>
  <c r="P230" i="22" a="1"/>
  <c r="O230" i="22"/>
  <c r="P229" i="22" a="1"/>
  <c r="P229" i="22" s="1"/>
  <c r="O229" i="22"/>
  <c r="P228" i="22" a="1"/>
  <c r="P228" i="22" s="1"/>
  <c r="O228" i="22"/>
  <c r="P227" i="22" a="1"/>
  <c r="P227" i="22" s="1"/>
  <c r="O227" i="22"/>
  <c r="P226" i="22" a="1"/>
  <c r="P226" i="22" s="1"/>
  <c r="O226" i="22"/>
  <c r="P225" i="22" a="1"/>
  <c r="P225" i="22" s="1"/>
  <c r="O225" i="22"/>
  <c r="P224" i="22" a="1"/>
  <c r="P224" i="22" s="1"/>
  <c r="O224" i="22"/>
  <c r="P223" i="22" a="1"/>
  <c r="P223" i="22" s="1"/>
  <c r="O223" i="22"/>
  <c r="P222" i="22"/>
  <c r="P222" i="22" a="1"/>
  <c r="O222" i="22"/>
  <c r="P221" i="22"/>
  <c r="P221" i="22" a="1"/>
  <c r="O221" i="22"/>
  <c r="P220" i="22" a="1"/>
  <c r="P220" i="22" s="1"/>
  <c r="O220" i="22"/>
  <c r="P219" i="22" a="1"/>
  <c r="P219" i="22" s="1"/>
  <c r="O219" i="22"/>
  <c r="P218" i="22"/>
  <c r="P218" i="22" a="1"/>
  <c r="O218" i="22"/>
  <c r="P217" i="22" a="1"/>
  <c r="P217" i="22" s="1"/>
  <c r="O217" i="22"/>
  <c r="P216" i="22" a="1"/>
  <c r="P216" i="22" s="1"/>
  <c r="O216" i="22"/>
  <c r="P215" i="22" a="1"/>
  <c r="P215" i="22" s="1"/>
  <c r="O215" i="22"/>
  <c r="P214" i="22"/>
  <c r="P214" i="22" a="1"/>
  <c r="O214" i="22"/>
  <c r="P213" i="22"/>
  <c r="P213" i="22" a="1"/>
  <c r="O213" i="22"/>
  <c r="P212" i="22"/>
  <c r="P212" i="22" a="1"/>
  <c r="O212" i="22"/>
  <c r="P211" i="22" a="1"/>
  <c r="P211" i="22" s="1"/>
  <c r="O211" i="22"/>
  <c r="P210" i="22"/>
  <c r="P210" i="22" a="1"/>
  <c r="O210" i="22"/>
  <c r="P209" i="22"/>
  <c r="P209" i="22" a="1"/>
  <c r="O209" i="22"/>
  <c r="P208" i="22" a="1"/>
  <c r="P208" i="22" s="1"/>
  <c r="O208" i="22"/>
  <c r="P207" i="22" a="1"/>
  <c r="P207" i="22" s="1"/>
  <c r="O207" i="22"/>
  <c r="P206" i="22"/>
  <c r="P206" i="22" a="1"/>
  <c r="O206" i="22"/>
  <c r="P205" i="22"/>
  <c r="P205" i="22" a="1"/>
  <c r="O205" i="22"/>
  <c r="P204" i="22"/>
  <c r="P204" i="22" a="1"/>
  <c r="O204" i="22"/>
  <c r="P203" i="22" a="1"/>
  <c r="P203" i="22" s="1"/>
  <c r="O203" i="22"/>
  <c r="P202" i="22"/>
  <c r="P202" i="22" a="1"/>
  <c r="O202" i="22"/>
  <c r="P201" i="22"/>
  <c r="P201" i="22" a="1"/>
  <c r="O201" i="22"/>
  <c r="P200" i="22" a="1"/>
  <c r="P200" i="22" s="1"/>
  <c r="O200" i="22"/>
  <c r="P199" i="22" a="1"/>
  <c r="P199" i="22" s="1"/>
  <c r="O199" i="22"/>
  <c r="P198" i="22" a="1"/>
  <c r="P198" i="22" s="1"/>
  <c r="O198" i="22"/>
  <c r="P197" i="22"/>
  <c r="P197" i="22" a="1"/>
  <c r="O197" i="22"/>
  <c r="P196" i="22"/>
  <c r="P196" i="22" a="1"/>
  <c r="O196" i="22"/>
  <c r="P195" i="22" a="1"/>
  <c r="P195" i="22" s="1"/>
  <c r="O195" i="22"/>
  <c r="P194" i="22" a="1"/>
  <c r="P194" i="22" s="1"/>
  <c r="O194" i="22"/>
  <c r="P193" i="22" a="1"/>
  <c r="P193" i="22" s="1"/>
  <c r="O193" i="22"/>
  <c r="P192" i="22" a="1"/>
  <c r="P192" i="22" s="1"/>
  <c r="O192" i="22"/>
  <c r="P191" i="22" a="1"/>
  <c r="P191" i="22" s="1"/>
  <c r="O191" i="22"/>
  <c r="P190" i="22" a="1"/>
  <c r="P190" i="22" s="1"/>
  <c r="O190" i="22"/>
  <c r="P189" i="22" a="1"/>
  <c r="P189" i="22" s="1"/>
  <c r="O189" i="22"/>
  <c r="P188" i="22" a="1"/>
  <c r="P188" i="22" s="1"/>
  <c r="O188" i="22"/>
  <c r="P187" i="22" a="1"/>
  <c r="P187" i="22" s="1"/>
  <c r="O187" i="22"/>
  <c r="P186" i="22" a="1"/>
  <c r="P186" i="22" s="1"/>
  <c r="O186" i="22"/>
  <c r="P185" i="22"/>
  <c r="P185" i="22" a="1"/>
  <c r="O185" i="22"/>
  <c r="P184" i="22"/>
  <c r="P184" i="22" a="1"/>
  <c r="O184" i="22"/>
  <c r="P183" i="22" a="1"/>
  <c r="P183" i="22" s="1"/>
  <c r="O183" i="22"/>
  <c r="P182" i="22" a="1"/>
  <c r="P182" i="22" s="1"/>
  <c r="O182" i="22"/>
  <c r="P181" i="22"/>
  <c r="P181" i="22" a="1"/>
  <c r="O181" i="22"/>
  <c r="P180" i="22"/>
  <c r="P180" i="22" a="1"/>
  <c r="O180" i="22"/>
  <c r="P179" i="22" a="1"/>
  <c r="P179" i="22" s="1"/>
  <c r="O179" i="22"/>
  <c r="P178" i="22" a="1"/>
  <c r="P178" i="22" s="1"/>
  <c r="O178" i="22"/>
  <c r="P177" i="22" a="1"/>
  <c r="P177" i="22" s="1"/>
  <c r="O177" i="22"/>
  <c r="P176" i="22" a="1"/>
  <c r="P176" i="22" s="1"/>
  <c r="O176" i="22"/>
  <c r="P175" i="22" a="1"/>
  <c r="P175" i="22" s="1"/>
  <c r="O175" i="22"/>
  <c r="P174" i="22" a="1"/>
  <c r="P174" i="22" s="1"/>
  <c r="O174" i="22"/>
  <c r="P173" i="22" a="1"/>
  <c r="P173" i="22" s="1"/>
  <c r="O173" i="22"/>
  <c r="P172" i="22" a="1"/>
  <c r="P172" i="22" s="1"/>
  <c r="O172" i="22"/>
  <c r="P171" i="22" a="1"/>
  <c r="P171" i="22" s="1"/>
  <c r="O171" i="22"/>
  <c r="P170" i="22" a="1"/>
  <c r="P170" i="22" s="1"/>
  <c r="O170" i="22"/>
  <c r="P169" i="22"/>
  <c r="P169" i="22" a="1"/>
  <c r="O169" i="22"/>
  <c r="P168" i="22" a="1"/>
  <c r="P168" i="22" s="1"/>
  <c r="O168" i="22"/>
  <c r="P167" i="22" a="1"/>
  <c r="P167" i="22" s="1"/>
  <c r="O167" i="22"/>
  <c r="P166" i="22" a="1"/>
  <c r="P166" i="22" s="1"/>
  <c r="O166" i="22"/>
  <c r="P165" i="22"/>
  <c r="P165" i="22" a="1"/>
  <c r="O165" i="22"/>
  <c r="P164" i="22"/>
  <c r="P164" i="22" a="1"/>
  <c r="O164" i="22"/>
  <c r="P163" i="22" a="1"/>
  <c r="P163" i="22" s="1"/>
  <c r="O163" i="22"/>
  <c r="P162" i="22" a="1"/>
  <c r="P162" i="22" s="1"/>
  <c r="O162" i="22"/>
  <c r="P161" i="22" a="1"/>
  <c r="P161" i="22" s="1"/>
  <c r="O161" i="22"/>
  <c r="P160" i="22" a="1"/>
  <c r="P160" i="22" s="1"/>
  <c r="O160" i="22"/>
  <c r="P159" i="22" a="1"/>
  <c r="P159" i="22" s="1"/>
  <c r="O159" i="22"/>
  <c r="P158" i="22" a="1"/>
  <c r="P158" i="22" s="1"/>
  <c r="O158" i="22"/>
  <c r="P157" i="22" a="1"/>
  <c r="P157" i="22" s="1"/>
  <c r="O157" i="22"/>
  <c r="P156" i="22" a="1"/>
  <c r="P156" i="22" s="1"/>
  <c r="O156" i="22"/>
  <c r="P155" i="22" a="1"/>
  <c r="P155" i="22" s="1"/>
  <c r="O155" i="22"/>
  <c r="P154" i="22" a="1"/>
  <c r="P154" i="22" s="1"/>
  <c r="O154" i="22"/>
  <c r="P153" i="22"/>
  <c r="P153" i="22" a="1"/>
  <c r="O153" i="22"/>
  <c r="P152" i="22" a="1"/>
  <c r="P152" i="22" s="1"/>
  <c r="O152" i="22"/>
  <c r="P151" i="22" a="1"/>
  <c r="P151" i="22" s="1"/>
  <c r="O151" i="22"/>
  <c r="P150" i="22" a="1"/>
  <c r="P150" i="22" s="1"/>
  <c r="O150" i="22"/>
  <c r="P149" i="22"/>
  <c r="P149" i="22" a="1"/>
  <c r="O149" i="22"/>
  <c r="P148" i="22"/>
  <c r="P148" i="22" a="1"/>
  <c r="O148" i="22"/>
  <c r="P147" i="22" a="1"/>
  <c r="P147" i="22" s="1"/>
  <c r="O147" i="22"/>
  <c r="P146" i="22" a="1"/>
  <c r="P146" i="22" s="1"/>
  <c r="O146" i="22"/>
  <c r="P145" i="22" a="1"/>
  <c r="P145" i="22" s="1"/>
  <c r="O145" i="22"/>
  <c r="P144" i="22" a="1"/>
  <c r="P144" i="22" s="1"/>
  <c r="O144" i="22"/>
  <c r="P143" i="22" a="1"/>
  <c r="P143" i="22" s="1"/>
  <c r="O143" i="22"/>
  <c r="P142" i="22" a="1"/>
  <c r="P142" i="22" s="1"/>
  <c r="O142" i="22"/>
  <c r="P141" i="22" a="1"/>
  <c r="P141" i="22" s="1"/>
  <c r="O141" i="22"/>
  <c r="P140" i="22" a="1"/>
  <c r="P140" i="22" s="1"/>
  <c r="O140" i="22"/>
  <c r="P139" i="22" a="1"/>
  <c r="P139" i="22" s="1"/>
  <c r="O139" i="22"/>
  <c r="P138" i="22" a="1"/>
  <c r="P138" i="22" s="1"/>
  <c r="O138" i="22"/>
  <c r="P137" i="22"/>
  <c r="P137" i="22" a="1"/>
  <c r="O137" i="22"/>
  <c r="P136" i="22" a="1"/>
  <c r="P136" i="22" s="1"/>
  <c r="O136" i="22"/>
  <c r="P135" i="22" a="1"/>
  <c r="P135" i="22" s="1"/>
  <c r="O135" i="22"/>
  <c r="P134" i="22" a="1"/>
  <c r="P134" i="22" s="1"/>
  <c r="O134" i="22"/>
  <c r="P133" i="22"/>
  <c r="P133" i="22" a="1"/>
  <c r="O133" i="22"/>
  <c r="P132" i="22"/>
  <c r="P132" i="22" a="1"/>
  <c r="O132" i="22"/>
  <c r="P131" i="22" a="1"/>
  <c r="P131" i="22" s="1"/>
  <c r="O131" i="22"/>
  <c r="P130" i="22" a="1"/>
  <c r="P130" i="22" s="1"/>
  <c r="O130" i="22"/>
  <c r="P129" i="22" a="1"/>
  <c r="P129" i="22" s="1"/>
  <c r="O129" i="22"/>
  <c r="P128" i="22" a="1"/>
  <c r="P128" i="22" s="1"/>
  <c r="O128" i="22"/>
  <c r="P127" i="22" a="1"/>
  <c r="P127" i="22" s="1"/>
  <c r="O127" i="22"/>
  <c r="P126" i="22" a="1"/>
  <c r="P126" i="22" s="1"/>
  <c r="O126" i="22"/>
  <c r="P125" i="22" a="1"/>
  <c r="P125" i="22" s="1"/>
  <c r="O125" i="22"/>
  <c r="P124" i="22" a="1"/>
  <c r="P124" i="22" s="1"/>
  <c r="O124" i="22"/>
  <c r="P123" i="22" a="1"/>
  <c r="P123" i="22" s="1"/>
  <c r="O123" i="22"/>
  <c r="P122" i="22" a="1"/>
  <c r="P122" i="22" s="1"/>
  <c r="O122" i="22"/>
  <c r="P121" i="22"/>
  <c r="P121" i="22" a="1"/>
  <c r="O121" i="22"/>
  <c r="P120" i="22" a="1"/>
  <c r="P120" i="22" s="1"/>
  <c r="O120" i="22"/>
  <c r="P119" i="22" a="1"/>
  <c r="P119" i="22" s="1"/>
  <c r="O119" i="22"/>
  <c r="P118" i="22" a="1"/>
  <c r="P118" i="22" s="1"/>
  <c r="O118" i="22"/>
  <c r="P117" i="22"/>
  <c r="P117" i="22" a="1"/>
  <c r="O117" i="22"/>
  <c r="P116" i="22"/>
  <c r="P116" i="22" a="1"/>
  <c r="O116" i="22"/>
  <c r="P115" i="22" a="1"/>
  <c r="P115" i="22" s="1"/>
  <c r="O115" i="22"/>
  <c r="P114" i="22" a="1"/>
  <c r="P114" i="22" s="1"/>
  <c r="O114" i="22"/>
  <c r="P113" i="22" a="1"/>
  <c r="P113" i="22" s="1"/>
  <c r="O113" i="22"/>
  <c r="P112" i="22" a="1"/>
  <c r="P112" i="22" s="1"/>
  <c r="O112" i="22"/>
  <c r="P111" i="22" a="1"/>
  <c r="P111" i="22" s="1"/>
  <c r="O111" i="22"/>
  <c r="P110" i="22" a="1"/>
  <c r="P110" i="22" s="1"/>
  <c r="O110" i="22"/>
  <c r="P109" i="22" a="1"/>
  <c r="P109" i="22" s="1"/>
  <c r="O109" i="22"/>
  <c r="P108" i="22" a="1"/>
  <c r="P108" i="22" s="1"/>
  <c r="O108" i="22"/>
  <c r="P107" i="22" a="1"/>
  <c r="P107" i="22" s="1"/>
  <c r="O107" i="22"/>
  <c r="P106" i="22" a="1"/>
  <c r="P106" i="22" s="1"/>
  <c r="O106" i="22"/>
  <c r="P105" i="22"/>
  <c r="P105" i="22" a="1"/>
  <c r="O105" i="22"/>
  <c r="P104" i="22" a="1"/>
  <c r="P104" i="22" s="1"/>
  <c r="O104" i="22"/>
  <c r="P103" i="22" a="1"/>
  <c r="P103" i="22" s="1"/>
  <c r="O103" i="22"/>
  <c r="P102" i="22" a="1"/>
  <c r="P102" i="22" s="1"/>
  <c r="O102" i="22"/>
  <c r="P101" i="22"/>
  <c r="P101" i="22" a="1"/>
  <c r="O101" i="22"/>
  <c r="P100" i="22"/>
  <c r="P100" i="22" a="1"/>
  <c r="O100" i="22"/>
  <c r="P99" i="22" a="1"/>
  <c r="P99" i="22" s="1"/>
  <c r="O99" i="22"/>
  <c r="P98" i="22" a="1"/>
  <c r="P98" i="22" s="1"/>
  <c r="O98" i="22"/>
  <c r="P97" i="22" a="1"/>
  <c r="P97" i="22" s="1"/>
  <c r="O97" i="22"/>
  <c r="P96" i="22" a="1"/>
  <c r="P96" i="22" s="1"/>
  <c r="O96" i="22"/>
  <c r="P95" i="22" a="1"/>
  <c r="P95" i="22" s="1"/>
  <c r="O95" i="22"/>
  <c r="P94" i="22" a="1"/>
  <c r="P94" i="22" s="1"/>
  <c r="O94" i="22"/>
  <c r="P93" i="22" a="1"/>
  <c r="P93" i="22" s="1"/>
  <c r="O93" i="22"/>
  <c r="P92" i="22" a="1"/>
  <c r="P92" i="22" s="1"/>
  <c r="O92" i="22"/>
  <c r="P91" i="22" a="1"/>
  <c r="P91" i="22" s="1"/>
  <c r="O91" i="22"/>
  <c r="P90" i="22" a="1"/>
  <c r="P90" i="22" s="1"/>
  <c r="O90" i="22"/>
  <c r="P89" i="22"/>
  <c r="P89" i="22" a="1"/>
  <c r="O89" i="22"/>
  <c r="P88" i="22" a="1"/>
  <c r="P88" i="22" s="1"/>
  <c r="O88" i="22"/>
  <c r="P87" i="22" a="1"/>
  <c r="P87" i="22" s="1"/>
  <c r="O87" i="22"/>
  <c r="P86" i="22" a="1"/>
  <c r="P86" i="22" s="1"/>
  <c r="O86" i="22"/>
  <c r="P85" i="22"/>
  <c r="P85" i="22" a="1"/>
  <c r="O85" i="22"/>
  <c r="P84" i="22"/>
  <c r="P84" i="22" a="1"/>
  <c r="O84" i="22"/>
  <c r="P83" i="22" a="1"/>
  <c r="P83" i="22" s="1"/>
  <c r="O83" i="22"/>
  <c r="P82" i="22" a="1"/>
  <c r="P82" i="22" s="1"/>
  <c r="O82" i="22"/>
  <c r="P81" i="22" a="1"/>
  <c r="P81" i="22" s="1"/>
  <c r="O81" i="22"/>
  <c r="P80" i="22" a="1"/>
  <c r="P80" i="22" s="1"/>
  <c r="O80" i="22"/>
  <c r="P79" i="22" a="1"/>
  <c r="P79" i="22" s="1"/>
  <c r="O79" i="22"/>
  <c r="P78" i="22" a="1"/>
  <c r="P78" i="22" s="1"/>
  <c r="O78" i="22"/>
  <c r="P77" i="22" a="1"/>
  <c r="P77" i="22" s="1"/>
  <c r="O77" i="22"/>
  <c r="P76" i="22" a="1"/>
  <c r="P76" i="22" s="1"/>
  <c r="O76" i="22"/>
  <c r="P75" i="22" a="1"/>
  <c r="P75" i="22" s="1"/>
  <c r="O75" i="22"/>
  <c r="P74" i="22" a="1"/>
  <c r="P74" i="22" s="1"/>
  <c r="O74" i="22"/>
  <c r="P73" i="22"/>
  <c r="P73" i="22" a="1"/>
  <c r="O73" i="22"/>
  <c r="P72" i="22" a="1"/>
  <c r="P72" i="22" s="1"/>
  <c r="O72" i="22"/>
  <c r="P71" i="22" a="1"/>
  <c r="P71" i="22" s="1"/>
  <c r="O71" i="22"/>
  <c r="P70" i="22" a="1"/>
  <c r="P70" i="22" s="1"/>
  <c r="O70" i="22"/>
  <c r="P69" i="22"/>
  <c r="P69" i="22" a="1"/>
  <c r="O69" i="22"/>
  <c r="P68" i="22"/>
  <c r="P68" i="22" a="1"/>
  <c r="O68" i="22"/>
  <c r="P67" i="22" a="1"/>
  <c r="P67" i="22" s="1"/>
  <c r="O67" i="22"/>
  <c r="P66" i="22" a="1"/>
  <c r="P66" i="22" s="1"/>
  <c r="O66" i="22"/>
  <c r="P65" i="22" a="1"/>
  <c r="P65" i="22" s="1"/>
  <c r="O65" i="22"/>
  <c r="P64" i="22" a="1"/>
  <c r="P64" i="22" s="1"/>
  <c r="O64" i="22"/>
  <c r="P63" i="22" a="1"/>
  <c r="P63" i="22" s="1"/>
  <c r="O63" i="22"/>
  <c r="P62" i="22" a="1"/>
  <c r="P62" i="22" s="1"/>
  <c r="O62" i="22"/>
  <c r="P61" i="22" a="1"/>
  <c r="P61" i="22" s="1"/>
  <c r="O61" i="22"/>
  <c r="P60" i="22" a="1"/>
  <c r="P60" i="22" s="1"/>
  <c r="O60" i="22"/>
  <c r="P59" i="22" a="1"/>
  <c r="P59" i="22" s="1"/>
  <c r="O59" i="22"/>
  <c r="P58" i="22" a="1"/>
  <c r="P58" i="22" s="1"/>
  <c r="O58" i="22"/>
  <c r="P57" i="22"/>
  <c r="P57" i="22" a="1"/>
  <c r="O57" i="22"/>
  <c r="P56" i="22" a="1"/>
  <c r="P56" i="22" s="1"/>
  <c r="O56" i="22"/>
  <c r="P55" i="22" a="1"/>
  <c r="P55" i="22" s="1"/>
  <c r="O55" i="22"/>
  <c r="P54" i="22" a="1"/>
  <c r="P54" i="22" s="1"/>
  <c r="O54" i="22"/>
  <c r="P53" i="22"/>
  <c r="P53" i="22" a="1"/>
  <c r="O53" i="22"/>
  <c r="P52" i="22"/>
  <c r="P52" i="22" a="1"/>
  <c r="O52" i="22"/>
  <c r="P51" i="22" a="1"/>
  <c r="P51" i="22" s="1"/>
  <c r="O51" i="22"/>
  <c r="P50" i="22" a="1"/>
  <c r="P50" i="22" s="1"/>
  <c r="O50" i="22"/>
  <c r="P49" i="22" a="1"/>
  <c r="P49" i="22" s="1"/>
  <c r="O49" i="22"/>
  <c r="P48" i="22" a="1"/>
  <c r="P48" i="22" s="1"/>
  <c r="O48" i="22"/>
  <c r="P47" i="22" a="1"/>
  <c r="P47" i="22" s="1"/>
  <c r="O47" i="22"/>
  <c r="P46" i="22" a="1"/>
  <c r="P46" i="22" s="1"/>
  <c r="O46" i="22"/>
  <c r="P45" i="22" a="1"/>
  <c r="P45" i="22" s="1"/>
  <c r="O45" i="22"/>
  <c r="P44" i="22" a="1"/>
  <c r="P44" i="22" s="1"/>
  <c r="O44" i="22"/>
  <c r="P43" i="22" a="1"/>
  <c r="P43" i="22" s="1"/>
  <c r="O43" i="22"/>
  <c r="P42" i="22" a="1"/>
  <c r="P42" i="22" s="1"/>
  <c r="O42" i="22"/>
  <c r="P41" i="22"/>
  <c r="P41" i="22" a="1"/>
  <c r="O41" i="22"/>
  <c r="P40" i="22" a="1"/>
  <c r="P40" i="22" s="1"/>
  <c r="O40" i="22"/>
  <c r="P39" i="22" a="1"/>
  <c r="P39" i="22" s="1"/>
  <c r="O39" i="22"/>
  <c r="P38" i="22" a="1"/>
  <c r="P38" i="22" s="1"/>
  <c r="O38" i="22"/>
  <c r="P37" i="22"/>
  <c r="P37" i="22" a="1"/>
  <c r="O37" i="22"/>
  <c r="P36" i="22"/>
  <c r="P36" i="22" a="1"/>
  <c r="O36" i="22"/>
  <c r="P35" i="22" a="1"/>
  <c r="P35" i="22" s="1"/>
  <c r="O35" i="22"/>
  <c r="P34" i="22" a="1"/>
  <c r="P34" i="22" s="1"/>
  <c r="O34" i="22"/>
  <c r="P33" i="22" a="1"/>
  <c r="P33" i="22" s="1"/>
  <c r="O33" i="22"/>
  <c r="P32" i="22" a="1"/>
  <c r="P32" i="22" s="1"/>
  <c r="O32" i="22"/>
  <c r="P31" i="22" a="1"/>
  <c r="P31" i="22" s="1"/>
  <c r="O31" i="22"/>
  <c r="P30" i="22" a="1"/>
  <c r="P30" i="22" s="1"/>
  <c r="O30" i="22"/>
  <c r="P29" i="22" a="1"/>
  <c r="P29" i="22" s="1"/>
  <c r="O29" i="22"/>
  <c r="P28" i="22" a="1"/>
  <c r="P28" i="22" s="1"/>
  <c r="O28" i="22"/>
  <c r="P27" i="22" a="1"/>
  <c r="P27" i="22" s="1"/>
  <c r="O27" i="22"/>
  <c r="P26" i="22" a="1"/>
  <c r="P26" i="22" s="1"/>
  <c r="O26" i="22"/>
  <c r="P25" i="22"/>
  <c r="P25" i="22" a="1"/>
  <c r="O25" i="22"/>
  <c r="P24" i="22" a="1"/>
  <c r="P24" i="22" s="1"/>
  <c r="O24" i="22"/>
  <c r="P23" i="22" a="1"/>
  <c r="P23" i="22" s="1"/>
  <c r="O23" i="22"/>
  <c r="P22" i="22" a="1"/>
  <c r="P22" i="22" s="1"/>
  <c r="O22" i="22"/>
  <c r="P21" i="22"/>
  <c r="P21" i="22" a="1"/>
  <c r="O21" i="22"/>
  <c r="P20" i="22"/>
  <c r="P20" i="22" a="1"/>
  <c r="O20" i="22"/>
  <c r="P19" i="22" a="1"/>
  <c r="P19" i="22" s="1"/>
  <c r="O19" i="22"/>
  <c r="P18" i="22" a="1"/>
  <c r="P18" i="22" s="1"/>
  <c r="O18" i="22"/>
  <c r="P17" i="22" a="1"/>
  <c r="P17" i="22" s="1"/>
  <c r="O17" i="22"/>
  <c r="P16" i="22" a="1"/>
  <c r="P16" i="22" s="1"/>
  <c r="O16" i="22"/>
  <c r="P15" i="22" a="1"/>
  <c r="P15" i="22" s="1"/>
  <c r="O15" i="22"/>
  <c r="P14" i="22" a="1"/>
  <c r="P14" i="22" s="1"/>
  <c r="O14" i="22"/>
  <c r="P13" i="22" a="1"/>
  <c r="P13" i="22" s="1"/>
  <c r="O13" i="22"/>
  <c r="P12" i="22" a="1"/>
  <c r="P12" i="22" s="1"/>
  <c r="O12" i="22"/>
  <c r="P11" i="22" a="1"/>
  <c r="P11" i="22" s="1"/>
  <c r="O11" i="22"/>
  <c r="P10" i="22" a="1"/>
  <c r="P10" i="22" s="1"/>
  <c r="O10" i="22"/>
  <c r="P9" i="22"/>
  <c r="P9" i="22" a="1"/>
  <c r="O9" i="22"/>
  <c r="P8" i="22" a="1"/>
  <c r="P8" i="22" s="1"/>
  <c r="O8" i="22"/>
  <c r="P7" i="22" a="1"/>
  <c r="P7" i="22" s="1"/>
  <c r="P365" i="22" s="1"/>
  <c r="P373" i="22" s="1"/>
  <c r="O7" i="22"/>
  <c r="O365" i="22" s="1"/>
  <c r="H7" i="22"/>
  <c r="X147" i="18"/>
  <c r="Y147" i="18" s="1"/>
  <c r="W147" i="18"/>
  <c r="R147" i="18"/>
  <c r="N147" i="18"/>
  <c r="M147" i="18"/>
  <c r="L147" i="18"/>
  <c r="K147" i="18"/>
  <c r="J147" i="18"/>
  <c r="G147" i="18"/>
  <c r="U147" i="18" s="1"/>
  <c r="E147" i="18"/>
  <c r="D147" i="18"/>
  <c r="X146" i="18"/>
  <c r="W146" i="18"/>
  <c r="T146" i="18"/>
  <c r="N146" i="18"/>
  <c r="O146" i="18" s="1"/>
  <c r="M146" i="18"/>
  <c r="L146" i="18"/>
  <c r="K146" i="18"/>
  <c r="J146" i="18"/>
  <c r="G146" i="18"/>
  <c r="S146" i="18" s="1"/>
  <c r="F146" i="18"/>
  <c r="E146" i="18"/>
  <c r="D146" i="18"/>
  <c r="X145" i="18"/>
  <c r="W145" i="18"/>
  <c r="N145" i="18"/>
  <c r="M145" i="18"/>
  <c r="L145" i="18"/>
  <c r="K145" i="18"/>
  <c r="J145" i="18"/>
  <c r="G145" i="18"/>
  <c r="U145" i="18" s="1"/>
  <c r="E145" i="18"/>
  <c r="D145" i="18"/>
  <c r="X144" i="18"/>
  <c r="Y144" i="18" s="1"/>
  <c r="W144" i="18"/>
  <c r="T144" i="18"/>
  <c r="P144" i="18"/>
  <c r="N144" i="18"/>
  <c r="M144" i="18"/>
  <c r="L144" i="18"/>
  <c r="K144" i="18"/>
  <c r="J144" i="18"/>
  <c r="G144" i="18"/>
  <c r="S144" i="18" s="1"/>
  <c r="F144" i="18"/>
  <c r="E144" i="18"/>
  <c r="D144" i="18"/>
  <c r="X143" i="18"/>
  <c r="Y143" i="18" s="1"/>
  <c r="W143" i="18"/>
  <c r="V143" i="18"/>
  <c r="R143" i="18"/>
  <c r="N143" i="18"/>
  <c r="M143" i="18"/>
  <c r="L143" i="18"/>
  <c r="K143" i="18"/>
  <c r="J143" i="18"/>
  <c r="G143" i="18"/>
  <c r="U143" i="18" s="1"/>
  <c r="E143" i="18"/>
  <c r="D143" i="18"/>
  <c r="X142" i="18"/>
  <c r="W142" i="18"/>
  <c r="N142" i="18"/>
  <c r="O142" i="18" s="1"/>
  <c r="M142" i="18"/>
  <c r="L142" i="18"/>
  <c r="L148" i="18" s="1"/>
  <c r="K142" i="18"/>
  <c r="K148" i="18" s="1"/>
  <c r="J142" i="18"/>
  <c r="G142" i="18"/>
  <c r="S142" i="18" s="1"/>
  <c r="E142" i="18"/>
  <c r="D142" i="18"/>
  <c r="X140" i="18"/>
  <c r="W140" i="18"/>
  <c r="T140" i="18"/>
  <c r="N140" i="18"/>
  <c r="O140" i="18" s="1"/>
  <c r="M140" i="18"/>
  <c r="L140" i="18"/>
  <c r="K140" i="18"/>
  <c r="J140" i="18"/>
  <c r="G140" i="18"/>
  <c r="S140" i="18" s="1"/>
  <c r="F140" i="18"/>
  <c r="E140" i="18"/>
  <c r="D140" i="18"/>
  <c r="X139" i="18"/>
  <c r="W139" i="18"/>
  <c r="V139" i="18"/>
  <c r="N139" i="18"/>
  <c r="M139" i="18"/>
  <c r="M141" i="18" s="1"/>
  <c r="L139" i="18"/>
  <c r="K139" i="18"/>
  <c r="J139" i="18"/>
  <c r="J141" i="18" s="1"/>
  <c r="G139" i="18"/>
  <c r="R139" i="18" s="1"/>
  <c r="E139" i="18"/>
  <c r="E141" i="18" s="1"/>
  <c r="D139" i="18"/>
  <c r="X137" i="18"/>
  <c r="Y137" i="18" s="1"/>
  <c r="Z137" i="18" s="1"/>
  <c r="W137" i="18"/>
  <c r="R137" i="18"/>
  <c r="N137" i="18"/>
  <c r="M137" i="18"/>
  <c r="L137" i="18"/>
  <c r="K137" i="18"/>
  <c r="J137" i="18"/>
  <c r="G137" i="18"/>
  <c r="U137" i="18" s="1"/>
  <c r="E137" i="18"/>
  <c r="D137" i="18"/>
  <c r="X136" i="18"/>
  <c r="W136" i="18"/>
  <c r="W138" i="18" s="1"/>
  <c r="T136" i="18"/>
  <c r="N136" i="18"/>
  <c r="O136" i="18" s="1"/>
  <c r="M136" i="18"/>
  <c r="L136" i="18"/>
  <c r="K136" i="18"/>
  <c r="K138" i="18" s="1"/>
  <c r="J136" i="18"/>
  <c r="G136" i="18"/>
  <c r="S136" i="18" s="1"/>
  <c r="F136" i="18"/>
  <c r="E136" i="18"/>
  <c r="D136" i="18"/>
  <c r="F135" i="18"/>
  <c r="X134" i="18"/>
  <c r="W134" i="18"/>
  <c r="N134" i="18"/>
  <c r="O134" i="18" s="1"/>
  <c r="M134" i="18"/>
  <c r="L134" i="18"/>
  <c r="K134" i="18"/>
  <c r="J134" i="18"/>
  <c r="G134" i="18"/>
  <c r="S134" i="18" s="1"/>
  <c r="E134" i="18"/>
  <c r="F134" i="18" s="1"/>
  <c r="D134" i="18"/>
  <c r="X133" i="18"/>
  <c r="W133" i="18"/>
  <c r="N133" i="18"/>
  <c r="M133" i="18"/>
  <c r="L133" i="18"/>
  <c r="K133" i="18"/>
  <c r="J133" i="18"/>
  <c r="G133" i="18"/>
  <c r="U133" i="18" s="1"/>
  <c r="E133" i="18"/>
  <c r="D133" i="18"/>
  <c r="X132" i="18"/>
  <c r="Y132" i="18" s="1"/>
  <c r="W132" i="18"/>
  <c r="T132" i="18"/>
  <c r="P132" i="18"/>
  <c r="N132" i="18"/>
  <c r="M132" i="18"/>
  <c r="L132" i="18"/>
  <c r="K132" i="18"/>
  <c r="J132" i="18"/>
  <c r="G132" i="18"/>
  <c r="S132" i="18" s="1"/>
  <c r="E132" i="18"/>
  <c r="F132" i="18" s="1"/>
  <c r="D132" i="18"/>
  <c r="X131" i="18"/>
  <c r="Y131" i="18" s="1"/>
  <c r="W131" i="18"/>
  <c r="N131" i="18"/>
  <c r="M131" i="18"/>
  <c r="L131" i="18"/>
  <c r="K131" i="18"/>
  <c r="J131" i="18"/>
  <c r="G131" i="18"/>
  <c r="U131" i="18" s="1"/>
  <c r="E131" i="18"/>
  <c r="D131" i="18"/>
  <c r="F131" i="18" s="1"/>
  <c r="X130" i="18"/>
  <c r="W130" i="18"/>
  <c r="V130" i="18"/>
  <c r="U130" i="18"/>
  <c r="T130" i="18"/>
  <c r="S130" i="18"/>
  <c r="R130" i="18"/>
  <c r="P130" i="18"/>
  <c r="M130" i="18"/>
  <c r="M135" i="18" s="1"/>
  <c r="L130" i="18"/>
  <c r="K130" i="18"/>
  <c r="K135" i="18" s="1"/>
  <c r="J130" i="18"/>
  <c r="G130" i="18"/>
  <c r="F130" i="18"/>
  <c r="E130" i="18"/>
  <c r="D130" i="18"/>
  <c r="Y128" i="18"/>
  <c r="AA128" i="18" s="1"/>
  <c r="Q128" i="18"/>
  <c r="P128" i="18"/>
  <c r="N128" i="18"/>
  <c r="O128" i="18" s="1"/>
  <c r="Y127" i="18"/>
  <c r="Q127" i="18"/>
  <c r="P127" i="18"/>
  <c r="N127" i="18"/>
  <c r="O127" i="18" s="1"/>
  <c r="Y126" i="18"/>
  <c r="AA126" i="18" s="1"/>
  <c r="Q126" i="18"/>
  <c r="P126" i="18"/>
  <c r="N126" i="18"/>
  <c r="O126" i="18" s="1"/>
  <c r="Y125" i="18"/>
  <c r="Q125" i="18"/>
  <c r="P125" i="18"/>
  <c r="N125" i="18"/>
  <c r="O125" i="18" s="1"/>
  <c r="Y124" i="18"/>
  <c r="AA124" i="18" s="1"/>
  <c r="Q124" i="18"/>
  <c r="P124" i="18"/>
  <c r="N124" i="18"/>
  <c r="O124" i="18" s="1"/>
  <c r="Y123" i="18"/>
  <c r="Q123" i="18"/>
  <c r="P123" i="18"/>
  <c r="N123" i="18"/>
  <c r="O123" i="18" s="1"/>
  <c r="Y122" i="18"/>
  <c r="AA122" i="18" s="1"/>
  <c r="Q122" i="18"/>
  <c r="P122" i="18"/>
  <c r="N122" i="18"/>
  <c r="O122" i="18" s="1"/>
  <c r="Y121" i="18"/>
  <c r="Q121" i="18"/>
  <c r="P121" i="18"/>
  <c r="N121" i="18"/>
  <c r="O121" i="18" s="1"/>
  <c r="Y120" i="18"/>
  <c r="AA120" i="18" s="1"/>
  <c r="Q120" i="18"/>
  <c r="P120" i="18"/>
  <c r="N120" i="18"/>
  <c r="O120" i="18" s="1"/>
  <c r="Y119" i="18"/>
  <c r="Q119" i="18"/>
  <c r="P119" i="18"/>
  <c r="N119" i="18"/>
  <c r="O119" i="18" s="1"/>
  <c r="Y118" i="18"/>
  <c r="AA118" i="18" s="1"/>
  <c r="Q118" i="18"/>
  <c r="P118" i="18"/>
  <c r="N118" i="18"/>
  <c r="O118" i="18" s="1"/>
  <c r="Y117" i="18"/>
  <c r="Q117" i="18"/>
  <c r="P117" i="18"/>
  <c r="N117" i="18"/>
  <c r="O117" i="18" s="1"/>
  <c r="Y116" i="18"/>
  <c r="Q116" i="18"/>
  <c r="P116" i="18"/>
  <c r="N116" i="18"/>
  <c r="O116" i="18" s="1"/>
  <c r="Y115" i="18"/>
  <c r="Q115" i="18"/>
  <c r="P115" i="18"/>
  <c r="N115" i="18"/>
  <c r="O115" i="18" s="1"/>
  <c r="Y114" i="18"/>
  <c r="AA114" i="18" s="1"/>
  <c r="Q114" i="18"/>
  <c r="P114" i="18"/>
  <c r="N114" i="18"/>
  <c r="O114" i="18" s="1"/>
  <c r="Y113" i="18"/>
  <c r="Q113" i="18"/>
  <c r="P113" i="18"/>
  <c r="N113" i="18"/>
  <c r="O113" i="18" s="1"/>
  <c r="Y112" i="18"/>
  <c r="AA112" i="18" s="1"/>
  <c r="Q112" i="18"/>
  <c r="P112" i="18"/>
  <c r="N112" i="18"/>
  <c r="O112" i="18" s="1"/>
  <c r="Y111" i="18"/>
  <c r="Q111" i="18"/>
  <c r="P111" i="18"/>
  <c r="N111" i="18"/>
  <c r="O111" i="18" s="1"/>
  <c r="Y110" i="18"/>
  <c r="AA110" i="18" s="1"/>
  <c r="Q110" i="18"/>
  <c r="P110" i="18"/>
  <c r="N110" i="18"/>
  <c r="O110" i="18" s="1"/>
  <c r="Y109" i="18"/>
  <c r="Q109" i="18"/>
  <c r="P109" i="18"/>
  <c r="N109" i="18"/>
  <c r="O109" i="18" s="1"/>
  <c r="Y108" i="18"/>
  <c r="Q108" i="18"/>
  <c r="P108" i="18"/>
  <c r="O108" i="18"/>
  <c r="N108" i="18"/>
  <c r="Y107" i="18"/>
  <c r="Q107" i="18"/>
  <c r="P107" i="18"/>
  <c r="N107" i="18"/>
  <c r="O107" i="18" s="1"/>
  <c r="Y106" i="18"/>
  <c r="Q106" i="18"/>
  <c r="P106" i="18"/>
  <c r="N106" i="18"/>
  <c r="O106" i="18" s="1"/>
  <c r="AA106" i="18" s="1"/>
  <c r="Y105" i="18"/>
  <c r="Q105" i="18"/>
  <c r="P105" i="18"/>
  <c r="N105" i="18"/>
  <c r="O105" i="18" s="1"/>
  <c r="Y104" i="18"/>
  <c r="Q104" i="18"/>
  <c r="P104" i="18"/>
  <c r="O104" i="18"/>
  <c r="AA104" i="18" s="1"/>
  <c r="N104" i="18"/>
  <c r="Y103" i="18"/>
  <c r="Q103" i="18"/>
  <c r="P103" i="18"/>
  <c r="N103" i="18"/>
  <c r="O103" i="18" s="1"/>
  <c r="Y102" i="18"/>
  <c r="Q102" i="18"/>
  <c r="P102" i="18"/>
  <c r="N102" i="18"/>
  <c r="O102" i="18" s="1"/>
  <c r="AA102" i="18" s="1"/>
  <c r="Y101" i="18"/>
  <c r="AA101" i="18" s="1"/>
  <c r="Q101" i="18"/>
  <c r="P101" i="18"/>
  <c r="N101" i="18"/>
  <c r="O101" i="18" s="1"/>
  <c r="Y100" i="18"/>
  <c r="Q100" i="18"/>
  <c r="P100" i="18"/>
  <c r="N100" i="18"/>
  <c r="O100" i="18" s="1"/>
  <c r="AA100" i="18" s="1"/>
  <c r="Y99" i="18"/>
  <c r="Q99" i="18"/>
  <c r="P99" i="18"/>
  <c r="N99" i="18"/>
  <c r="O99" i="18" s="1"/>
  <c r="Y98" i="18"/>
  <c r="Q98" i="18"/>
  <c r="P98" i="18"/>
  <c r="O98" i="18"/>
  <c r="AA98" i="18" s="1"/>
  <c r="N98" i="18"/>
  <c r="Y97" i="18"/>
  <c r="Q97" i="18"/>
  <c r="P97" i="18"/>
  <c r="N97" i="18"/>
  <c r="O97" i="18" s="1"/>
  <c r="Y96" i="18"/>
  <c r="AA96" i="18" s="1"/>
  <c r="Q96" i="18"/>
  <c r="P96" i="18"/>
  <c r="O96" i="18"/>
  <c r="N96" i="18"/>
  <c r="Y95" i="18"/>
  <c r="Q95" i="18"/>
  <c r="P95" i="18"/>
  <c r="N95" i="18"/>
  <c r="O95" i="18" s="1"/>
  <c r="Y94" i="18"/>
  <c r="Q94" i="18"/>
  <c r="P94" i="18"/>
  <c r="O94" i="18"/>
  <c r="N94" i="18"/>
  <c r="Y93" i="18"/>
  <c r="Q93" i="18"/>
  <c r="P93" i="18"/>
  <c r="N93" i="18"/>
  <c r="O93" i="18" s="1"/>
  <c r="Y92" i="18"/>
  <c r="Q92" i="18"/>
  <c r="P92" i="18"/>
  <c r="N92" i="18"/>
  <c r="O92" i="18" s="1"/>
  <c r="AA92" i="18" s="1"/>
  <c r="Y91" i="18"/>
  <c r="Q91" i="18"/>
  <c r="P91" i="18"/>
  <c r="N91" i="18"/>
  <c r="O91" i="18" s="1"/>
  <c r="Y90" i="18"/>
  <c r="Q90" i="18"/>
  <c r="P90" i="18"/>
  <c r="O90" i="18"/>
  <c r="N90" i="18"/>
  <c r="Y89" i="18"/>
  <c r="Q89" i="18"/>
  <c r="P89" i="18"/>
  <c r="N89" i="18"/>
  <c r="O89" i="18" s="1"/>
  <c r="Y88" i="18"/>
  <c r="Q88" i="18"/>
  <c r="P88" i="18"/>
  <c r="N88" i="18"/>
  <c r="O88" i="18" s="1"/>
  <c r="AA88" i="18" s="1"/>
  <c r="Y87" i="18"/>
  <c r="AA87" i="18" s="1"/>
  <c r="Q87" i="18"/>
  <c r="P87" i="18"/>
  <c r="N87" i="18"/>
  <c r="O87" i="18" s="1"/>
  <c r="Y86" i="18"/>
  <c r="Q86" i="18"/>
  <c r="P86" i="18"/>
  <c r="N86" i="18"/>
  <c r="O86" i="18" s="1"/>
  <c r="AA86" i="18" s="1"/>
  <c r="Y85" i="18"/>
  <c r="Q85" i="18"/>
  <c r="P85" i="18"/>
  <c r="N85" i="18"/>
  <c r="O85" i="18" s="1"/>
  <c r="Y84" i="18"/>
  <c r="Q84" i="18"/>
  <c r="P84" i="18"/>
  <c r="O84" i="18"/>
  <c r="AA84" i="18" s="1"/>
  <c r="N84" i="18"/>
  <c r="Y83" i="18"/>
  <c r="Q83" i="18"/>
  <c r="P83" i="18"/>
  <c r="N83" i="18"/>
  <c r="O83" i="18" s="1"/>
  <c r="Y82" i="18"/>
  <c r="Q82" i="18"/>
  <c r="P82" i="18"/>
  <c r="N82" i="18"/>
  <c r="O82" i="18" s="1"/>
  <c r="AA82" i="18" s="1"/>
  <c r="Y81" i="18"/>
  <c r="AA81" i="18" s="1"/>
  <c r="Q81" i="18"/>
  <c r="P81" i="18"/>
  <c r="N81" i="18"/>
  <c r="O81" i="18" s="1"/>
  <c r="Y80" i="18"/>
  <c r="Q80" i="18"/>
  <c r="P80" i="18"/>
  <c r="O80" i="18"/>
  <c r="AA80" i="18" s="1"/>
  <c r="N80" i="18"/>
  <c r="Y79" i="18"/>
  <c r="Q79" i="18"/>
  <c r="P79" i="18"/>
  <c r="N79" i="18"/>
  <c r="O79" i="18" s="1"/>
  <c r="Y78" i="18"/>
  <c r="Q78" i="18"/>
  <c r="P78" i="18"/>
  <c r="O78" i="18"/>
  <c r="N78" i="18"/>
  <c r="Y77" i="18"/>
  <c r="Q77" i="18"/>
  <c r="P77" i="18"/>
  <c r="N77" i="18"/>
  <c r="O77" i="18" s="1"/>
  <c r="Y76" i="18"/>
  <c r="Q76" i="18"/>
  <c r="P76" i="18"/>
  <c r="N76" i="18"/>
  <c r="O76" i="18" s="1"/>
  <c r="AA76" i="18" s="1"/>
  <c r="Y75" i="18"/>
  <c r="Q75" i="18"/>
  <c r="P75" i="18"/>
  <c r="N75" i="18"/>
  <c r="O75" i="18" s="1"/>
  <c r="Y74" i="18"/>
  <c r="Q74" i="18"/>
  <c r="P74" i="18"/>
  <c r="O74" i="18"/>
  <c r="AA74" i="18" s="1"/>
  <c r="N74" i="18"/>
  <c r="Y73" i="18"/>
  <c r="Q73" i="18"/>
  <c r="P73" i="18"/>
  <c r="N73" i="18"/>
  <c r="O73" i="18" s="1"/>
  <c r="Y72" i="18"/>
  <c r="Q72" i="18"/>
  <c r="P72" i="18"/>
  <c r="N72" i="18"/>
  <c r="O72" i="18" s="1"/>
  <c r="AA72" i="18" s="1"/>
  <c r="Y71" i="18"/>
  <c r="AA71" i="18" s="1"/>
  <c r="Q71" i="18"/>
  <c r="P71" i="18"/>
  <c r="N71" i="18"/>
  <c r="O71" i="18" s="1"/>
  <c r="Y70" i="18"/>
  <c r="Q70" i="18"/>
  <c r="P70" i="18"/>
  <c r="N70" i="18"/>
  <c r="O70" i="18" s="1"/>
  <c r="AA70" i="18" s="1"/>
  <c r="Y69" i="18"/>
  <c r="Q69" i="18"/>
  <c r="P69" i="18"/>
  <c r="N69" i="18"/>
  <c r="O69" i="18" s="1"/>
  <c r="Y68" i="18"/>
  <c r="Q68" i="18"/>
  <c r="P68" i="18"/>
  <c r="O68" i="18"/>
  <c r="AA68" i="18" s="1"/>
  <c r="N68" i="18"/>
  <c r="Y67" i="18"/>
  <c r="Q67" i="18"/>
  <c r="P67" i="18"/>
  <c r="N67" i="18"/>
  <c r="O67" i="18" s="1"/>
  <c r="Y66" i="18"/>
  <c r="Q66" i="18"/>
  <c r="P66" i="18"/>
  <c r="N66" i="18"/>
  <c r="O66" i="18" s="1"/>
  <c r="AA66" i="18" s="1"/>
  <c r="Y65" i="18"/>
  <c r="AA65" i="18" s="1"/>
  <c r="Q65" i="18"/>
  <c r="P65" i="18"/>
  <c r="N65" i="18"/>
  <c r="O65" i="18" s="1"/>
  <c r="Y64" i="18"/>
  <c r="Q64" i="18"/>
  <c r="P64" i="18"/>
  <c r="O64" i="18"/>
  <c r="AA64" i="18" s="1"/>
  <c r="N64" i="18"/>
  <c r="Y63" i="18"/>
  <c r="Q63" i="18"/>
  <c r="P63" i="18"/>
  <c r="N63" i="18"/>
  <c r="O63" i="18" s="1"/>
  <c r="Y62" i="18"/>
  <c r="Q62" i="18"/>
  <c r="P62" i="18"/>
  <c r="O62" i="18"/>
  <c r="N62" i="18"/>
  <c r="Y61" i="18"/>
  <c r="Q61" i="18"/>
  <c r="P61" i="18"/>
  <c r="N61" i="18"/>
  <c r="O61" i="18" s="1"/>
  <c r="Y60" i="18"/>
  <c r="Q60" i="18"/>
  <c r="P60" i="18"/>
  <c r="N60" i="18"/>
  <c r="O60" i="18" s="1"/>
  <c r="AA60" i="18" s="1"/>
  <c r="Y59" i="18"/>
  <c r="Q59" i="18"/>
  <c r="P59" i="18"/>
  <c r="N59" i="18"/>
  <c r="O59" i="18" s="1"/>
  <c r="Y58" i="18"/>
  <c r="Q58" i="18"/>
  <c r="P58" i="18"/>
  <c r="O58" i="18"/>
  <c r="N58" i="18"/>
  <c r="Y57" i="18"/>
  <c r="Q57" i="18"/>
  <c r="P57" i="18"/>
  <c r="N57" i="18"/>
  <c r="O57" i="18" s="1"/>
  <c r="Y56" i="18"/>
  <c r="Q56" i="18"/>
  <c r="P56" i="18"/>
  <c r="N56" i="18"/>
  <c r="O56" i="18" s="1"/>
  <c r="AA56" i="18" s="1"/>
  <c r="Y55" i="18"/>
  <c r="Q55" i="18"/>
  <c r="P55" i="18"/>
  <c r="N55" i="18"/>
  <c r="O55" i="18" s="1"/>
  <c r="Y54" i="18"/>
  <c r="Q54" i="18"/>
  <c r="P54" i="18"/>
  <c r="N54" i="18"/>
  <c r="O54" i="18" s="1"/>
  <c r="AA54" i="18" s="1"/>
  <c r="Y53" i="18"/>
  <c r="Q53" i="18"/>
  <c r="P53" i="18"/>
  <c r="N53" i="18"/>
  <c r="O53" i="18" s="1"/>
  <c r="Y52" i="18"/>
  <c r="Q52" i="18"/>
  <c r="P52" i="18"/>
  <c r="O52" i="18"/>
  <c r="AA52" i="18" s="1"/>
  <c r="N52" i="18"/>
  <c r="Y51" i="18"/>
  <c r="Q51" i="18"/>
  <c r="P51" i="18"/>
  <c r="N51" i="18"/>
  <c r="O51" i="18" s="1"/>
  <c r="Y50" i="18"/>
  <c r="Q50" i="18"/>
  <c r="P50" i="18"/>
  <c r="N50" i="18"/>
  <c r="O50" i="18" s="1"/>
  <c r="AA50" i="18" s="1"/>
  <c r="Y49" i="18"/>
  <c r="AA49" i="18" s="1"/>
  <c r="Q49" i="18"/>
  <c r="P49" i="18"/>
  <c r="N49" i="18"/>
  <c r="O49" i="18" s="1"/>
  <c r="Y16" i="18"/>
  <c r="O16" i="18"/>
  <c r="Y15" i="18"/>
  <c r="O15" i="18"/>
  <c r="Y14" i="18"/>
  <c r="O14" i="18"/>
  <c r="Y13" i="18"/>
  <c r="O13" i="18"/>
  <c r="Y12" i="18"/>
  <c r="O12" i="18"/>
  <c r="Y11" i="18"/>
  <c r="Q11" i="18"/>
  <c r="Q130" i="18" s="1"/>
  <c r="P11" i="18"/>
  <c r="N11" i="18"/>
  <c r="N130" i="18" s="1"/>
  <c r="U10" i="18"/>
  <c r="T10" i="18"/>
  <c r="M515" i="24" l="1"/>
  <c r="L492" i="24"/>
  <c r="L514" i="24"/>
  <c r="I498" i="24"/>
  <c r="O500" i="24"/>
  <c r="O466" i="24"/>
  <c r="O509" i="24"/>
  <c r="L444" i="24"/>
  <c r="O486" i="24"/>
  <c r="L497" i="24"/>
  <c r="L508" i="24"/>
  <c r="O479" i="24"/>
  <c r="I499" i="24"/>
  <c r="L491" i="24"/>
  <c r="O441" i="24"/>
  <c r="I444" i="24"/>
  <c r="I466" i="24"/>
  <c r="L512" i="24"/>
  <c r="O498" i="24"/>
  <c r="I500" i="24"/>
  <c r="O473" i="24"/>
  <c r="L486" i="24"/>
  <c r="I431" i="24"/>
  <c r="O492" i="24"/>
  <c r="L431" i="24"/>
  <c r="I492" i="24"/>
  <c r="I514" i="24"/>
  <c r="O491" i="24"/>
  <c r="L499" i="24"/>
  <c r="I454" i="24"/>
  <c r="L509" i="24"/>
  <c r="I510" i="24"/>
  <c r="O514" i="24"/>
  <c r="O501" i="24"/>
  <c r="L513" i="24"/>
  <c r="L441" i="24"/>
  <c r="L448" i="24"/>
  <c r="I501" i="24"/>
  <c r="O454" i="24"/>
  <c r="O54" i="24"/>
  <c r="J487" i="24"/>
  <c r="J515" i="24" s="1"/>
  <c r="H493" i="24"/>
  <c r="I493" i="24" s="1"/>
  <c r="N499" i="24"/>
  <c r="O499" i="24" s="1"/>
  <c r="K500" i="24"/>
  <c r="L500" i="24" s="1"/>
  <c r="N507" i="24"/>
  <c r="O507" i="24" s="1"/>
  <c r="H509" i="24"/>
  <c r="I509" i="24" s="1"/>
  <c r="J511" i="24"/>
  <c r="L511" i="24" s="1"/>
  <c r="N431" i="24"/>
  <c r="O431" i="24" s="1"/>
  <c r="O433" i="24"/>
  <c r="O435" i="24"/>
  <c r="O437" i="24"/>
  <c r="L440" i="24"/>
  <c r="I443" i="24"/>
  <c r="H448" i="24"/>
  <c r="I448" i="24" s="1"/>
  <c r="L449" i="24"/>
  <c r="L451" i="24"/>
  <c r="L453" i="24"/>
  <c r="I458" i="24"/>
  <c r="I462" i="24"/>
  <c r="I464" i="24"/>
  <c r="K466" i="24"/>
  <c r="L466" i="24" s="1"/>
  <c r="O467" i="24"/>
  <c r="H473" i="24"/>
  <c r="I473" i="24" s="1"/>
  <c r="L474" i="24"/>
  <c r="K487" i="24"/>
  <c r="G491" i="24"/>
  <c r="I491" i="24" s="1"/>
  <c r="N494" i="24"/>
  <c r="O494" i="24" s="1"/>
  <c r="N510" i="24"/>
  <c r="O510" i="24" s="1"/>
  <c r="I54" i="24"/>
  <c r="L436" i="24"/>
  <c r="E438" i="24"/>
  <c r="M438" i="24"/>
  <c r="I439" i="24"/>
  <c r="J441" i="24"/>
  <c r="J516" i="24" s="1"/>
  <c r="L447" i="24"/>
  <c r="I450" i="24"/>
  <c r="I452" i="24"/>
  <c r="N497" i="24"/>
  <c r="O497" i="24" s="1"/>
  <c r="K498" i="24"/>
  <c r="L498" i="24" s="1"/>
  <c r="H507" i="24"/>
  <c r="I507" i="24" s="1"/>
  <c r="N513" i="24"/>
  <c r="O513" i="24" s="1"/>
  <c r="F438" i="24"/>
  <c r="F516" i="24" s="1"/>
  <c r="N438" i="24"/>
  <c r="O438" i="24" s="1"/>
  <c r="O455" i="24"/>
  <c r="O463" i="24"/>
  <c r="H486" i="24"/>
  <c r="H494" i="24"/>
  <c r="I494" i="24" s="1"/>
  <c r="N508" i="24"/>
  <c r="O508" i="24" s="1"/>
  <c r="G438" i="24"/>
  <c r="G516" i="24" s="1"/>
  <c r="O453" i="24"/>
  <c r="K473" i="24"/>
  <c r="L473" i="24" s="1"/>
  <c r="N487" i="24"/>
  <c r="N511" i="24"/>
  <c r="O511" i="24" s="1"/>
  <c r="H513" i="24"/>
  <c r="I513" i="24" s="1"/>
  <c r="L54" i="24"/>
  <c r="H438" i="24"/>
  <c r="L439" i="24"/>
  <c r="E441" i="24"/>
  <c r="E516" i="24" s="1"/>
  <c r="M441" i="24"/>
  <c r="M516" i="24" s="1"/>
  <c r="I455" i="24"/>
  <c r="H487" i="24"/>
  <c r="N493" i="24"/>
  <c r="O493" i="24" s="1"/>
  <c r="H511" i="24"/>
  <c r="I511" i="24" s="1"/>
  <c r="D135" i="18"/>
  <c r="X138" i="18"/>
  <c r="Y138" i="18" s="1"/>
  <c r="F143" i="18"/>
  <c r="R145" i="18"/>
  <c r="AA57" i="18"/>
  <c r="AA73" i="18"/>
  <c r="AA89" i="18"/>
  <c r="AA103" i="18"/>
  <c r="P131" i="18"/>
  <c r="P134" i="18"/>
  <c r="E135" i="18"/>
  <c r="R131" i="18"/>
  <c r="T134" i="18"/>
  <c r="J138" i="18"/>
  <c r="Y136" i="18"/>
  <c r="F139" i="18"/>
  <c r="Y140" i="18"/>
  <c r="M148" i="18"/>
  <c r="V145" i="18"/>
  <c r="Y146" i="18"/>
  <c r="Z146" i="18" s="1"/>
  <c r="G373" i="22"/>
  <c r="AA58" i="18"/>
  <c r="T131" i="18"/>
  <c r="N135" i="18"/>
  <c r="AA63" i="18"/>
  <c r="AA79" i="18"/>
  <c r="AA95" i="18"/>
  <c r="AA113" i="18"/>
  <c r="AA117" i="18"/>
  <c r="AA119" i="18"/>
  <c r="AA121" i="18"/>
  <c r="AA123" i="18"/>
  <c r="AA125" i="18"/>
  <c r="AA127" i="18"/>
  <c r="G135" i="18"/>
  <c r="J135" i="18"/>
  <c r="V131" i="18"/>
  <c r="F133" i="18"/>
  <c r="R133" i="18"/>
  <c r="Y134" i="18"/>
  <c r="AA134" i="18" s="1"/>
  <c r="L138" i="18"/>
  <c r="F137" i="18"/>
  <c r="V137" i="18"/>
  <c r="G141" i="18"/>
  <c r="R141" i="18" s="1"/>
  <c r="W141" i="18"/>
  <c r="E148" i="18"/>
  <c r="P142" i="18"/>
  <c r="O144" i="18"/>
  <c r="Y145" i="18"/>
  <c r="Z145" i="18" s="1"/>
  <c r="V147" i="18"/>
  <c r="AA90" i="18"/>
  <c r="AA62" i="18"/>
  <c r="AA78" i="18"/>
  <c r="AA94" i="18"/>
  <c r="AA108" i="18"/>
  <c r="V133" i="18"/>
  <c r="M138" i="18"/>
  <c r="Y139" i="18"/>
  <c r="F142" i="18"/>
  <c r="T142" i="18"/>
  <c r="H371" i="22"/>
  <c r="D138" i="18"/>
  <c r="K141" i="18"/>
  <c r="W148" i="18"/>
  <c r="H370" i="23"/>
  <c r="AA53" i="18"/>
  <c r="W135" i="18"/>
  <c r="O132" i="18"/>
  <c r="Y133" i="18"/>
  <c r="AA133" i="18" s="1"/>
  <c r="E138" i="18"/>
  <c r="F138" i="18" s="1"/>
  <c r="P136" i="18"/>
  <c r="P140" i="18"/>
  <c r="J148" i="18"/>
  <c r="Y142" i="18"/>
  <c r="O143" i="18"/>
  <c r="P146" i="18"/>
  <c r="O373" i="22"/>
  <c r="H369" i="23"/>
  <c r="G374" i="23"/>
  <c r="H374" i="23" s="1"/>
  <c r="I373" i="22"/>
  <c r="F373" i="22"/>
  <c r="H367" i="22"/>
  <c r="H368" i="22"/>
  <c r="F374" i="23"/>
  <c r="H366" i="23"/>
  <c r="AA59" i="18"/>
  <c r="AA67" i="18"/>
  <c r="AA75" i="18"/>
  <c r="AA83" i="18"/>
  <c r="AA91" i="18"/>
  <c r="AA97" i="18"/>
  <c r="AA105" i="18"/>
  <c r="AA51" i="18"/>
  <c r="AA55" i="18"/>
  <c r="AA61" i="18"/>
  <c r="AA69" i="18"/>
  <c r="AA77" i="18"/>
  <c r="AA85" i="18"/>
  <c r="AA93" i="18"/>
  <c r="AA99" i="18"/>
  <c r="AA107" i="18"/>
  <c r="AA132" i="18"/>
  <c r="Z132" i="18"/>
  <c r="O133" i="18"/>
  <c r="Z138" i="18"/>
  <c r="O139" i="18"/>
  <c r="AA139" i="18"/>
  <c r="Z139" i="18"/>
  <c r="N141" i="18"/>
  <c r="O141" i="18" s="1"/>
  <c r="AA143" i="18"/>
  <c r="Z134" i="18"/>
  <c r="AA136" i="18"/>
  <c r="Z136" i="18"/>
  <c r="O137" i="18"/>
  <c r="AA137" i="18" s="1"/>
  <c r="L141" i="18"/>
  <c r="AA140" i="18"/>
  <c r="Z140" i="18"/>
  <c r="Z143" i="18"/>
  <c r="Z147" i="18"/>
  <c r="AA116" i="18"/>
  <c r="X135" i="18"/>
  <c r="Y135" i="18" s="1"/>
  <c r="Y130" i="18"/>
  <c r="O131" i="18"/>
  <c r="AA131" i="18" s="1"/>
  <c r="AA109" i="18"/>
  <c r="D148" i="18"/>
  <c r="F148" i="18" s="1"/>
  <c r="AA142" i="18"/>
  <c r="Z142" i="18"/>
  <c r="F145" i="18"/>
  <c r="O147" i="18"/>
  <c r="AA147" i="18" s="1"/>
  <c r="O11" i="18"/>
  <c r="O130" i="18" s="1"/>
  <c r="AA111" i="18"/>
  <c r="AA115" i="18"/>
  <c r="L135" i="18"/>
  <c r="Z131" i="18"/>
  <c r="S141" i="18"/>
  <c r="D141" i="18"/>
  <c r="F141" i="18" s="1"/>
  <c r="V141" i="18"/>
  <c r="AA144" i="18"/>
  <c r="Z144" i="18"/>
  <c r="O145" i="18"/>
  <c r="AA145" i="18" s="1"/>
  <c r="F147" i="18"/>
  <c r="X148" i="18"/>
  <c r="Y148" i="18" s="1"/>
  <c r="S131" i="18"/>
  <c r="Q132" i="18"/>
  <c r="U132" i="18"/>
  <c r="S133" i="18"/>
  <c r="Q134" i="18"/>
  <c r="U134" i="18"/>
  <c r="Q136" i="18"/>
  <c r="U136" i="18"/>
  <c r="S137" i="18"/>
  <c r="G138" i="18"/>
  <c r="S139" i="18"/>
  <c r="Q140" i="18"/>
  <c r="U140" i="18"/>
  <c r="Q142" i="18"/>
  <c r="U142" i="18"/>
  <c r="S143" i="18"/>
  <c r="Q144" i="18"/>
  <c r="U144" i="18"/>
  <c r="S145" i="18"/>
  <c r="Q146" i="18"/>
  <c r="U146" i="18"/>
  <c r="S147" i="18"/>
  <c r="G148" i="18"/>
  <c r="R132" i="18"/>
  <c r="V132" i="18"/>
  <c r="P133" i="18"/>
  <c r="P135" i="18" s="1"/>
  <c r="Q135" i="18" s="1"/>
  <c r="R135" i="18" s="1"/>
  <c r="S135" i="18" s="1"/>
  <c r="T133" i="18"/>
  <c r="R134" i="18"/>
  <c r="V134" i="18"/>
  <c r="R136" i="18"/>
  <c r="V136" i="18"/>
  <c r="P137" i="18"/>
  <c r="T137" i="18"/>
  <c r="N138" i="18"/>
  <c r="O138" i="18" s="1"/>
  <c r="AA138" i="18" s="1"/>
  <c r="P139" i="18"/>
  <c r="T139" i="18"/>
  <c r="R140" i="18"/>
  <c r="V140" i="18"/>
  <c r="X141" i="18"/>
  <c r="R142" i="18"/>
  <c r="V142" i="18"/>
  <c r="P143" i="18"/>
  <c r="T143" i="18"/>
  <c r="R144" i="18"/>
  <c r="V144" i="18"/>
  <c r="P145" i="18"/>
  <c r="T145" i="18"/>
  <c r="R146" i="18"/>
  <c r="V146" i="18"/>
  <c r="P147" i="18"/>
  <c r="T147" i="18"/>
  <c r="N148" i="18"/>
  <c r="O148" i="18" s="1"/>
  <c r="Q131" i="18"/>
  <c r="Q133" i="18"/>
  <c r="Q137" i="18"/>
  <c r="Q139" i="18"/>
  <c r="U139" i="18"/>
  <c r="Q143" i="18"/>
  <c r="Q145" i="18"/>
  <c r="Q147" i="18"/>
  <c r="D69" i="17"/>
  <c r="B69" i="17"/>
  <c r="F69" i="17" s="1"/>
  <c r="F68" i="17"/>
  <c r="D68" i="17"/>
  <c r="X58" i="17"/>
  <c r="V58" i="17"/>
  <c r="T58" i="17"/>
  <c r="R58" i="17"/>
  <c r="N58" i="17"/>
  <c r="L58" i="17"/>
  <c r="J58" i="17"/>
  <c r="H58" i="17"/>
  <c r="X57" i="17"/>
  <c r="V57" i="17"/>
  <c r="T57" i="17"/>
  <c r="R57" i="17"/>
  <c r="N57" i="17"/>
  <c r="L57" i="17"/>
  <c r="J57" i="17"/>
  <c r="H57" i="17"/>
  <c r="X56" i="17"/>
  <c r="V56" i="17"/>
  <c r="T56" i="17"/>
  <c r="R56" i="17"/>
  <c r="N56" i="17"/>
  <c r="L56" i="17"/>
  <c r="J56" i="17"/>
  <c r="H56" i="17"/>
  <c r="X55" i="17"/>
  <c r="V55" i="17"/>
  <c r="T55" i="17"/>
  <c r="R55" i="17"/>
  <c r="N55" i="17"/>
  <c r="L55" i="17"/>
  <c r="J55" i="17"/>
  <c r="H55" i="17"/>
  <c r="X54" i="17"/>
  <c r="V54" i="17"/>
  <c r="T54" i="17"/>
  <c r="R54" i="17"/>
  <c r="N54" i="17"/>
  <c r="L54" i="17"/>
  <c r="J54" i="17"/>
  <c r="H54" i="17"/>
  <c r="X53" i="17"/>
  <c r="V53" i="17"/>
  <c r="T53" i="17"/>
  <c r="R53" i="17"/>
  <c r="N53" i="17"/>
  <c r="L53" i="17"/>
  <c r="J53" i="17"/>
  <c r="H53" i="17"/>
  <c r="X52" i="17"/>
  <c r="V52" i="17"/>
  <c r="T52" i="17"/>
  <c r="R52" i="17"/>
  <c r="N52" i="17"/>
  <c r="L52" i="17"/>
  <c r="J52" i="17"/>
  <c r="H52" i="17"/>
  <c r="X51" i="17"/>
  <c r="V51" i="17"/>
  <c r="T51" i="17"/>
  <c r="R51" i="17"/>
  <c r="N51" i="17"/>
  <c r="L51" i="17"/>
  <c r="J51" i="17"/>
  <c r="H51" i="17"/>
  <c r="X50" i="17"/>
  <c r="V50" i="17"/>
  <c r="T50" i="17"/>
  <c r="R50" i="17"/>
  <c r="N50" i="17"/>
  <c r="L50" i="17"/>
  <c r="J50" i="17"/>
  <c r="H50" i="17"/>
  <c r="X49" i="17"/>
  <c r="V49" i="17"/>
  <c r="T49" i="17"/>
  <c r="R49" i="17"/>
  <c r="N49" i="17"/>
  <c r="L49" i="17"/>
  <c r="J49" i="17"/>
  <c r="H49" i="17"/>
  <c r="X48" i="17"/>
  <c r="V48" i="17"/>
  <c r="T48" i="17"/>
  <c r="R48" i="17"/>
  <c r="N48" i="17"/>
  <c r="L48" i="17"/>
  <c r="J48" i="17"/>
  <c r="H48" i="17"/>
  <c r="X47" i="17"/>
  <c r="V47" i="17"/>
  <c r="T47" i="17"/>
  <c r="R47" i="17"/>
  <c r="N47" i="17"/>
  <c r="L47" i="17"/>
  <c r="J47" i="17"/>
  <c r="H47" i="17"/>
  <c r="X46" i="17"/>
  <c r="V46" i="17"/>
  <c r="T46" i="17"/>
  <c r="R46" i="17"/>
  <c r="N46" i="17"/>
  <c r="L46" i="17"/>
  <c r="J46" i="17"/>
  <c r="H46" i="17"/>
  <c r="X45" i="17"/>
  <c r="V45" i="17"/>
  <c r="T45" i="17"/>
  <c r="R45" i="17"/>
  <c r="N45" i="17"/>
  <c r="L45" i="17"/>
  <c r="J45" i="17"/>
  <c r="H45" i="17"/>
  <c r="X44" i="17"/>
  <c r="V44" i="17"/>
  <c r="T44" i="17"/>
  <c r="R44" i="17"/>
  <c r="N44" i="17"/>
  <c r="L44" i="17"/>
  <c r="J44" i="17"/>
  <c r="H44" i="17"/>
  <c r="X43" i="17"/>
  <c r="V43" i="17"/>
  <c r="T43" i="17"/>
  <c r="R43" i="17"/>
  <c r="N43" i="17"/>
  <c r="L43" i="17"/>
  <c r="J43" i="17"/>
  <c r="H43" i="17"/>
  <c r="X42" i="17"/>
  <c r="V42" i="17"/>
  <c r="T42" i="17"/>
  <c r="R42" i="17"/>
  <c r="N42" i="17"/>
  <c r="L42" i="17"/>
  <c r="J42" i="17"/>
  <c r="H42" i="17"/>
  <c r="X41" i="17"/>
  <c r="V41" i="17"/>
  <c r="T41" i="17"/>
  <c r="R41" i="17"/>
  <c r="N41" i="17"/>
  <c r="L41" i="17"/>
  <c r="J41" i="17"/>
  <c r="H41" i="17"/>
  <c r="X40" i="17"/>
  <c r="V40" i="17"/>
  <c r="T40" i="17"/>
  <c r="R40" i="17"/>
  <c r="N40" i="17"/>
  <c r="L40" i="17"/>
  <c r="J40" i="17"/>
  <c r="H40" i="17"/>
  <c r="X39" i="17"/>
  <c r="V39" i="17"/>
  <c r="T39" i="17"/>
  <c r="R39" i="17"/>
  <c r="N39" i="17"/>
  <c r="L39" i="17"/>
  <c r="J39" i="17"/>
  <c r="H39" i="17"/>
  <c r="X38" i="17"/>
  <c r="V38" i="17"/>
  <c r="T38" i="17"/>
  <c r="R38" i="17"/>
  <c r="N38" i="17"/>
  <c r="L38" i="17"/>
  <c r="J38" i="17"/>
  <c r="H38" i="17"/>
  <c r="X37" i="17"/>
  <c r="V37" i="17"/>
  <c r="T37" i="17"/>
  <c r="R37" i="17"/>
  <c r="N37" i="17"/>
  <c r="L37" i="17"/>
  <c r="J37" i="17"/>
  <c r="H37" i="17"/>
  <c r="X36" i="17"/>
  <c r="V36" i="17"/>
  <c r="T36" i="17"/>
  <c r="R36" i="17"/>
  <c r="N36" i="17"/>
  <c r="L36" i="17"/>
  <c r="J36" i="17"/>
  <c r="H36" i="17"/>
  <c r="X35" i="17"/>
  <c r="V35" i="17"/>
  <c r="T35" i="17"/>
  <c r="R35" i="17"/>
  <c r="N35" i="17"/>
  <c r="L35" i="17"/>
  <c r="J35" i="17"/>
  <c r="H35" i="17"/>
  <c r="X34" i="17"/>
  <c r="V34" i="17"/>
  <c r="T34" i="17"/>
  <c r="R34" i="17"/>
  <c r="N34" i="17"/>
  <c r="L34" i="17"/>
  <c r="J34" i="17"/>
  <c r="H34" i="17"/>
  <c r="X33" i="17"/>
  <c r="V33" i="17"/>
  <c r="T33" i="17"/>
  <c r="R33" i="17"/>
  <c r="N33" i="17"/>
  <c r="L33" i="17"/>
  <c r="J33" i="17"/>
  <c r="H33" i="17"/>
  <c r="X32" i="17"/>
  <c r="V32" i="17"/>
  <c r="T32" i="17"/>
  <c r="R32" i="17"/>
  <c r="N32" i="17"/>
  <c r="L32" i="17"/>
  <c r="J32" i="17"/>
  <c r="H32" i="17"/>
  <c r="X31" i="17"/>
  <c r="V31" i="17"/>
  <c r="T31" i="17"/>
  <c r="R31" i="17"/>
  <c r="N31" i="17"/>
  <c r="L31" i="17"/>
  <c r="J31" i="17"/>
  <c r="H31" i="17"/>
  <c r="X30" i="17"/>
  <c r="V30" i="17"/>
  <c r="T30" i="17"/>
  <c r="R30" i="17"/>
  <c r="N30" i="17"/>
  <c r="L30" i="17"/>
  <c r="J30" i="17"/>
  <c r="H30" i="17"/>
  <c r="X29" i="17"/>
  <c r="V29" i="17"/>
  <c r="T29" i="17"/>
  <c r="R29" i="17"/>
  <c r="N29" i="17"/>
  <c r="L29" i="17"/>
  <c r="J29" i="17"/>
  <c r="H29" i="17"/>
  <c r="X28" i="17"/>
  <c r="V28" i="17"/>
  <c r="T28" i="17"/>
  <c r="R28" i="17"/>
  <c r="N28" i="17"/>
  <c r="L28" i="17"/>
  <c r="J28" i="17"/>
  <c r="H28" i="17"/>
  <c r="X27" i="17"/>
  <c r="V27" i="17"/>
  <c r="T27" i="17"/>
  <c r="R27" i="17"/>
  <c r="N27" i="17"/>
  <c r="L27" i="17"/>
  <c r="J27" i="17"/>
  <c r="H27" i="17"/>
  <c r="X26" i="17"/>
  <c r="V26" i="17"/>
  <c r="T26" i="17"/>
  <c r="R26" i="17"/>
  <c r="N26" i="17"/>
  <c r="L26" i="17"/>
  <c r="J26" i="17"/>
  <c r="H26" i="17"/>
  <c r="X25" i="17"/>
  <c r="V25" i="17"/>
  <c r="T25" i="17"/>
  <c r="R25" i="17"/>
  <c r="N25" i="17"/>
  <c r="L25" i="17"/>
  <c r="J25" i="17"/>
  <c r="H25" i="17"/>
  <c r="X24" i="17"/>
  <c r="V24" i="17"/>
  <c r="T24" i="17"/>
  <c r="R24" i="17"/>
  <c r="N24" i="17"/>
  <c r="L24" i="17"/>
  <c r="J24" i="17"/>
  <c r="H24" i="17"/>
  <c r="X23" i="17"/>
  <c r="V23" i="17"/>
  <c r="T23" i="17"/>
  <c r="R23" i="17"/>
  <c r="N23" i="17"/>
  <c r="L23" i="17"/>
  <c r="J23" i="17"/>
  <c r="H23" i="17"/>
  <c r="X22" i="17"/>
  <c r="V22" i="17"/>
  <c r="T22" i="17"/>
  <c r="R22" i="17"/>
  <c r="N22" i="17"/>
  <c r="L22" i="17"/>
  <c r="J22" i="17"/>
  <c r="H22" i="17"/>
  <c r="X21" i="17"/>
  <c r="V21" i="17"/>
  <c r="T21" i="17"/>
  <c r="R21" i="17"/>
  <c r="N21" i="17"/>
  <c r="L21" i="17"/>
  <c r="J21" i="17"/>
  <c r="H21" i="17"/>
  <c r="X20" i="17"/>
  <c r="V20" i="17"/>
  <c r="T20" i="17"/>
  <c r="R20" i="17"/>
  <c r="N20" i="17"/>
  <c r="L20" i="17"/>
  <c r="J20" i="17"/>
  <c r="H20" i="17"/>
  <c r="X19" i="17"/>
  <c r="V19" i="17"/>
  <c r="T19" i="17"/>
  <c r="R19" i="17"/>
  <c r="N19" i="17"/>
  <c r="L19" i="17"/>
  <c r="J19" i="17"/>
  <c r="H19" i="17"/>
  <c r="X18" i="17"/>
  <c r="V18" i="17"/>
  <c r="T18" i="17"/>
  <c r="R18" i="17"/>
  <c r="N18" i="17"/>
  <c r="L18" i="17"/>
  <c r="J18" i="17"/>
  <c r="H18" i="17"/>
  <c r="X17" i="17"/>
  <c r="V17" i="17"/>
  <c r="T17" i="17"/>
  <c r="R17" i="17"/>
  <c r="N17" i="17"/>
  <c r="L17" i="17"/>
  <c r="J17" i="17"/>
  <c r="H17" i="17"/>
  <c r="X16" i="17"/>
  <c r="V16" i="17"/>
  <c r="T16" i="17"/>
  <c r="R16" i="17"/>
  <c r="N16" i="17"/>
  <c r="L16" i="17"/>
  <c r="J16" i="17"/>
  <c r="H16" i="17"/>
  <c r="X15" i="17"/>
  <c r="V15" i="17"/>
  <c r="T15" i="17"/>
  <c r="R15" i="17"/>
  <c r="N15" i="17"/>
  <c r="L15" i="17"/>
  <c r="J15" i="17"/>
  <c r="H15" i="17"/>
  <c r="X14" i="17"/>
  <c r="V14" i="17"/>
  <c r="T14" i="17"/>
  <c r="R14" i="17"/>
  <c r="N14" i="17"/>
  <c r="L14" i="17"/>
  <c r="J14" i="17"/>
  <c r="H14" i="17"/>
  <c r="X13" i="17"/>
  <c r="V13" i="17"/>
  <c r="T13" i="17"/>
  <c r="R13" i="17"/>
  <c r="N13" i="17"/>
  <c r="L13" i="17"/>
  <c r="J13" i="17"/>
  <c r="H13" i="17"/>
  <c r="X12" i="17"/>
  <c r="V12" i="17"/>
  <c r="T12" i="17"/>
  <c r="R12" i="17"/>
  <c r="N12" i="17"/>
  <c r="L12" i="17"/>
  <c r="J12" i="17"/>
  <c r="H12" i="17"/>
  <c r="X11" i="17"/>
  <c r="V11" i="17"/>
  <c r="T11" i="17"/>
  <c r="R11" i="17"/>
  <c r="N11" i="17"/>
  <c r="L11" i="17"/>
  <c r="J11" i="17"/>
  <c r="H11" i="17"/>
  <c r="X10" i="17"/>
  <c r="V10" i="17"/>
  <c r="T10" i="17"/>
  <c r="R10" i="17"/>
  <c r="N10" i="17"/>
  <c r="L10" i="17"/>
  <c r="J10" i="17"/>
  <c r="H10" i="17"/>
  <c r="X9" i="17"/>
  <c r="V9" i="17"/>
  <c r="T9" i="17"/>
  <c r="R9" i="17"/>
  <c r="N9" i="17"/>
  <c r="L9" i="17"/>
  <c r="J9" i="17"/>
  <c r="H9" i="17"/>
  <c r="C68" i="17" s="1"/>
  <c r="I487" i="24" l="1"/>
  <c r="H515" i="24"/>
  <c r="H516" i="24"/>
  <c r="I486" i="24"/>
  <c r="K516" i="24"/>
  <c r="N516" i="24"/>
  <c r="O487" i="24"/>
  <c r="N515" i="24"/>
  <c r="K515" i="24"/>
  <c r="L487" i="24"/>
  <c r="J517" i="24"/>
  <c r="I438" i="24"/>
  <c r="G515" i="24"/>
  <c r="G517" i="24" s="1"/>
  <c r="M517" i="24"/>
  <c r="U141" i="18"/>
  <c r="AA146" i="18"/>
  <c r="O135" i="18"/>
  <c r="T135" i="18" s="1"/>
  <c r="U135" i="18" s="1"/>
  <c r="V135" i="18" s="1"/>
  <c r="D70" i="17"/>
  <c r="P141" i="18"/>
  <c r="Z133" i="18"/>
  <c r="Y141" i="18"/>
  <c r="Z141" i="18" s="1"/>
  <c r="T141" i="18"/>
  <c r="Q141" i="18"/>
  <c r="H373" i="22"/>
  <c r="AA148" i="18"/>
  <c r="Z148" i="18"/>
  <c r="AA130" i="18"/>
  <c r="Z130" i="18"/>
  <c r="S148" i="18"/>
  <c r="V148" i="18"/>
  <c r="R148" i="18"/>
  <c r="U148" i="18"/>
  <c r="Q148" i="18"/>
  <c r="P148" i="18"/>
  <c r="T148" i="18"/>
  <c r="Z135" i="18"/>
  <c r="S138" i="18"/>
  <c r="V138" i="18"/>
  <c r="R138" i="18"/>
  <c r="U138" i="18"/>
  <c r="Q138" i="18"/>
  <c r="T138" i="18"/>
  <c r="P138" i="18"/>
  <c r="AA11" i="18"/>
  <c r="F70" i="17"/>
  <c r="C69" i="17"/>
  <c r="C70" i="17" s="1"/>
  <c r="E68" i="17"/>
  <c r="E69" i="17"/>
  <c r="N517" i="24" l="1"/>
  <c r="O515" i="24"/>
  <c r="H517" i="24"/>
  <c r="I515" i="24"/>
  <c r="L515" i="24"/>
  <c r="K517" i="24"/>
  <c r="AA141" i="18"/>
  <c r="AA135" i="18"/>
  <c r="E70" i="17"/>
  <c r="M390" i="7" l="1"/>
  <c r="N390" i="7"/>
  <c r="O390" i="7"/>
  <c r="P390" i="7"/>
  <c r="R390" i="7"/>
  <c r="S390" i="7"/>
  <c r="T390" i="7"/>
  <c r="U390" i="7"/>
  <c r="V390" i="7"/>
  <c r="X390" i="7"/>
  <c r="Y390" i="7"/>
  <c r="Z390" i="7"/>
  <c r="AA390" i="7"/>
  <c r="AB390" i="7"/>
  <c r="AD390" i="7"/>
  <c r="AE390" i="7"/>
  <c r="AF390" i="7"/>
  <c r="AG390" i="7"/>
  <c r="AH390" i="7"/>
  <c r="AJ390" i="7"/>
  <c r="AK390" i="7"/>
  <c r="AL390" i="7"/>
  <c r="AM390" i="7"/>
  <c r="AN390" i="7"/>
  <c r="AP390" i="7"/>
  <c r="AQ390" i="7"/>
  <c r="AR390" i="7"/>
  <c r="AS390" i="7"/>
  <c r="AT390" i="7"/>
  <c r="N347" i="7"/>
  <c r="O347" i="7"/>
  <c r="P347" i="7"/>
  <c r="R347" i="7"/>
  <c r="S347" i="7"/>
  <c r="T347" i="7"/>
  <c r="U347" i="7"/>
  <c r="V347" i="7"/>
  <c r="X347" i="7"/>
  <c r="Y347" i="7"/>
  <c r="Z347" i="7"/>
  <c r="AA347" i="7"/>
  <c r="AB347" i="7"/>
  <c r="AD347" i="7"/>
  <c r="AE347" i="7"/>
  <c r="AF347" i="7"/>
  <c r="AG347" i="7"/>
  <c r="AH347" i="7"/>
  <c r="AJ347" i="7"/>
  <c r="AK347" i="7"/>
  <c r="AL347" i="7"/>
  <c r="AM347" i="7"/>
  <c r="AN347" i="7"/>
  <c r="AP347" i="7"/>
  <c r="AQ347" i="7"/>
  <c r="AR347" i="7"/>
  <c r="AS347" i="7"/>
  <c r="AT347" i="7"/>
  <c r="AV347" i="7"/>
  <c r="N306" i="7"/>
  <c r="O306" i="7"/>
  <c r="P306" i="7"/>
  <c r="R306" i="7"/>
  <c r="S306" i="7"/>
  <c r="T306" i="7"/>
  <c r="U306" i="7"/>
  <c r="V306" i="7"/>
  <c r="X306" i="7"/>
  <c r="Y306" i="7"/>
  <c r="Z306" i="7"/>
  <c r="AA306" i="7"/>
  <c r="AB306" i="7"/>
  <c r="AD306" i="7"/>
  <c r="AE306" i="7"/>
  <c r="AF306" i="7"/>
  <c r="AG306" i="7"/>
  <c r="AH306" i="7"/>
  <c r="AJ306" i="7"/>
  <c r="AK306" i="7"/>
  <c r="AL306" i="7"/>
  <c r="AM306" i="7"/>
  <c r="AN306" i="7"/>
  <c r="AP306" i="7"/>
  <c r="AQ306" i="7"/>
  <c r="AR306" i="7"/>
  <c r="AS306" i="7"/>
  <c r="AT306" i="7"/>
  <c r="AV306" i="7"/>
  <c r="N257" i="7"/>
  <c r="O257" i="7"/>
  <c r="P257" i="7"/>
  <c r="R257" i="7"/>
  <c r="S257" i="7"/>
  <c r="T257" i="7"/>
  <c r="U257" i="7"/>
  <c r="V257" i="7"/>
  <c r="X257" i="7"/>
  <c r="Y257" i="7"/>
  <c r="Z257" i="7"/>
  <c r="AA257" i="7"/>
  <c r="AB257" i="7"/>
  <c r="AD257" i="7"/>
  <c r="AE257" i="7"/>
  <c r="AF257" i="7"/>
  <c r="AG257" i="7"/>
  <c r="AH257" i="7"/>
  <c r="AJ257" i="7"/>
  <c r="AK257" i="7"/>
  <c r="AL257" i="7"/>
  <c r="AM257" i="7"/>
  <c r="AN257" i="7"/>
  <c r="AP257" i="7"/>
  <c r="AQ257" i="7"/>
  <c r="AR257" i="7"/>
  <c r="AS257" i="7"/>
  <c r="AT257" i="7"/>
  <c r="AV257" i="7"/>
  <c r="N220" i="7"/>
  <c r="O220" i="7"/>
  <c r="P220" i="7"/>
  <c r="R220" i="7"/>
  <c r="S220" i="7"/>
  <c r="T220" i="7"/>
  <c r="U220" i="7"/>
  <c r="V220" i="7"/>
  <c r="X220" i="7"/>
  <c r="Y220" i="7"/>
  <c r="Z220" i="7"/>
  <c r="AA220" i="7"/>
  <c r="AB220" i="7"/>
  <c r="AD220" i="7"/>
  <c r="AE220" i="7"/>
  <c r="AF220" i="7"/>
  <c r="AG220" i="7"/>
  <c r="AH220" i="7"/>
  <c r="AJ220" i="7"/>
  <c r="AK220" i="7"/>
  <c r="AL220" i="7"/>
  <c r="AM220" i="7"/>
  <c r="AN220" i="7"/>
  <c r="AP220" i="7"/>
  <c r="AQ220" i="7"/>
  <c r="AR220" i="7"/>
  <c r="AS220" i="7"/>
  <c r="AT220" i="7"/>
  <c r="AV220" i="7"/>
  <c r="N177" i="7"/>
  <c r="O177" i="7"/>
  <c r="P177" i="7"/>
  <c r="R177" i="7"/>
  <c r="S177" i="7"/>
  <c r="T177" i="7"/>
  <c r="U177" i="7"/>
  <c r="V177" i="7"/>
  <c r="X177" i="7"/>
  <c r="Y177" i="7"/>
  <c r="Z177" i="7"/>
  <c r="AA177" i="7"/>
  <c r="AB177" i="7"/>
  <c r="AD177" i="7"/>
  <c r="AE177" i="7"/>
  <c r="AF177" i="7"/>
  <c r="AG177" i="7"/>
  <c r="AH177" i="7"/>
  <c r="AJ177" i="7"/>
  <c r="AK177" i="7"/>
  <c r="AL177" i="7"/>
  <c r="AM177" i="7"/>
  <c r="AN177" i="7"/>
  <c r="AP177" i="7"/>
  <c r="AQ177" i="7"/>
  <c r="AR177" i="7"/>
  <c r="AS177" i="7"/>
  <c r="AT177" i="7"/>
  <c r="N134" i="7"/>
  <c r="O134" i="7"/>
  <c r="P134" i="7"/>
  <c r="R134" i="7"/>
  <c r="S134" i="7"/>
  <c r="T134" i="7"/>
  <c r="U134" i="7"/>
  <c r="V134" i="7"/>
  <c r="X134" i="7"/>
  <c r="Y134" i="7"/>
  <c r="Z134" i="7"/>
  <c r="AA134" i="7"/>
  <c r="AB134" i="7"/>
  <c r="AD134" i="7"/>
  <c r="AE134" i="7"/>
  <c r="AF134" i="7"/>
  <c r="AG134" i="7"/>
  <c r="AH134" i="7"/>
  <c r="AJ134" i="7"/>
  <c r="AK134" i="7"/>
  <c r="AL134" i="7"/>
  <c r="AM134" i="7"/>
  <c r="AN134" i="7"/>
  <c r="AP134" i="7"/>
  <c r="AQ134" i="7"/>
  <c r="AR134" i="7"/>
  <c r="AS134" i="7"/>
  <c r="AT134" i="7"/>
  <c r="AV134" i="7"/>
  <c r="M94" i="7"/>
  <c r="N94" i="7"/>
  <c r="O94" i="7"/>
  <c r="P94" i="7"/>
  <c r="R94" i="7"/>
  <c r="S94" i="7"/>
  <c r="T94" i="7"/>
  <c r="U94" i="7"/>
  <c r="V94" i="7"/>
  <c r="X94" i="7"/>
  <c r="Y94" i="7"/>
  <c r="Z94" i="7"/>
  <c r="AA94" i="7"/>
  <c r="AB94" i="7"/>
  <c r="AD94" i="7"/>
  <c r="AE94" i="7"/>
  <c r="AF94" i="7"/>
  <c r="AG94" i="7"/>
  <c r="AH94" i="7"/>
  <c r="AJ94" i="7"/>
  <c r="AK94" i="7"/>
  <c r="AL94" i="7"/>
  <c r="AM94" i="7"/>
  <c r="AN94" i="7"/>
  <c r="AP94" i="7"/>
  <c r="AQ94" i="7"/>
  <c r="AR94" i="7"/>
  <c r="AS94" i="7"/>
  <c r="AT94" i="7"/>
  <c r="R55" i="7"/>
  <c r="S55" i="7"/>
  <c r="T55" i="7"/>
  <c r="U55" i="7"/>
  <c r="V55" i="7"/>
  <c r="X55" i="7"/>
  <c r="Y55" i="7"/>
  <c r="Z55" i="7"/>
  <c r="AA55" i="7"/>
  <c r="AB55" i="7"/>
  <c r="AD55" i="7"/>
  <c r="AE55" i="7"/>
  <c r="AF55" i="7"/>
  <c r="AG55" i="7"/>
  <c r="AH55" i="7"/>
  <c r="AJ55" i="7"/>
  <c r="AK55" i="7"/>
  <c r="AL55" i="7"/>
  <c r="AM55" i="7"/>
  <c r="AN55" i="7"/>
  <c r="AP55" i="7"/>
  <c r="AQ55" i="7"/>
  <c r="AR55" i="7"/>
  <c r="AS55" i="7"/>
  <c r="AT55" i="7"/>
  <c r="AV55" i="7"/>
  <c r="AU430" i="7"/>
  <c r="AU429" i="7"/>
  <c r="AU428" i="7"/>
  <c r="AU427" i="7"/>
  <c r="AU426" i="7"/>
  <c r="AU425" i="7"/>
  <c r="AU424" i="7"/>
  <c r="AU423" i="7"/>
  <c r="AU422" i="7"/>
  <c r="AU421" i="7"/>
  <c r="AU420" i="7"/>
  <c r="AU419" i="7"/>
  <c r="AU418" i="7"/>
  <c r="AU417" i="7"/>
  <c r="AU416" i="7"/>
  <c r="AU415" i="7"/>
  <c r="AU414" i="7"/>
  <c r="AU413" i="7"/>
  <c r="AU412" i="7"/>
  <c r="AU411" i="7"/>
  <c r="AU410" i="7"/>
  <c r="AU409" i="7"/>
  <c r="AU408" i="7"/>
  <c r="AU407" i="7"/>
  <c r="AU406" i="7"/>
  <c r="AU405" i="7"/>
  <c r="AU404" i="7"/>
  <c r="AU403" i="7"/>
  <c r="AU402" i="7"/>
  <c r="AU401" i="7"/>
  <c r="AU400" i="7"/>
  <c r="AU399" i="7"/>
  <c r="AU398" i="7"/>
  <c r="AU397" i="7"/>
  <c r="AU396" i="7"/>
  <c r="AU395" i="7"/>
  <c r="AU394" i="7"/>
  <c r="AU393" i="7"/>
  <c r="AU392" i="7"/>
  <c r="AU391" i="7"/>
  <c r="AU389" i="7"/>
  <c r="AU388" i="7"/>
  <c r="AU387" i="7"/>
  <c r="AU386" i="7"/>
  <c r="AU385" i="7"/>
  <c r="AU384" i="7"/>
  <c r="AU383" i="7"/>
  <c r="AU382" i="7"/>
  <c r="AU381" i="7"/>
  <c r="AU380" i="7"/>
  <c r="AU379" i="7"/>
  <c r="AU378" i="7"/>
  <c r="AU377" i="7"/>
  <c r="AU376" i="7"/>
  <c r="AU375" i="7"/>
  <c r="AU374" i="7"/>
  <c r="AU373" i="7"/>
  <c r="AU372" i="7"/>
  <c r="AU371" i="7"/>
  <c r="AU370" i="7"/>
  <c r="AU369" i="7"/>
  <c r="AU368" i="7"/>
  <c r="AU367" i="7"/>
  <c r="AU366" i="7"/>
  <c r="AU365" i="7"/>
  <c r="AU364" i="7"/>
  <c r="AU363" i="7"/>
  <c r="AU362" i="7"/>
  <c r="AU361" i="7"/>
  <c r="AU360" i="7"/>
  <c r="AU359" i="7"/>
  <c r="AU358" i="7"/>
  <c r="AU357" i="7"/>
  <c r="AU356" i="7"/>
  <c r="AU355" i="7"/>
  <c r="AU354" i="7"/>
  <c r="AU353" i="7"/>
  <c r="AU352" i="7"/>
  <c r="AU351" i="7"/>
  <c r="AU350" i="7"/>
  <c r="AU349" i="7"/>
  <c r="AU348" i="7"/>
  <c r="AU346" i="7"/>
  <c r="AU345" i="7"/>
  <c r="AU344" i="7"/>
  <c r="AU343" i="7"/>
  <c r="AU342" i="7"/>
  <c r="AU341" i="7"/>
  <c r="AU340" i="7"/>
  <c r="AU339" i="7"/>
  <c r="AU338" i="7"/>
  <c r="AU337" i="7"/>
  <c r="AU336" i="7"/>
  <c r="AU335" i="7"/>
  <c r="AU334" i="7"/>
  <c r="AU333" i="7"/>
  <c r="AU332" i="7"/>
  <c r="AU331" i="7"/>
  <c r="AU330" i="7"/>
  <c r="AU329" i="7"/>
  <c r="AU328" i="7"/>
  <c r="AU327" i="7"/>
  <c r="AU326" i="7"/>
  <c r="AU325" i="7"/>
  <c r="AU324" i="7"/>
  <c r="AU323" i="7"/>
  <c r="AU322" i="7"/>
  <c r="AU321" i="7"/>
  <c r="AU320" i="7"/>
  <c r="AU319" i="7"/>
  <c r="AU318" i="7"/>
  <c r="AU317" i="7"/>
  <c r="AU316" i="7"/>
  <c r="AU315" i="7"/>
  <c r="AU314" i="7"/>
  <c r="AU313" i="7"/>
  <c r="AU312" i="7"/>
  <c r="AU311" i="7"/>
  <c r="AU310" i="7"/>
  <c r="AU309" i="7"/>
  <c r="AU308" i="7"/>
  <c r="AU307" i="7"/>
  <c r="AU305" i="7"/>
  <c r="AU304" i="7"/>
  <c r="AU303" i="7"/>
  <c r="AU302" i="7"/>
  <c r="AU301" i="7"/>
  <c r="AU300" i="7"/>
  <c r="AU299" i="7"/>
  <c r="AU298" i="7"/>
  <c r="AU297" i="7"/>
  <c r="AU296" i="7"/>
  <c r="AU295" i="7"/>
  <c r="AU294" i="7"/>
  <c r="AU293" i="7"/>
  <c r="AU292" i="7"/>
  <c r="AU291" i="7"/>
  <c r="AU290" i="7"/>
  <c r="AU289" i="7"/>
  <c r="AU288" i="7"/>
  <c r="AU287" i="7"/>
  <c r="AU286" i="7"/>
  <c r="AU285" i="7"/>
  <c r="AU284" i="7"/>
  <c r="AU283" i="7"/>
  <c r="AU282" i="7"/>
  <c r="AU281" i="7"/>
  <c r="AU280" i="7"/>
  <c r="AU279" i="7"/>
  <c r="AU278" i="7"/>
  <c r="AU277" i="7"/>
  <c r="AU276" i="7"/>
  <c r="AU275" i="7"/>
  <c r="AU274" i="7"/>
  <c r="AU273" i="7"/>
  <c r="AU272" i="7"/>
  <c r="AU271" i="7"/>
  <c r="AU270" i="7"/>
  <c r="AU269" i="7"/>
  <c r="AU268" i="7"/>
  <c r="AU267" i="7"/>
  <c r="AU266" i="7"/>
  <c r="AU265" i="7"/>
  <c r="AU264" i="7"/>
  <c r="AU263" i="7"/>
  <c r="AU262" i="7"/>
  <c r="AU261" i="7"/>
  <c r="AU260" i="7"/>
  <c r="AU259" i="7"/>
  <c r="AU258" i="7"/>
  <c r="AU256" i="7"/>
  <c r="AU255" i="7"/>
  <c r="AU254" i="7"/>
  <c r="AU253" i="7"/>
  <c r="AU252" i="7"/>
  <c r="AU251" i="7"/>
  <c r="AU250" i="7"/>
  <c r="AU249" i="7"/>
  <c r="AU248" i="7"/>
  <c r="AU247" i="7"/>
  <c r="AU246" i="7"/>
  <c r="AU245" i="7"/>
  <c r="AU244" i="7"/>
  <c r="AU243" i="7"/>
  <c r="AU242" i="7"/>
  <c r="AU241" i="7"/>
  <c r="AU240" i="7"/>
  <c r="AU239" i="7"/>
  <c r="AU238" i="7"/>
  <c r="AU237" i="7"/>
  <c r="AU236" i="7"/>
  <c r="AU235" i="7"/>
  <c r="AU234" i="7"/>
  <c r="AU233" i="7"/>
  <c r="AU232" i="7"/>
  <c r="AU231" i="7"/>
  <c r="AU230" i="7"/>
  <c r="AU229" i="7"/>
  <c r="AU228" i="7"/>
  <c r="AU227" i="7"/>
  <c r="AU226" i="7"/>
  <c r="AU225" i="7"/>
  <c r="AU224" i="7"/>
  <c r="AU223" i="7"/>
  <c r="AU222" i="7"/>
  <c r="AU221" i="7"/>
  <c r="AU219" i="7"/>
  <c r="AU218" i="7"/>
  <c r="AU217" i="7"/>
  <c r="AU216" i="7"/>
  <c r="AU215" i="7"/>
  <c r="AU214" i="7"/>
  <c r="AU213" i="7"/>
  <c r="AU212" i="7"/>
  <c r="AU211" i="7"/>
  <c r="AU210" i="7"/>
  <c r="AU209" i="7"/>
  <c r="AU208" i="7"/>
  <c r="AU207" i="7"/>
  <c r="AU206" i="7"/>
  <c r="AU205" i="7"/>
  <c r="AU204" i="7"/>
  <c r="AU203" i="7"/>
  <c r="AU202" i="7"/>
  <c r="AU201" i="7"/>
  <c r="AU200" i="7"/>
  <c r="AU199" i="7"/>
  <c r="AU198" i="7"/>
  <c r="AU197" i="7"/>
  <c r="AU196" i="7"/>
  <c r="AU195" i="7"/>
  <c r="AU194" i="7"/>
  <c r="AU193" i="7"/>
  <c r="AU192" i="7"/>
  <c r="AU191" i="7"/>
  <c r="AU190" i="7"/>
  <c r="AU189" i="7"/>
  <c r="AU188" i="7"/>
  <c r="AU187" i="7"/>
  <c r="AU186" i="7"/>
  <c r="AU185" i="7"/>
  <c r="AU184" i="7"/>
  <c r="AU183" i="7"/>
  <c r="AU182" i="7"/>
  <c r="AU181" i="7"/>
  <c r="AU180" i="7"/>
  <c r="AU179" i="7"/>
  <c r="AU178" i="7"/>
  <c r="AU176" i="7"/>
  <c r="AU175" i="7"/>
  <c r="AU174" i="7"/>
  <c r="AU173" i="7"/>
  <c r="AU172" i="7"/>
  <c r="AU171" i="7"/>
  <c r="AU170" i="7"/>
  <c r="AU169" i="7"/>
  <c r="AU168" i="7"/>
  <c r="AU167" i="7"/>
  <c r="AU166" i="7"/>
  <c r="AU165" i="7"/>
  <c r="AU164" i="7"/>
  <c r="AU163" i="7"/>
  <c r="AU162" i="7"/>
  <c r="AU161" i="7"/>
  <c r="AU160" i="7"/>
  <c r="AU159" i="7"/>
  <c r="AU158" i="7"/>
  <c r="AU157" i="7"/>
  <c r="AU156" i="7"/>
  <c r="AU155" i="7"/>
  <c r="AU154" i="7"/>
  <c r="AU153" i="7"/>
  <c r="AU152" i="7"/>
  <c r="AU151" i="7"/>
  <c r="AU150" i="7"/>
  <c r="AU149" i="7"/>
  <c r="AU148" i="7"/>
  <c r="AU147" i="7"/>
  <c r="AU146" i="7"/>
  <c r="AU145" i="7"/>
  <c r="AU144" i="7"/>
  <c r="AU143" i="7"/>
  <c r="AU142" i="7"/>
  <c r="AU141" i="7"/>
  <c r="AU140" i="7"/>
  <c r="AU139" i="7"/>
  <c r="AU138" i="7"/>
  <c r="AU137" i="7"/>
  <c r="AU136" i="7"/>
  <c r="AU135" i="7"/>
  <c r="AU133" i="7"/>
  <c r="AU132" i="7"/>
  <c r="AU131" i="7"/>
  <c r="AU130" i="7"/>
  <c r="AU129" i="7"/>
  <c r="AU128" i="7"/>
  <c r="AU127" i="7"/>
  <c r="AU126" i="7"/>
  <c r="AU125" i="7"/>
  <c r="AU124" i="7"/>
  <c r="AU123" i="7"/>
  <c r="AU122" i="7"/>
  <c r="AU121" i="7"/>
  <c r="AU120" i="7"/>
  <c r="AU119" i="7"/>
  <c r="AU118" i="7"/>
  <c r="AU117" i="7"/>
  <c r="AU116" i="7"/>
  <c r="AU115" i="7"/>
  <c r="AU114" i="7"/>
  <c r="AU113" i="7"/>
  <c r="AU112" i="7"/>
  <c r="AU111" i="7"/>
  <c r="AU110" i="7"/>
  <c r="AU109" i="7"/>
  <c r="AU108" i="7"/>
  <c r="AU107" i="7"/>
  <c r="AU106" i="7"/>
  <c r="AU105" i="7"/>
  <c r="AU104" i="7"/>
  <c r="AU103" i="7"/>
  <c r="AU102" i="7"/>
  <c r="AU101" i="7"/>
  <c r="AU100" i="7"/>
  <c r="AU99" i="7"/>
  <c r="AU98" i="7"/>
  <c r="AU97" i="7"/>
  <c r="AU96" i="7"/>
  <c r="AU95" i="7"/>
  <c r="AU93" i="7"/>
  <c r="AU92" i="7"/>
  <c r="AU91" i="7"/>
  <c r="AU90" i="7"/>
  <c r="AU89" i="7"/>
  <c r="AU88" i="7"/>
  <c r="AU87" i="7"/>
  <c r="AU86" i="7"/>
  <c r="AU85" i="7"/>
  <c r="AU84" i="7"/>
  <c r="AU83" i="7"/>
  <c r="AU82" i="7"/>
  <c r="AU81" i="7"/>
  <c r="AU80" i="7"/>
  <c r="AU79" i="7"/>
  <c r="AU78" i="7"/>
  <c r="AU77" i="7"/>
  <c r="AU76" i="7"/>
  <c r="AU75" i="7"/>
  <c r="AU74" i="7"/>
  <c r="AU73" i="7"/>
  <c r="AU72" i="7"/>
  <c r="AU71" i="7"/>
  <c r="AU70" i="7"/>
  <c r="AU69" i="7"/>
  <c r="AU68" i="7"/>
  <c r="AU67" i="7"/>
  <c r="AU66" i="7"/>
  <c r="AU65" i="7"/>
  <c r="AU64" i="7"/>
  <c r="AU63" i="7"/>
  <c r="AU62" i="7"/>
  <c r="AU61" i="7"/>
  <c r="AU60" i="7"/>
  <c r="AU59" i="7"/>
  <c r="AU58" i="7"/>
  <c r="AU57" i="7"/>
  <c r="AU56" i="7"/>
  <c r="AU54" i="7"/>
  <c r="AU53" i="7"/>
  <c r="AU52" i="7"/>
  <c r="AU51" i="7"/>
  <c r="AU50" i="7"/>
  <c r="AU49" i="7"/>
  <c r="AU48" i="7"/>
  <c r="AU47" i="7"/>
  <c r="AU46" i="7"/>
  <c r="AU45" i="7"/>
  <c r="AU44" i="7"/>
  <c r="AU43" i="7"/>
  <c r="AU42" i="7"/>
  <c r="AU41" i="7"/>
  <c r="AU40" i="7"/>
  <c r="AU39" i="7"/>
  <c r="AU38" i="7"/>
  <c r="AU37" i="7"/>
  <c r="AU36" i="7"/>
  <c r="AU35" i="7"/>
  <c r="AU34" i="7"/>
  <c r="AU33" i="7"/>
  <c r="AU32" i="7"/>
  <c r="AU31" i="7"/>
  <c r="AU30" i="7"/>
  <c r="AU29" i="7"/>
  <c r="AU28" i="7"/>
  <c r="AU27" i="7"/>
  <c r="AU26" i="7"/>
  <c r="AU25" i="7"/>
  <c r="AU24" i="7"/>
  <c r="AU23" i="7"/>
  <c r="AU22" i="7"/>
  <c r="AU21" i="7"/>
  <c r="AU20" i="7"/>
  <c r="AU19" i="7"/>
  <c r="AU18" i="7"/>
  <c r="AU17" i="7"/>
  <c r="AU16" i="7"/>
  <c r="AU15" i="7"/>
  <c r="AU14" i="7"/>
  <c r="AU13" i="7"/>
  <c r="AU12" i="7"/>
  <c r="AU11" i="7"/>
  <c r="AU10" i="7"/>
  <c r="AO11" i="7"/>
  <c r="AO12" i="7"/>
  <c r="AO13" i="7"/>
  <c r="AO14" i="7"/>
  <c r="AO15" i="7"/>
  <c r="AO16" i="7"/>
  <c r="AO17" i="7"/>
  <c r="AO18" i="7"/>
  <c r="AO19" i="7"/>
  <c r="AO20" i="7"/>
  <c r="AO21" i="7"/>
  <c r="AO22" i="7"/>
  <c r="AO23" i="7"/>
  <c r="AO24" i="7"/>
  <c r="AO25" i="7"/>
  <c r="AO26" i="7"/>
  <c r="AO27" i="7"/>
  <c r="AO28" i="7"/>
  <c r="AO29" i="7"/>
  <c r="AO30" i="7"/>
  <c r="AO31" i="7"/>
  <c r="AO32" i="7"/>
  <c r="AO33" i="7"/>
  <c r="AO34" i="7"/>
  <c r="AO35" i="7"/>
  <c r="AO36" i="7"/>
  <c r="AO37" i="7"/>
  <c r="AO38" i="7"/>
  <c r="AO39" i="7"/>
  <c r="AO40" i="7"/>
  <c r="AO41" i="7"/>
  <c r="AO42" i="7"/>
  <c r="AO43" i="7"/>
  <c r="AO44" i="7"/>
  <c r="AO45" i="7"/>
  <c r="AO46" i="7"/>
  <c r="AO47" i="7"/>
  <c r="AO48" i="7"/>
  <c r="AO49" i="7"/>
  <c r="AO50" i="7"/>
  <c r="AO51" i="7"/>
  <c r="AO52" i="7"/>
  <c r="AO53" i="7"/>
  <c r="AO54" i="7"/>
  <c r="AO56" i="7"/>
  <c r="AO57" i="7"/>
  <c r="AO58" i="7"/>
  <c r="AO59" i="7"/>
  <c r="AO60" i="7"/>
  <c r="AO61" i="7"/>
  <c r="AO62" i="7"/>
  <c r="AO63" i="7"/>
  <c r="AO64" i="7"/>
  <c r="AO65" i="7"/>
  <c r="AO66" i="7"/>
  <c r="AO67" i="7"/>
  <c r="AO68" i="7"/>
  <c r="AO69" i="7"/>
  <c r="AO70" i="7"/>
  <c r="AO71" i="7"/>
  <c r="AO72" i="7"/>
  <c r="AO73" i="7"/>
  <c r="AO74" i="7"/>
  <c r="AO75" i="7"/>
  <c r="AO76" i="7"/>
  <c r="AO77" i="7"/>
  <c r="AO78" i="7"/>
  <c r="AO79" i="7"/>
  <c r="AO80" i="7"/>
  <c r="AO81" i="7"/>
  <c r="AO82" i="7"/>
  <c r="AO83" i="7"/>
  <c r="AO84" i="7"/>
  <c r="AO85" i="7"/>
  <c r="AO86" i="7"/>
  <c r="AO87" i="7"/>
  <c r="AO88" i="7"/>
  <c r="AO89" i="7"/>
  <c r="AO90" i="7"/>
  <c r="AO91" i="7"/>
  <c r="AO92" i="7"/>
  <c r="AO93" i="7"/>
  <c r="AO95" i="7"/>
  <c r="AO96" i="7"/>
  <c r="AO97" i="7"/>
  <c r="AO98" i="7"/>
  <c r="AO99" i="7"/>
  <c r="AO100" i="7"/>
  <c r="AO101" i="7"/>
  <c r="AO102" i="7"/>
  <c r="AO103" i="7"/>
  <c r="AO104" i="7"/>
  <c r="AO105" i="7"/>
  <c r="AO106" i="7"/>
  <c r="AO107" i="7"/>
  <c r="AO108" i="7"/>
  <c r="AO109" i="7"/>
  <c r="AO110" i="7"/>
  <c r="AO111" i="7"/>
  <c r="AO112" i="7"/>
  <c r="AO113" i="7"/>
  <c r="AO114" i="7"/>
  <c r="AO115" i="7"/>
  <c r="AO116" i="7"/>
  <c r="AO117" i="7"/>
  <c r="AO118" i="7"/>
  <c r="AO119" i="7"/>
  <c r="AO120" i="7"/>
  <c r="AO121" i="7"/>
  <c r="AO122" i="7"/>
  <c r="AO123" i="7"/>
  <c r="AO124" i="7"/>
  <c r="AO125" i="7"/>
  <c r="AO126" i="7"/>
  <c r="AO127" i="7"/>
  <c r="AO128" i="7"/>
  <c r="AO129" i="7"/>
  <c r="AO130" i="7"/>
  <c r="AO131" i="7"/>
  <c r="AO132" i="7"/>
  <c r="AO133" i="7"/>
  <c r="AO135" i="7"/>
  <c r="AO136" i="7"/>
  <c r="AO137" i="7"/>
  <c r="AO138" i="7"/>
  <c r="AO139" i="7"/>
  <c r="AO140" i="7"/>
  <c r="AO141" i="7"/>
  <c r="AO142" i="7"/>
  <c r="AO143" i="7"/>
  <c r="AO144" i="7"/>
  <c r="AO145" i="7"/>
  <c r="AO146" i="7"/>
  <c r="AO147" i="7"/>
  <c r="AO148" i="7"/>
  <c r="AO149" i="7"/>
  <c r="AO150" i="7"/>
  <c r="AO151" i="7"/>
  <c r="AO152" i="7"/>
  <c r="AO153" i="7"/>
  <c r="AO154" i="7"/>
  <c r="AO155" i="7"/>
  <c r="AO156" i="7"/>
  <c r="AO157" i="7"/>
  <c r="AO158" i="7"/>
  <c r="AO159" i="7"/>
  <c r="AO160" i="7"/>
  <c r="AO161" i="7"/>
  <c r="AO162" i="7"/>
  <c r="AO163" i="7"/>
  <c r="AO164" i="7"/>
  <c r="AO165" i="7"/>
  <c r="AO166" i="7"/>
  <c r="AO167" i="7"/>
  <c r="AO168" i="7"/>
  <c r="AO169" i="7"/>
  <c r="AO170" i="7"/>
  <c r="AO171" i="7"/>
  <c r="AO172" i="7"/>
  <c r="AO173" i="7"/>
  <c r="AO174" i="7"/>
  <c r="AO175" i="7"/>
  <c r="AO176" i="7"/>
  <c r="AO178" i="7"/>
  <c r="AO179" i="7"/>
  <c r="AO180" i="7"/>
  <c r="AO181" i="7"/>
  <c r="AO182" i="7"/>
  <c r="AO183" i="7"/>
  <c r="AO184" i="7"/>
  <c r="AO185" i="7"/>
  <c r="AO186" i="7"/>
  <c r="AO187" i="7"/>
  <c r="AO188" i="7"/>
  <c r="AO189" i="7"/>
  <c r="AO190" i="7"/>
  <c r="AO191" i="7"/>
  <c r="AO192" i="7"/>
  <c r="AO193" i="7"/>
  <c r="AO194" i="7"/>
  <c r="AO195" i="7"/>
  <c r="AO196" i="7"/>
  <c r="AO197" i="7"/>
  <c r="AO198" i="7"/>
  <c r="AO199" i="7"/>
  <c r="AO200" i="7"/>
  <c r="AO201" i="7"/>
  <c r="AO202" i="7"/>
  <c r="AO203" i="7"/>
  <c r="AO204" i="7"/>
  <c r="AO205" i="7"/>
  <c r="AO206" i="7"/>
  <c r="AO207" i="7"/>
  <c r="AO208" i="7"/>
  <c r="AO209" i="7"/>
  <c r="AO210" i="7"/>
  <c r="AO211" i="7"/>
  <c r="AO212" i="7"/>
  <c r="AO213" i="7"/>
  <c r="AO214" i="7"/>
  <c r="AO215" i="7"/>
  <c r="AO216" i="7"/>
  <c r="AO217" i="7"/>
  <c r="AO218" i="7"/>
  <c r="AO219" i="7"/>
  <c r="AO221" i="7"/>
  <c r="AO222" i="7"/>
  <c r="AO223" i="7"/>
  <c r="AO224" i="7"/>
  <c r="AO225" i="7"/>
  <c r="AO226" i="7"/>
  <c r="AO227" i="7"/>
  <c r="AO228" i="7"/>
  <c r="AO229" i="7"/>
  <c r="AO230" i="7"/>
  <c r="AO231" i="7"/>
  <c r="AO232" i="7"/>
  <c r="AO233" i="7"/>
  <c r="AO234" i="7"/>
  <c r="AO235" i="7"/>
  <c r="AO236" i="7"/>
  <c r="AO237" i="7"/>
  <c r="AO238" i="7"/>
  <c r="AO239" i="7"/>
  <c r="AO240" i="7"/>
  <c r="AO241" i="7"/>
  <c r="AO242" i="7"/>
  <c r="AO243" i="7"/>
  <c r="AO244" i="7"/>
  <c r="AO245" i="7"/>
  <c r="AO246" i="7"/>
  <c r="AO247" i="7"/>
  <c r="AO248" i="7"/>
  <c r="AO249" i="7"/>
  <c r="AO250" i="7"/>
  <c r="AO251" i="7"/>
  <c r="AO252" i="7"/>
  <c r="AO253" i="7"/>
  <c r="AO254" i="7"/>
  <c r="AO255" i="7"/>
  <c r="AO256" i="7"/>
  <c r="AO258" i="7"/>
  <c r="AO259" i="7"/>
  <c r="AO260" i="7"/>
  <c r="AO261" i="7"/>
  <c r="AO262" i="7"/>
  <c r="AO263" i="7"/>
  <c r="AO264" i="7"/>
  <c r="AO265" i="7"/>
  <c r="AO266" i="7"/>
  <c r="AO267" i="7"/>
  <c r="AO268" i="7"/>
  <c r="AO269" i="7"/>
  <c r="AO270" i="7"/>
  <c r="AO271" i="7"/>
  <c r="AO272" i="7"/>
  <c r="AO273" i="7"/>
  <c r="AO274" i="7"/>
  <c r="AO275" i="7"/>
  <c r="AO276" i="7"/>
  <c r="AO277" i="7"/>
  <c r="AO278" i="7"/>
  <c r="AO279" i="7"/>
  <c r="AO280" i="7"/>
  <c r="AO281" i="7"/>
  <c r="AO282" i="7"/>
  <c r="AO283" i="7"/>
  <c r="AO284" i="7"/>
  <c r="AO285" i="7"/>
  <c r="AO286" i="7"/>
  <c r="AO287" i="7"/>
  <c r="AO288" i="7"/>
  <c r="AO289" i="7"/>
  <c r="AO290" i="7"/>
  <c r="AO291" i="7"/>
  <c r="AO292" i="7"/>
  <c r="AO293" i="7"/>
  <c r="AO294" i="7"/>
  <c r="AO295" i="7"/>
  <c r="AO296" i="7"/>
  <c r="AO297" i="7"/>
  <c r="AO298" i="7"/>
  <c r="AO299" i="7"/>
  <c r="AO300" i="7"/>
  <c r="AO301" i="7"/>
  <c r="AO302" i="7"/>
  <c r="AO303" i="7"/>
  <c r="AO304" i="7"/>
  <c r="AO305" i="7"/>
  <c r="AO307" i="7"/>
  <c r="AO308" i="7"/>
  <c r="AO309" i="7"/>
  <c r="AO310" i="7"/>
  <c r="AO311" i="7"/>
  <c r="AO312" i="7"/>
  <c r="AO313" i="7"/>
  <c r="AO314" i="7"/>
  <c r="AO315" i="7"/>
  <c r="AO316" i="7"/>
  <c r="AO317" i="7"/>
  <c r="AO318" i="7"/>
  <c r="AO319" i="7"/>
  <c r="AO320" i="7"/>
  <c r="AO321" i="7"/>
  <c r="AO322" i="7"/>
  <c r="AO323" i="7"/>
  <c r="AO324" i="7"/>
  <c r="AO325" i="7"/>
  <c r="AO326" i="7"/>
  <c r="AO327" i="7"/>
  <c r="AO328" i="7"/>
  <c r="AO329" i="7"/>
  <c r="AO330" i="7"/>
  <c r="AO331" i="7"/>
  <c r="AO332" i="7"/>
  <c r="AO333" i="7"/>
  <c r="AO334" i="7"/>
  <c r="AO335" i="7"/>
  <c r="AO336" i="7"/>
  <c r="AO337" i="7"/>
  <c r="AO338" i="7"/>
  <c r="AO339" i="7"/>
  <c r="AO340" i="7"/>
  <c r="AO341" i="7"/>
  <c r="AO342" i="7"/>
  <c r="AO343" i="7"/>
  <c r="AO344" i="7"/>
  <c r="AO345" i="7"/>
  <c r="AO346" i="7"/>
  <c r="AO348" i="7"/>
  <c r="AO349" i="7"/>
  <c r="AO350" i="7"/>
  <c r="AO351" i="7"/>
  <c r="AO352" i="7"/>
  <c r="AO353" i="7"/>
  <c r="AO354" i="7"/>
  <c r="AO355" i="7"/>
  <c r="AO356" i="7"/>
  <c r="AO357" i="7"/>
  <c r="AO358" i="7"/>
  <c r="AO359" i="7"/>
  <c r="AO360" i="7"/>
  <c r="AO361" i="7"/>
  <c r="AO362" i="7"/>
  <c r="AO363" i="7"/>
  <c r="AO364" i="7"/>
  <c r="AO365" i="7"/>
  <c r="AO366" i="7"/>
  <c r="AO367" i="7"/>
  <c r="AO368" i="7"/>
  <c r="AO369" i="7"/>
  <c r="AO370" i="7"/>
  <c r="AO371" i="7"/>
  <c r="AO372" i="7"/>
  <c r="AO373" i="7"/>
  <c r="AO374" i="7"/>
  <c r="AO375" i="7"/>
  <c r="AO376" i="7"/>
  <c r="AO377" i="7"/>
  <c r="AO378" i="7"/>
  <c r="AO379" i="7"/>
  <c r="AO380" i="7"/>
  <c r="AO381" i="7"/>
  <c r="AO382" i="7"/>
  <c r="AO383" i="7"/>
  <c r="AO384" i="7"/>
  <c r="AO385" i="7"/>
  <c r="AO386" i="7"/>
  <c r="AO387" i="7"/>
  <c r="AO388" i="7"/>
  <c r="AO389" i="7"/>
  <c r="AO391" i="7"/>
  <c r="AO392" i="7"/>
  <c r="AO393" i="7"/>
  <c r="AO394" i="7"/>
  <c r="AO395" i="7"/>
  <c r="AO396" i="7"/>
  <c r="AO397" i="7"/>
  <c r="AO398" i="7"/>
  <c r="AO399" i="7"/>
  <c r="AO400" i="7"/>
  <c r="AO401" i="7"/>
  <c r="AO402" i="7"/>
  <c r="AO403" i="7"/>
  <c r="AO404" i="7"/>
  <c r="AO405" i="7"/>
  <c r="AO406" i="7"/>
  <c r="AO407" i="7"/>
  <c r="AO408" i="7"/>
  <c r="AO409" i="7"/>
  <c r="AO410" i="7"/>
  <c r="AO411" i="7"/>
  <c r="AO412" i="7"/>
  <c r="AO413" i="7"/>
  <c r="AO414" i="7"/>
  <c r="AO415" i="7"/>
  <c r="AO416" i="7"/>
  <c r="AO417" i="7"/>
  <c r="AO418" i="7"/>
  <c r="AO419" i="7"/>
  <c r="AO420" i="7"/>
  <c r="AO421" i="7"/>
  <c r="AO422" i="7"/>
  <c r="AO423" i="7"/>
  <c r="AO424" i="7"/>
  <c r="AO425" i="7"/>
  <c r="AO426" i="7"/>
  <c r="AO427" i="7"/>
  <c r="AO428" i="7"/>
  <c r="AO429" i="7"/>
  <c r="AO430" i="7"/>
  <c r="AO433" i="7"/>
  <c r="AO10" i="7"/>
  <c r="AI11" i="7"/>
  <c r="AI12" i="7"/>
  <c r="AI13" i="7"/>
  <c r="AI14" i="7"/>
  <c r="AI15" i="7"/>
  <c r="AI16" i="7"/>
  <c r="AI17" i="7"/>
  <c r="AI18" i="7"/>
  <c r="AI19" i="7"/>
  <c r="AI20" i="7"/>
  <c r="AI21" i="7"/>
  <c r="AI22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AI35" i="7"/>
  <c r="AI36" i="7"/>
  <c r="AI37" i="7"/>
  <c r="AI38" i="7"/>
  <c r="AI39" i="7"/>
  <c r="AI40" i="7"/>
  <c r="AI41" i="7"/>
  <c r="AI42" i="7"/>
  <c r="AI43" i="7"/>
  <c r="AI44" i="7"/>
  <c r="AI45" i="7"/>
  <c r="AI46" i="7"/>
  <c r="AI47" i="7"/>
  <c r="AI48" i="7"/>
  <c r="AI49" i="7"/>
  <c r="AI50" i="7"/>
  <c r="AI51" i="7"/>
  <c r="AI52" i="7"/>
  <c r="AI53" i="7"/>
  <c r="AI54" i="7"/>
  <c r="AI56" i="7"/>
  <c r="AI57" i="7"/>
  <c r="AI58" i="7"/>
  <c r="AI59" i="7"/>
  <c r="AI60" i="7"/>
  <c r="AI61" i="7"/>
  <c r="AI62" i="7"/>
  <c r="AI63" i="7"/>
  <c r="AI64" i="7"/>
  <c r="AI65" i="7"/>
  <c r="AI66" i="7"/>
  <c r="AI67" i="7"/>
  <c r="AI68" i="7"/>
  <c r="AI69" i="7"/>
  <c r="AI70" i="7"/>
  <c r="AI71" i="7"/>
  <c r="AI72" i="7"/>
  <c r="AI73" i="7"/>
  <c r="AI74" i="7"/>
  <c r="AI75" i="7"/>
  <c r="AI76" i="7"/>
  <c r="AI77" i="7"/>
  <c r="AI78" i="7"/>
  <c r="AI79" i="7"/>
  <c r="AI80" i="7"/>
  <c r="AI81" i="7"/>
  <c r="AI82" i="7"/>
  <c r="AI83" i="7"/>
  <c r="AI84" i="7"/>
  <c r="AI85" i="7"/>
  <c r="AI86" i="7"/>
  <c r="AI87" i="7"/>
  <c r="AI88" i="7"/>
  <c r="AI89" i="7"/>
  <c r="AI90" i="7"/>
  <c r="AI91" i="7"/>
  <c r="AI92" i="7"/>
  <c r="AI93" i="7"/>
  <c r="AI95" i="7"/>
  <c r="AI96" i="7"/>
  <c r="AI97" i="7"/>
  <c r="AI98" i="7"/>
  <c r="AI99" i="7"/>
  <c r="AI100" i="7"/>
  <c r="AI101" i="7"/>
  <c r="AI102" i="7"/>
  <c r="AI103" i="7"/>
  <c r="AI104" i="7"/>
  <c r="AI105" i="7"/>
  <c r="AI106" i="7"/>
  <c r="AI107" i="7"/>
  <c r="AI108" i="7"/>
  <c r="AI109" i="7"/>
  <c r="AI110" i="7"/>
  <c r="AI111" i="7"/>
  <c r="AI112" i="7"/>
  <c r="AI113" i="7"/>
  <c r="AI114" i="7"/>
  <c r="AI115" i="7"/>
  <c r="AI116" i="7"/>
  <c r="AI117" i="7"/>
  <c r="AI118" i="7"/>
  <c r="AI119" i="7"/>
  <c r="AI120" i="7"/>
  <c r="AI121" i="7"/>
  <c r="AI122" i="7"/>
  <c r="AI123" i="7"/>
  <c r="AI124" i="7"/>
  <c r="AI125" i="7"/>
  <c r="AI126" i="7"/>
  <c r="AI127" i="7"/>
  <c r="AI128" i="7"/>
  <c r="AI129" i="7"/>
  <c r="AI130" i="7"/>
  <c r="AI131" i="7"/>
  <c r="AI132" i="7"/>
  <c r="AI133" i="7"/>
  <c r="AI135" i="7"/>
  <c r="AI136" i="7"/>
  <c r="AI137" i="7"/>
  <c r="AI138" i="7"/>
  <c r="AI139" i="7"/>
  <c r="AI140" i="7"/>
  <c r="AI141" i="7"/>
  <c r="AI142" i="7"/>
  <c r="AI143" i="7"/>
  <c r="AI144" i="7"/>
  <c r="AI145" i="7"/>
  <c r="AI146" i="7"/>
  <c r="AI147" i="7"/>
  <c r="AI148" i="7"/>
  <c r="AI149" i="7"/>
  <c r="AI150" i="7"/>
  <c r="AI151" i="7"/>
  <c r="AI152" i="7"/>
  <c r="AI153" i="7"/>
  <c r="AI154" i="7"/>
  <c r="AI155" i="7"/>
  <c r="AI156" i="7"/>
  <c r="AI157" i="7"/>
  <c r="AI158" i="7"/>
  <c r="AI159" i="7"/>
  <c r="AI160" i="7"/>
  <c r="AI161" i="7"/>
  <c r="AI162" i="7"/>
  <c r="AI163" i="7"/>
  <c r="AI164" i="7"/>
  <c r="AI165" i="7"/>
  <c r="AI166" i="7"/>
  <c r="AI167" i="7"/>
  <c r="AI168" i="7"/>
  <c r="AI169" i="7"/>
  <c r="AI170" i="7"/>
  <c r="AI171" i="7"/>
  <c r="AI172" i="7"/>
  <c r="AI173" i="7"/>
  <c r="AI174" i="7"/>
  <c r="AI175" i="7"/>
  <c r="AI176" i="7"/>
  <c r="AI178" i="7"/>
  <c r="AI179" i="7"/>
  <c r="AI180" i="7"/>
  <c r="AI181" i="7"/>
  <c r="AI182" i="7"/>
  <c r="AI183" i="7"/>
  <c r="AI184" i="7"/>
  <c r="AI185" i="7"/>
  <c r="AI186" i="7"/>
  <c r="AI187" i="7"/>
  <c r="AI188" i="7"/>
  <c r="AI189" i="7"/>
  <c r="AI190" i="7"/>
  <c r="AI191" i="7"/>
  <c r="AI192" i="7"/>
  <c r="AI193" i="7"/>
  <c r="AI194" i="7"/>
  <c r="AI195" i="7"/>
  <c r="AI196" i="7"/>
  <c r="AI197" i="7"/>
  <c r="AI198" i="7"/>
  <c r="AI199" i="7"/>
  <c r="AI200" i="7"/>
  <c r="AI201" i="7"/>
  <c r="AI202" i="7"/>
  <c r="AI203" i="7"/>
  <c r="AI204" i="7"/>
  <c r="AI205" i="7"/>
  <c r="AI206" i="7"/>
  <c r="AI207" i="7"/>
  <c r="AI208" i="7"/>
  <c r="AI209" i="7"/>
  <c r="AI210" i="7"/>
  <c r="AI211" i="7"/>
  <c r="AI212" i="7"/>
  <c r="AI213" i="7"/>
  <c r="AI214" i="7"/>
  <c r="AI215" i="7"/>
  <c r="AI216" i="7"/>
  <c r="AI217" i="7"/>
  <c r="AI218" i="7"/>
  <c r="AI219" i="7"/>
  <c r="AI221" i="7"/>
  <c r="AI222" i="7"/>
  <c r="AI223" i="7"/>
  <c r="AI224" i="7"/>
  <c r="AI225" i="7"/>
  <c r="AI226" i="7"/>
  <c r="AI227" i="7"/>
  <c r="AI228" i="7"/>
  <c r="AI229" i="7"/>
  <c r="AI230" i="7"/>
  <c r="AI231" i="7"/>
  <c r="AI232" i="7"/>
  <c r="AI233" i="7"/>
  <c r="AI234" i="7"/>
  <c r="AI235" i="7"/>
  <c r="AI236" i="7"/>
  <c r="AI237" i="7"/>
  <c r="AI238" i="7"/>
  <c r="AI239" i="7"/>
  <c r="AI240" i="7"/>
  <c r="AI241" i="7"/>
  <c r="AI242" i="7"/>
  <c r="AI243" i="7"/>
  <c r="AI244" i="7"/>
  <c r="AI245" i="7"/>
  <c r="AI246" i="7"/>
  <c r="AI247" i="7"/>
  <c r="AI248" i="7"/>
  <c r="AI249" i="7"/>
  <c r="AI250" i="7"/>
  <c r="AI251" i="7"/>
  <c r="AI252" i="7"/>
  <c r="AI253" i="7"/>
  <c r="AI254" i="7"/>
  <c r="AI255" i="7"/>
  <c r="AI256" i="7"/>
  <c r="AI258" i="7"/>
  <c r="AI259" i="7"/>
  <c r="AI260" i="7"/>
  <c r="AI261" i="7"/>
  <c r="AI262" i="7"/>
  <c r="AI263" i="7"/>
  <c r="AI264" i="7"/>
  <c r="AI265" i="7"/>
  <c r="AI266" i="7"/>
  <c r="AI267" i="7"/>
  <c r="AI268" i="7"/>
  <c r="AI269" i="7"/>
  <c r="AI270" i="7"/>
  <c r="AI271" i="7"/>
  <c r="AI272" i="7"/>
  <c r="AI273" i="7"/>
  <c r="AI274" i="7"/>
  <c r="AI275" i="7"/>
  <c r="AI276" i="7"/>
  <c r="AI277" i="7"/>
  <c r="AI278" i="7"/>
  <c r="AI279" i="7"/>
  <c r="AI280" i="7"/>
  <c r="AI281" i="7"/>
  <c r="AI282" i="7"/>
  <c r="AI283" i="7"/>
  <c r="AI284" i="7"/>
  <c r="AI285" i="7"/>
  <c r="AI286" i="7"/>
  <c r="AI287" i="7"/>
  <c r="AI288" i="7"/>
  <c r="AI289" i="7"/>
  <c r="AI290" i="7"/>
  <c r="AI291" i="7"/>
  <c r="AI292" i="7"/>
  <c r="AI293" i="7"/>
  <c r="AI294" i="7"/>
  <c r="AI295" i="7"/>
  <c r="AI296" i="7"/>
  <c r="AI297" i="7"/>
  <c r="AI298" i="7"/>
  <c r="AI299" i="7"/>
  <c r="AI300" i="7"/>
  <c r="AI301" i="7"/>
  <c r="AI302" i="7"/>
  <c r="AI303" i="7"/>
  <c r="AI304" i="7"/>
  <c r="AI305" i="7"/>
  <c r="AI307" i="7"/>
  <c r="AI308" i="7"/>
  <c r="AI309" i="7"/>
  <c r="AI310" i="7"/>
  <c r="AI311" i="7"/>
  <c r="AI312" i="7"/>
  <c r="AI313" i="7"/>
  <c r="AI314" i="7"/>
  <c r="AI315" i="7"/>
  <c r="AI316" i="7"/>
  <c r="AI317" i="7"/>
  <c r="AI318" i="7"/>
  <c r="AI319" i="7"/>
  <c r="AI320" i="7"/>
  <c r="AI321" i="7"/>
  <c r="AI322" i="7"/>
  <c r="AI323" i="7"/>
  <c r="AI324" i="7"/>
  <c r="AI325" i="7"/>
  <c r="AI326" i="7"/>
  <c r="AI327" i="7"/>
  <c r="AI328" i="7"/>
  <c r="AI329" i="7"/>
  <c r="AI330" i="7"/>
  <c r="AI331" i="7"/>
  <c r="AI332" i="7"/>
  <c r="AI333" i="7"/>
  <c r="AI334" i="7"/>
  <c r="AI335" i="7"/>
  <c r="AI336" i="7"/>
  <c r="AI337" i="7"/>
  <c r="AI338" i="7"/>
  <c r="AI339" i="7"/>
  <c r="AI340" i="7"/>
  <c r="AI341" i="7"/>
  <c r="AI342" i="7"/>
  <c r="AI343" i="7"/>
  <c r="AI344" i="7"/>
  <c r="AI345" i="7"/>
  <c r="AI346" i="7"/>
  <c r="AI348" i="7"/>
  <c r="AI349" i="7"/>
  <c r="AI350" i="7"/>
  <c r="AI351" i="7"/>
  <c r="AI352" i="7"/>
  <c r="AI353" i="7"/>
  <c r="AI354" i="7"/>
  <c r="AI355" i="7"/>
  <c r="AI356" i="7"/>
  <c r="AI357" i="7"/>
  <c r="AI358" i="7"/>
  <c r="AI359" i="7"/>
  <c r="AI360" i="7"/>
  <c r="AI361" i="7"/>
  <c r="AI362" i="7"/>
  <c r="AI363" i="7"/>
  <c r="AI364" i="7"/>
  <c r="AI365" i="7"/>
  <c r="AI366" i="7"/>
  <c r="AI367" i="7"/>
  <c r="AI368" i="7"/>
  <c r="AI369" i="7"/>
  <c r="AI370" i="7"/>
  <c r="AI371" i="7"/>
  <c r="AI372" i="7"/>
  <c r="AI373" i="7"/>
  <c r="AI374" i="7"/>
  <c r="AI375" i="7"/>
  <c r="AI376" i="7"/>
  <c r="AI377" i="7"/>
  <c r="AI378" i="7"/>
  <c r="AI379" i="7"/>
  <c r="AI380" i="7"/>
  <c r="AI381" i="7"/>
  <c r="AI382" i="7"/>
  <c r="AI383" i="7"/>
  <c r="AI384" i="7"/>
  <c r="AI385" i="7"/>
  <c r="AI386" i="7"/>
  <c r="AI387" i="7"/>
  <c r="AI388" i="7"/>
  <c r="AI389" i="7"/>
  <c r="AI391" i="7"/>
  <c r="AI392" i="7"/>
  <c r="AI393" i="7"/>
  <c r="AI394" i="7"/>
  <c r="AI395" i="7"/>
  <c r="AI396" i="7"/>
  <c r="AI397" i="7"/>
  <c r="AI398" i="7"/>
  <c r="AI399" i="7"/>
  <c r="AI400" i="7"/>
  <c r="AI401" i="7"/>
  <c r="AI402" i="7"/>
  <c r="AI403" i="7"/>
  <c r="AI404" i="7"/>
  <c r="AI405" i="7"/>
  <c r="AI406" i="7"/>
  <c r="AI407" i="7"/>
  <c r="AI408" i="7"/>
  <c r="AI409" i="7"/>
  <c r="AI410" i="7"/>
  <c r="AI411" i="7"/>
  <c r="AI412" i="7"/>
  <c r="AI413" i="7"/>
  <c r="AI414" i="7"/>
  <c r="AI415" i="7"/>
  <c r="AI416" i="7"/>
  <c r="AI417" i="7"/>
  <c r="AI418" i="7"/>
  <c r="AI419" i="7"/>
  <c r="AI420" i="7"/>
  <c r="AI421" i="7"/>
  <c r="AI422" i="7"/>
  <c r="AI423" i="7"/>
  <c r="AI424" i="7"/>
  <c r="AI425" i="7"/>
  <c r="AI426" i="7"/>
  <c r="AI427" i="7"/>
  <c r="AI428" i="7"/>
  <c r="AI429" i="7"/>
  <c r="AI430" i="7"/>
  <c r="AI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86" i="7"/>
  <c r="AC87" i="7"/>
  <c r="AC88" i="7"/>
  <c r="AC89" i="7"/>
  <c r="AC90" i="7"/>
  <c r="AC91" i="7"/>
  <c r="AC92" i="7"/>
  <c r="AC93" i="7"/>
  <c r="AC95" i="7"/>
  <c r="AC96" i="7"/>
  <c r="AC97" i="7"/>
  <c r="AC98" i="7"/>
  <c r="AC99" i="7"/>
  <c r="AC100" i="7"/>
  <c r="AC101" i="7"/>
  <c r="AC102" i="7"/>
  <c r="AC103" i="7"/>
  <c r="AC104" i="7"/>
  <c r="AC105" i="7"/>
  <c r="AC106" i="7"/>
  <c r="AC107" i="7"/>
  <c r="AC108" i="7"/>
  <c r="AC109" i="7"/>
  <c r="AC110" i="7"/>
  <c r="AC111" i="7"/>
  <c r="AC112" i="7"/>
  <c r="AC113" i="7"/>
  <c r="AC114" i="7"/>
  <c r="AC115" i="7"/>
  <c r="AC116" i="7"/>
  <c r="AC117" i="7"/>
  <c r="AC118" i="7"/>
  <c r="AC119" i="7"/>
  <c r="AC120" i="7"/>
  <c r="AC121" i="7"/>
  <c r="AC122" i="7"/>
  <c r="AC123" i="7"/>
  <c r="AC124" i="7"/>
  <c r="AC125" i="7"/>
  <c r="AC126" i="7"/>
  <c r="AC127" i="7"/>
  <c r="AC128" i="7"/>
  <c r="AC129" i="7"/>
  <c r="AC130" i="7"/>
  <c r="AC131" i="7"/>
  <c r="AC132" i="7"/>
  <c r="AC133" i="7"/>
  <c r="AC135" i="7"/>
  <c r="AC136" i="7"/>
  <c r="AC137" i="7"/>
  <c r="AC138" i="7"/>
  <c r="AC139" i="7"/>
  <c r="AC140" i="7"/>
  <c r="AC141" i="7"/>
  <c r="AC142" i="7"/>
  <c r="AC143" i="7"/>
  <c r="AC144" i="7"/>
  <c r="AC145" i="7"/>
  <c r="AC146" i="7"/>
  <c r="AC147" i="7"/>
  <c r="AC148" i="7"/>
  <c r="AC149" i="7"/>
  <c r="AC150" i="7"/>
  <c r="AC151" i="7"/>
  <c r="AC152" i="7"/>
  <c r="AC153" i="7"/>
  <c r="AC154" i="7"/>
  <c r="AC155" i="7"/>
  <c r="AC156" i="7"/>
  <c r="AC157" i="7"/>
  <c r="AC158" i="7"/>
  <c r="AC159" i="7"/>
  <c r="AC160" i="7"/>
  <c r="AC161" i="7"/>
  <c r="AC162" i="7"/>
  <c r="AC163" i="7"/>
  <c r="AC164" i="7"/>
  <c r="AC165" i="7"/>
  <c r="AC166" i="7"/>
  <c r="AC167" i="7"/>
  <c r="AC168" i="7"/>
  <c r="AC169" i="7"/>
  <c r="AC170" i="7"/>
  <c r="AC171" i="7"/>
  <c r="AC172" i="7"/>
  <c r="AC173" i="7"/>
  <c r="AC174" i="7"/>
  <c r="AC175" i="7"/>
  <c r="AC176" i="7"/>
  <c r="AC178" i="7"/>
  <c r="AC179" i="7"/>
  <c r="AC180" i="7"/>
  <c r="AC181" i="7"/>
  <c r="AC182" i="7"/>
  <c r="AC183" i="7"/>
  <c r="AC184" i="7"/>
  <c r="AC185" i="7"/>
  <c r="AC186" i="7"/>
  <c r="AC187" i="7"/>
  <c r="AC188" i="7"/>
  <c r="AC189" i="7"/>
  <c r="AC190" i="7"/>
  <c r="AC191" i="7"/>
  <c r="AC192" i="7"/>
  <c r="AC193" i="7"/>
  <c r="AC194" i="7"/>
  <c r="AC195" i="7"/>
  <c r="AC196" i="7"/>
  <c r="AC197" i="7"/>
  <c r="AC198" i="7"/>
  <c r="AC199" i="7"/>
  <c r="AC200" i="7"/>
  <c r="AC201" i="7"/>
  <c r="AC202" i="7"/>
  <c r="AC203" i="7"/>
  <c r="AC204" i="7"/>
  <c r="AC205" i="7"/>
  <c r="AC206" i="7"/>
  <c r="AC207" i="7"/>
  <c r="AC208" i="7"/>
  <c r="AC209" i="7"/>
  <c r="AC210" i="7"/>
  <c r="AC211" i="7"/>
  <c r="AC212" i="7"/>
  <c r="AC213" i="7"/>
  <c r="AC214" i="7"/>
  <c r="AC215" i="7"/>
  <c r="AC216" i="7"/>
  <c r="AC217" i="7"/>
  <c r="AC218" i="7"/>
  <c r="AC219" i="7"/>
  <c r="AC221" i="7"/>
  <c r="AC222" i="7"/>
  <c r="AC223" i="7"/>
  <c r="AC224" i="7"/>
  <c r="AC225" i="7"/>
  <c r="AC226" i="7"/>
  <c r="AC227" i="7"/>
  <c r="AC228" i="7"/>
  <c r="AC229" i="7"/>
  <c r="AC230" i="7"/>
  <c r="AC231" i="7"/>
  <c r="AC232" i="7"/>
  <c r="AC233" i="7"/>
  <c r="AC234" i="7"/>
  <c r="AC235" i="7"/>
  <c r="AC236" i="7"/>
  <c r="AC237" i="7"/>
  <c r="AC238" i="7"/>
  <c r="AC239" i="7"/>
  <c r="AC240" i="7"/>
  <c r="AC241" i="7"/>
  <c r="AC242" i="7"/>
  <c r="AC243" i="7"/>
  <c r="AC244" i="7"/>
  <c r="AC245" i="7"/>
  <c r="AC246" i="7"/>
  <c r="AC247" i="7"/>
  <c r="AC248" i="7"/>
  <c r="AC249" i="7"/>
  <c r="AC250" i="7"/>
  <c r="AC251" i="7"/>
  <c r="AC252" i="7"/>
  <c r="AC253" i="7"/>
  <c r="AC254" i="7"/>
  <c r="AC255" i="7"/>
  <c r="AC256" i="7"/>
  <c r="AC258" i="7"/>
  <c r="AC259" i="7"/>
  <c r="AC260" i="7"/>
  <c r="AC261" i="7"/>
  <c r="AC262" i="7"/>
  <c r="AC263" i="7"/>
  <c r="AC264" i="7"/>
  <c r="AC265" i="7"/>
  <c r="AC266" i="7"/>
  <c r="AC267" i="7"/>
  <c r="AC268" i="7"/>
  <c r="AC269" i="7"/>
  <c r="AC270" i="7"/>
  <c r="AC271" i="7"/>
  <c r="AC272" i="7"/>
  <c r="AC273" i="7"/>
  <c r="AC274" i="7"/>
  <c r="AC275" i="7"/>
  <c r="AC276" i="7"/>
  <c r="AC277" i="7"/>
  <c r="AC278" i="7"/>
  <c r="AC279" i="7"/>
  <c r="AC280" i="7"/>
  <c r="AC281" i="7"/>
  <c r="AC282" i="7"/>
  <c r="AC283" i="7"/>
  <c r="AC284" i="7"/>
  <c r="AC285" i="7"/>
  <c r="AC286" i="7"/>
  <c r="AC287" i="7"/>
  <c r="AC288" i="7"/>
  <c r="AC289" i="7"/>
  <c r="AC290" i="7"/>
  <c r="AC291" i="7"/>
  <c r="AC292" i="7"/>
  <c r="AC293" i="7"/>
  <c r="AC294" i="7"/>
  <c r="AC295" i="7"/>
  <c r="AC296" i="7"/>
  <c r="AC297" i="7"/>
  <c r="AC298" i="7"/>
  <c r="AC299" i="7"/>
  <c r="AC300" i="7"/>
  <c r="AC301" i="7"/>
  <c r="AC302" i="7"/>
  <c r="AC303" i="7"/>
  <c r="AC304" i="7"/>
  <c r="AC305" i="7"/>
  <c r="AC307" i="7"/>
  <c r="AC308" i="7"/>
  <c r="AC309" i="7"/>
  <c r="AC310" i="7"/>
  <c r="AC311" i="7"/>
  <c r="AC312" i="7"/>
  <c r="AC313" i="7"/>
  <c r="AC314" i="7"/>
  <c r="AC315" i="7"/>
  <c r="AC316" i="7"/>
  <c r="AC317" i="7"/>
  <c r="AC318" i="7"/>
  <c r="AC319" i="7"/>
  <c r="AC320" i="7"/>
  <c r="AC321" i="7"/>
  <c r="AC322" i="7"/>
  <c r="AC323" i="7"/>
  <c r="AC324" i="7"/>
  <c r="AC325" i="7"/>
  <c r="AC326" i="7"/>
  <c r="AC327" i="7"/>
  <c r="AC328" i="7"/>
  <c r="AC329" i="7"/>
  <c r="AC330" i="7"/>
  <c r="AC331" i="7"/>
  <c r="AC332" i="7"/>
  <c r="AC333" i="7"/>
  <c r="AC334" i="7"/>
  <c r="AC335" i="7"/>
  <c r="AC336" i="7"/>
  <c r="AC337" i="7"/>
  <c r="AC338" i="7"/>
  <c r="AC339" i="7"/>
  <c r="AC340" i="7"/>
  <c r="AC341" i="7"/>
  <c r="AC342" i="7"/>
  <c r="AC343" i="7"/>
  <c r="AC344" i="7"/>
  <c r="AC345" i="7"/>
  <c r="AC346" i="7"/>
  <c r="AC348" i="7"/>
  <c r="AC349" i="7"/>
  <c r="AC350" i="7"/>
  <c r="AC351" i="7"/>
  <c r="AC352" i="7"/>
  <c r="AC353" i="7"/>
  <c r="AC354" i="7"/>
  <c r="AC355" i="7"/>
  <c r="AC356" i="7"/>
  <c r="AC357" i="7"/>
  <c r="AC358" i="7"/>
  <c r="AC359" i="7"/>
  <c r="AC360" i="7"/>
  <c r="AC361" i="7"/>
  <c r="AC362" i="7"/>
  <c r="AC363" i="7"/>
  <c r="AC364" i="7"/>
  <c r="AC365" i="7"/>
  <c r="AC366" i="7"/>
  <c r="AC367" i="7"/>
  <c r="AC368" i="7"/>
  <c r="AC369" i="7"/>
  <c r="AC370" i="7"/>
  <c r="AC371" i="7"/>
  <c r="AC372" i="7"/>
  <c r="AC373" i="7"/>
  <c r="AC374" i="7"/>
  <c r="AC375" i="7"/>
  <c r="AC376" i="7"/>
  <c r="AC377" i="7"/>
  <c r="AC378" i="7"/>
  <c r="AC379" i="7"/>
  <c r="AC380" i="7"/>
  <c r="AC381" i="7"/>
  <c r="AC382" i="7"/>
  <c r="AC383" i="7"/>
  <c r="AC384" i="7"/>
  <c r="AC385" i="7"/>
  <c r="AC386" i="7"/>
  <c r="AC387" i="7"/>
  <c r="AC388" i="7"/>
  <c r="AC389" i="7"/>
  <c r="AC391" i="7"/>
  <c r="AC392" i="7"/>
  <c r="AC393" i="7"/>
  <c r="AC394" i="7"/>
  <c r="AC395" i="7"/>
  <c r="AC396" i="7"/>
  <c r="AC397" i="7"/>
  <c r="AC398" i="7"/>
  <c r="AC399" i="7"/>
  <c r="AC400" i="7"/>
  <c r="AC401" i="7"/>
  <c r="AC402" i="7"/>
  <c r="AC403" i="7"/>
  <c r="AC404" i="7"/>
  <c r="AC405" i="7"/>
  <c r="AC406" i="7"/>
  <c r="AC407" i="7"/>
  <c r="AC408" i="7"/>
  <c r="AC409" i="7"/>
  <c r="AC410" i="7"/>
  <c r="AC411" i="7"/>
  <c r="AC412" i="7"/>
  <c r="AC413" i="7"/>
  <c r="AC414" i="7"/>
  <c r="AC415" i="7"/>
  <c r="AC416" i="7"/>
  <c r="AC417" i="7"/>
  <c r="AC418" i="7"/>
  <c r="AC419" i="7"/>
  <c r="AC420" i="7"/>
  <c r="AC421" i="7"/>
  <c r="AC422" i="7"/>
  <c r="AC423" i="7"/>
  <c r="AC424" i="7"/>
  <c r="AC425" i="7"/>
  <c r="AC426" i="7"/>
  <c r="AC427" i="7"/>
  <c r="AC428" i="7"/>
  <c r="AC429" i="7"/>
  <c r="AC430" i="7"/>
  <c r="AC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W283" i="7"/>
  <c r="W284" i="7"/>
  <c r="W285" i="7"/>
  <c r="W286" i="7"/>
  <c r="W287" i="7"/>
  <c r="W288" i="7"/>
  <c r="W289" i="7"/>
  <c r="W290" i="7"/>
  <c r="W291" i="7"/>
  <c r="W292" i="7"/>
  <c r="W293" i="7"/>
  <c r="W294" i="7"/>
  <c r="W295" i="7"/>
  <c r="W296" i="7"/>
  <c r="W297" i="7"/>
  <c r="W298" i="7"/>
  <c r="W299" i="7"/>
  <c r="W300" i="7"/>
  <c r="W301" i="7"/>
  <c r="W302" i="7"/>
  <c r="W303" i="7"/>
  <c r="W304" i="7"/>
  <c r="W305" i="7"/>
  <c r="W307" i="7"/>
  <c r="W308" i="7"/>
  <c r="W309" i="7"/>
  <c r="W310" i="7"/>
  <c r="W311" i="7"/>
  <c r="W312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W326" i="7"/>
  <c r="W327" i="7"/>
  <c r="W328" i="7"/>
  <c r="W329" i="7"/>
  <c r="W330" i="7"/>
  <c r="W331" i="7"/>
  <c r="W332" i="7"/>
  <c r="W333" i="7"/>
  <c r="W334" i="7"/>
  <c r="W335" i="7"/>
  <c r="W336" i="7"/>
  <c r="W337" i="7"/>
  <c r="W338" i="7"/>
  <c r="W339" i="7"/>
  <c r="W340" i="7"/>
  <c r="W341" i="7"/>
  <c r="W342" i="7"/>
  <c r="W343" i="7"/>
  <c r="W344" i="7"/>
  <c r="W345" i="7"/>
  <c r="W346" i="7"/>
  <c r="W348" i="7"/>
  <c r="W349" i="7"/>
  <c r="W350" i="7"/>
  <c r="W351" i="7"/>
  <c r="W352" i="7"/>
  <c r="W353" i="7"/>
  <c r="W354" i="7"/>
  <c r="W355" i="7"/>
  <c r="W356" i="7"/>
  <c r="W357" i="7"/>
  <c r="W358" i="7"/>
  <c r="W359" i="7"/>
  <c r="W360" i="7"/>
  <c r="W361" i="7"/>
  <c r="W362" i="7"/>
  <c r="W363" i="7"/>
  <c r="W364" i="7"/>
  <c r="W365" i="7"/>
  <c r="W366" i="7"/>
  <c r="W36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1" i="7"/>
  <c r="W392" i="7"/>
  <c r="W393" i="7"/>
  <c r="W394" i="7"/>
  <c r="W395" i="7"/>
  <c r="W396" i="7"/>
  <c r="W397" i="7"/>
  <c r="W398" i="7"/>
  <c r="W399" i="7"/>
  <c r="W400" i="7"/>
  <c r="W401" i="7"/>
  <c r="W402" i="7"/>
  <c r="W403" i="7"/>
  <c r="W404" i="7"/>
  <c r="W405" i="7"/>
  <c r="W406" i="7"/>
  <c r="W407" i="7"/>
  <c r="W408" i="7"/>
  <c r="W409" i="7"/>
  <c r="W410" i="7"/>
  <c r="W411" i="7"/>
  <c r="W412" i="7"/>
  <c r="W413" i="7"/>
  <c r="W414" i="7"/>
  <c r="W415" i="7"/>
  <c r="W416" i="7"/>
  <c r="W417" i="7"/>
  <c r="W418" i="7"/>
  <c r="W419" i="7"/>
  <c r="W420" i="7"/>
  <c r="W421" i="7"/>
  <c r="W422" i="7"/>
  <c r="W423" i="7"/>
  <c r="W424" i="7"/>
  <c r="W425" i="7"/>
  <c r="W426" i="7"/>
  <c r="W427" i="7"/>
  <c r="W428" i="7"/>
  <c r="W429" i="7"/>
  <c r="W430" i="7"/>
  <c r="W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10" i="7"/>
  <c r="L431" i="7"/>
  <c r="J431" i="7"/>
  <c r="K431" i="7"/>
  <c r="M431" i="7"/>
  <c r="N431" i="7"/>
  <c r="O431" i="7"/>
  <c r="P431" i="7"/>
  <c r="R431" i="7"/>
  <c r="S431" i="7"/>
  <c r="T431" i="7"/>
  <c r="U431" i="7"/>
  <c r="V431" i="7"/>
  <c r="X431" i="7"/>
  <c r="Y431" i="7"/>
  <c r="Z431" i="7"/>
  <c r="AA431" i="7"/>
  <c r="AB431" i="7"/>
  <c r="AD431" i="7"/>
  <c r="AE431" i="7"/>
  <c r="AF431" i="7"/>
  <c r="AG431" i="7"/>
  <c r="AH431" i="7"/>
  <c r="AJ431" i="7"/>
  <c r="AK431" i="7"/>
  <c r="AL431" i="7"/>
  <c r="AM431" i="7"/>
  <c r="AN431" i="7"/>
  <c r="AP431" i="7"/>
  <c r="AQ431" i="7"/>
  <c r="AR431" i="7"/>
  <c r="AS431" i="7"/>
  <c r="AT431" i="7"/>
  <c r="M347" i="7"/>
  <c r="M306" i="7"/>
  <c r="M257" i="7"/>
  <c r="M220" i="7"/>
  <c r="M177" i="7"/>
  <c r="M134" i="7"/>
  <c r="M55" i="7"/>
  <c r="N55" i="7"/>
  <c r="O55" i="7"/>
  <c r="P55" i="7"/>
  <c r="L55" i="7"/>
  <c r="AU94" i="7" l="1"/>
  <c r="AU177" i="7"/>
  <c r="P432" i="7"/>
  <c r="W177" i="7"/>
  <c r="W94" i="7"/>
  <c r="AC177" i="7"/>
  <c r="AC94" i="7"/>
  <c r="AI177" i="7"/>
  <c r="AI94" i="7"/>
  <c r="AO390" i="7"/>
  <c r="AO347" i="7"/>
  <c r="AO306" i="7"/>
  <c r="AO257" i="7"/>
  <c r="AU257" i="7"/>
  <c r="AU347" i="7"/>
  <c r="AU390" i="7"/>
  <c r="Q347" i="7"/>
  <c r="Q306" i="7"/>
  <c r="W390" i="7"/>
  <c r="AI390" i="7"/>
  <c r="AI347" i="7"/>
  <c r="AI257" i="7"/>
  <c r="AO134" i="7"/>
  <c r="AO431" i="7"/>
  <c r="Q177" i="7"/>
  <c r="Q94" i="7"/>
  <c r="AE432" i="7"/>
  <c r="Z432" i="7"/>
  <c r="W55" i="7"/>
  <c r="W220" i="7"/>
  <c r="AI55" i="7"/>
  <c r="AI220" i="7"/>
  <c r="AO220" i="7"/>
  <c r="AO177" i="7"/>
  <c r="AO94" i="7"/>
  <c r="AO55" i="7"/>
  <c r="AU134" i="7"/>
  <c r="AU306" i="7"/>
  <c r="Q390" i="7"/>
  <c r="Q257" i="7"/>
  <c r="W347" i="7"/>
  <c r="W257" i="7"/>
  <c r="AC390" i="7"/>
  <c r="AC347" i="7"/>
  <c r="AC306" i="7"/>
  <c r="AC257" i="7"/>
  <c r="O432" i="7"/>
  <c r="AA432" i="7"/>
  <c r="M432" i="7"/>
  <c r="Q220" i="7"/>
  <c r="Q134" i="7"/>
  <c r="Q55" i="7"/>
  <c r="W306" i="7"/>
  <c r="W134" i="7"/>
  <c r="AC220" i="7"/>
  <c r="AC134" i="7"/>
  <c r="AC55" i="7"/>
  <c r="AI431" i="7"/>
  <c r="AI306" i="7"/>
  <c r="AI134" i="7"/>
  <c r="AU55" i="7"/>
  <c r="AU220" i="7"/>
  <c r="AC431" i="7"/>
  <c r="AU431" i="7"/>
  <c r="AL432" i="7"/>
  <c r="W431" i="7"/>
  <c r="AD432" i="7"/>
  <c r="V432" i="7"/>
  <c r="N432" i="7"/>
  <c r="R432" i="7"/>
  <c r="Q431" i="7"/>
  <c r="AQ432" i="7"/>
  <c r="S432" i="7"/>
  <c r="AM432" i="7"/>
  <c r="AT432" i="7"/>
  <c r="AP432" i="7"/>
  <c r="AH432" i="7"/>
  <c r="AR432" i="7"/>
  <c r="AN432" i="7"/>
  <c r="AJ432" i="7"/>
  <c r="AB432" i="7"/>
  <c r="X432" i="7"/>
  <c r="T432" i="7"/>
  <c r="AK432" i="7"/>
  <c r="Y432" i="7"/>
  <c r="AF432" i="7"/>
  <c r="AS432" i="7"/>
  <c r="AG432" i="7"/>
  <c r="U432" i="7"/>
  <c r="AI432" i="7" l="1"/>
  <c r="AC432" i="7"/>
  <c r="W432" i="7"/>
  <c r="Q432" i="7"/>
  <c r="AO432" i="7"/>
  <c r="AU432" i="7"/>
  <c r="L52" i="5" l="1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K217" i="1" l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I431" i="7" l="1"/>
  <c r="H431" i="7"/>
  <c r="G431" i="7"/>
  <c r="F431" i="7"/>
  <c r="E431" i="7"/>
  <c r="D431" i="7"/>
  <c r="L390" i="7"/>
  <c r="K390" i="7"/>
  <c r="J390" i="7"/>
  <c r="I390" i="7"/>
  <c r="H390" i="7"/>
  <c r="G390" i="7"/>
  <c r="F390" i="7"/>
  <c r="E390" i="7"/>
  <c r="D390" i="7"/>
  <c r="L347" i="7"/>
  <c r="K347" i="7"/>
  <c r="J347" i="7"/>
  <c r="I347" i="7"/>
  <c r="H347" i="7"/>
  <c r="G347" i="7"/>
  <c r="F347" i="7"/>
  <c r="E347" i="7"/>
  <c r="D347" i="7"/>
  <c r="L306" i="7"/>
  <c r="K306" i="7"/>
  <c r="J306" i="7"/>
  <c r="I306" i="7"/>
  <c r="H306" i="7"/>
  <c r="G306" i="7"/>
  <c r="F306" i="7"/>
  <c r="E306" i="7"/>
  <c r="D306" i="7"/>
  <c r="L257" i="7"/>
  <c r="D257" i="7"/>
  <c r="L220" i="7"/>
  <c r="D220" i="7"/>
  <c r="L177" i="7"/>
  <c r="D177" i="7"/>
  <c r="L134" i="7"/>
  <c r="D134" i="7"/>
  <c r="L94" i="7"/>
  <c r="K94" i="7"/>
  <c r="J94" i="7"/>
  <c r="I94" i="7"/>
  <c r="H94" i="7"/>
  <c r="G94" i="7"/>
  <c r="F94" i="7"/>
  <c r="E94" i="7"/>
  <c r="D94" i="7"/>
  <c r="D55" i="7"/>
  <c r="D53" i="5"/>
  <c r="L432" i="7" l="1"/>
  <c r="D429" i="3"/>
  <c r="D388" i="3"/>
  <c r="D345" i="3"/>
  <c r="D304" i="3"/>
  <c r="D255" i="3"/>
  <c r="D218" i="3"/>
  <c r="D175" i="3"/>
  <c r="D132" i="3"/>
  <c r="D92" i="3"/>
  <c r="D53" i="3"/>
  <c r="D429" i="1" l="1"/>
  <c r="D388" i="1"/>
  <c r="D345" i="1"/>
  <c r="D304" i="1"/>
  <c r="D255" i="1"/>
  <c r="D218" i="1"/>
  <c r="D175" i="1"/>
  <c r="D132" i="1"/>
  <c r="D92" i="1"/>
  <c r="D53" i="1"/>
</calcChain>
</file>

<file path=xl/sharedStrings.xml><?xml version="1.0" encoding="utf-8"?>
<sst xmlns="http://schemas.openxmlformats.org/spreadsheetml/2006/main" count="5023" uniqueCount="1035">
  <si>
    <t>Rekap Hasil Sensus UPDKS</t>
  </si>
  <si>
    <t>PT</t>
  </si>
  <si>
    <t>:</t>
  </si>
  <si>
    <t>PSA</t>
  </si>
  <si>
    <t>&gt; 5,00</t>
  </si>
  <si>
    <t>Afdeling</t>
  </si>
  <si>
    <t>Block</t>
  </si>
  <si>
    <t>Jenis Tanah</t>
  </si>
  <si>
    <t>Ha</t>
  </si>
  <si>
    <t>Tahun Tanam</t>
  </si>
  <si>
    <t>Hasil Sensus Rata Ulat per pelepah</t>
  </si>
  <si>
    <t>Periode Sensus 2026</t>
  </si>
  <si>
    <t>TW 4</t>
  </si>
  <si>
    <t>Jan</t>
  </si>
  <si>
    <t>Feb</t>
  </si>
  <si>
    <t>Mar</t>
  </si>
  <si>
    <t>Apr</t>
  </si>
  <si>
    <t>Mei</t>
  </si>
  <si>
    <t>Jun</t>
  </si>
  <si>
    <t>Jul</t>
  </si>
  <si>
    <t>Agus</t>
  </si>
  <si>
    <t>Sept</t>
  </si>
  <si>
    <t>Okt</t>
  </si>
  <si>
    <t>Nov</t>
  </si>
  <si>
    <t>Des</t>
  </si>
  <si>
    <t>B42</t>
  </si>
  <si>
    <t>MINERAL</t>
  </si>
  <si>
    <t>C42</t>
  </si>
  <si>
    <t>D42</t>
  </si>
  <si>
    <t>F0043</t>
  </si>
  <si>
    <t>F0044</t>
  </si>
  <si>
    <t>F0045</t>
  </si>
  <si>
    <t>F0046</t>
  </si>
  <si>
    <t>G0043</t>
  </si>
  <si>
    <t>G0044</t>
  </si>
  <si>
    <t>G0045</t>
  </si>
  <si>
    <t>G0046</t>
  </si>
  <si>
    <t>C0044</t>
  </si>
  <si>
    <t>D0043</t>
  </si>
  <si>
    <t>D0044</t>
  </si>
  <si>
    <t>D0045</t>
  </si>
  <si>
    <t>D0046</t>
  </si>
  <si>
    <t>D0047</t>
  </si>
  <si>
    <t>D0048</t>
  </si>
  <si>
    <t>E0043</t>
  </si>
  <si>
    <t>E0044</t>
  </si>
  <si>
    <t>E0045</t>
  </si>
  <si>
    <t>E0046</t>
  </si>
  <si>
    <t>A0047</t>
  </si>
  <si>
    <t>E0042</t>
  </si>
  <si>
    <t>E0047</t>
  </si>
  <si>
    <t>E0048</t>
  </si>
  <si>
    <t>F0042</t>
  </si>
  <si>
    <t>F0047</t>
  </si>
  <si>
    <t>F0048</t>
  </si>
  <si>
    <t>F0049</t>
  </si>
  <si>
    <t>F0050</t>
  </si>
  <si>
    <t>G0042</t>
  </si>
  <si>
    <t>G0047</t>
  </si>
  <si>
    <t>G0048</t>
  </si>
  <si>
    <t>G0049</t>
  </si>
  <si>
    <t>G0050</t>
  </si>
  <si>
    <t>A0046</t>
  </si>
  <si>
    <t>B0043</t>
  </si>
  <si>
    <t>B0044</t>
  </si>
  <si>
    <t>B0045</t>
  </si>
  <si>
    <t>B0046</t>
  </si>
  <si>
    <t>B0047</t>
  </si>
  <si>
    <t>C0043</t>
  </si>
  <si>
    <t>C0045</t>
  </si>
  <si>
    <t>C0046</t>
  </si>
  <si>
    <t>Jumlah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</si>
  <si>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</si>
  <si>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</si>
  <si>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</si>
  <si>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</si>
  <si>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</si>
  <si>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</si>
  <si>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</si>
  <si>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</si>
  <si>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</si>
  <si>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</si>
  <si>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</si>
  <si>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</si>
  <si>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</si>
  <si>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</si>
  <si>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</si>
  <si>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</si>
  <si>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</si>
  <si>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</si>
  <si>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</si>
  <si>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</si>
  <si>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</si>
  <si>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</si>
  <si>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</si>
  <si>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</si>
  <si>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</si>
  <si>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</si>
  <si>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</si>
  <si>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</si>
  <si>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</si>
  <si>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</si>
  <si>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</si>
  <si>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</si>
  <si>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</si>
  <si>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</si>
  <si>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</si>
  <si>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</si>
  <si>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</si>
  <si>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</si>
  <si>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</si>
  <si>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</si>
  <si>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</si>
  <si>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</si>
  <si>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</si>
  <si>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</si>
  <si>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</si>
  <si>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</si>
  <si>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</si>
  <si>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</si>
  <si>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</si>
  <si>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</si>
  <si>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</si>
  <si>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</si>
  <si>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</si>
  <si>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</si>
  <si>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</si>
  <si>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</si>
  <si>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</si>
  <si>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</si>
  <si>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</si>
  <si>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</si>
  <si>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</si>
  <si>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</si>
  <si>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</si>
  <si>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</si>
  <si>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</si>
  <si>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</si>
  <si>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</si>
  <si>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</si>
  <si>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</si>
  <si>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</si>
  <si>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</si>
  <si>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</si>
  <si>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</si>
  <si>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</si>
  <si>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</si>
  <si>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</si>
  <si>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</si>
  <si>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C27</t>
  </si>
  <si>
    <t>C28</t>
  </si>
  <si>
    <t>D25</t>
  </si>
  <si>
    <t>D26</t>
  </si>
  <si>
    <t>D27</t>
  </si>
  <si>
    <t>D28</t>
  </si>
  <si>
    <t>E23</t>
  </si>
  <si>
    <t>E24</t>
  </si>
  <si>
    <t>E25</t>
  </si>
  <si>
    <t>E26</t>
  </si>
  <si>
    <t>E27</t>
  </si>
  <si>
    <t>E28</t>
  </si>
  <si>
    <t>F21</t>
  </si>
  <si>
    <t>F22</t>
  </si>
  <si>
    <t>F23</t>
  </si>
  <si>
    <t>F24</t>
  </si>
  <si>
    <t>F25</t>
  </si>
  <si>
    <t>F26</t>
  </si>
  <si>
    <t>F27</t>
  </si>
  <si>
    <t>F28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</si>
  <si>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</si>
  <si>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</si>
  <si>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</si>
  <si>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</si>
  <si>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</si>
  <si>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</si>
  <si>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</si>
  <si>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</si>
  <si>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</si>
  <si>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</si>
  <si>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</si>
  <si>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</si>
  <si>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</si>
  <si>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</si>
  <si>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</si>
  <si>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</si>
  <si>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</si>
  <si>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</si>
  <si>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</si>
  <si>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</si>
  <si>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</si>
  <si>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</si>
  <si>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</si>
  <si>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</si>
  <si>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</si>
  <si>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</si>
  <si>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</si>
  <si>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</si>
  <si>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</si>
  <si>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</si>
  <si>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</si>
  <si>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J19</t>
  </si>
  <si>
    <t>J20</t>
  </si>
  <si>
    <t>J21</t>
  </si>
  <si>
    <t>J22</t>
  </si>
  <si>
    <t>J23</t>
  </si>
  <si>
    <t>J24</t>
  </si>
  <si>
    <t>J25</t>
  </si>
  <si>
    <t>J26</t>
  </si>
  <si>
    <t>K19</t>
  </si>
  <si>
    <t>K20</t>
  </si>
  <si>
    <t>K21</t>
  </si>
  <si>
    <t>K22</t>
  </si>
  <si>
    <t>K23</t>
  </si>
  <si>
    <t>K24</t>
  </si>
  <si>
    <t>K25</t>
  </si>
  <si>
    <t>L19</t>
  </si>
  <si>
    <t>L20</t>
  </si>
  <si>
    <t>L21</t>
  </si>
  <si>
    <t>L22</t>
  </si>
  <si>
    <t>L23</t>
  </si>
  <si>
    <t>L24</t>
  </si>
  <si>
    <t>L25</t>
  </si>
  <si>
    <t>M19</t>
  </si>
  <si>
    <t>M20</t>
  </si>
  <si>
    <t>M21</t>
  </si>
  <si>
    <t>M23</t>
  </si>
  <si>
    <t>M24</t>
  </si>
  <si>
    <t>N19</t>
  </si>
  <si>
    <t>N20</t>
  </si>
  <si>
    <t>N21</t>
  </si>
  <si>
    <t>N22</t>
  </si>
  <si>
    <t>N23</t>
  </si>
  <si>
    <t>N24</t>
  </si>
  <si>
    <t>K18</t>
  </si>
  <si>
    <t>L17</t>
  </si>
  <si>
    <t>L18</t>
  </si>
  <si>
    <t>M17</t>
  </si>
  <si>
    <t>M18</t>
  </si>
  <si>
    <t>I18</t>
  </si>
  <si>
    <t>J16</t>
  </si>
  <si>
    <t>J17</t>
  </si>
  <si>
    <t>J18</t>
  </si>
  <si>
    <t>K14</t>
  </si>
  <si>
    <t>K15</t>
  </si>
  <si>
    <t>K16</t>
  </si>
  <si>
    <t>K17</t>
  </si>
  <si>
    <t>L12</t>
  </si>
  <si>
    <t>L13</t>
  </si>
  <si>
    <t>L14</t>
  </si>
  <si>
    <t>L15</t>
  </si>
  <si>
    <t>L16</t>
  </si>
  <si>
    <t>M10</t>
  </si>
  <si>
    <t>M11</t>
  </si>
  <si>
    <t>M12</t>
  </si>
  <si>
    <t>M13</t>
  </si>
  <si>
    <t>M14</t>
  </si>
  <si>
    <t>M15</t>
  </si>
  <si>
    <t>M16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</si>
  <si>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</si>
  <si>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</si>
  <si>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</si>
  <si>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</si>
  <si>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</si>
  <si>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</si>
  <si>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</si>
  <si>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</si>
  <si>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</si>
  <si>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N8</t>
  </si>
  <si>
    <t>N9</t>
  </si>
  <si>
    <t>O13</t>
  </si>
  <si>
    <t>O14</t>
  </si>
  <si>
    <t>O15</t>
  </si>
  <si>
    <t>O17</t>
  </si>
  <si>
    <t>O18</t>
  </si>
  <si>
    <t>O19</t>
  </si>
  <si>
    <t>O20</t>
  </si>
  <si>
    <t>O21</t>
  </si>
  <si>
    <t>O22</t>
  </si>
  <si>
    <t>O23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</si>
  <si>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</si>
  <si>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</si>
  <si>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</si>
  <si>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</si>
  <si>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</si>
  <si>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</si>
  <si>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</si>
  <si>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</si>
  <si>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</si>
  <si>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</si>
  <si>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</si>
  <si>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Q13</t>
  </si>
  <si>
    <t>Q14</t>
  </si>
  <si>
    <t>Q15</t>
  </si>
  <si>
    <t>Q16</t>
  </si>
  <si>
    <t>Q17</t>
  </si>
  <si>
    <t>Q18</t>
  </si>
  <si>
    <t>Q22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</si>
  <si>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</si>
  <si>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</si>
  <si>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</si>
  <si>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</si>
  <si>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</si>
  <si>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</si>
  <si>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</si>
  <si>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</si>
  <si>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</si>
  <si>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</si>
  <si>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S18</t>
  </si>
  <si>
    <t>S19</t>
  </si>
  <si>
    <t>S20</t>
  </si>
  <si>
    <t>Q20</t>
  </si>
  <si>
    <t>P24</t>
  </si>
  <si>
    <t>O16</t>
  </si>
  <si>
    <t>Q19</t>
  </si>
  <si>
    <t>Q21</t>
  </si>
  <si>
    <t>Q23</t>
  </si>
  <si>
    <t>Q24</t>
  </si>
  <si>
    <t>O10</t>
  </si>
  <si>
    <t>O11</t>
  </si>
  <si>
    <t>O12</t>
  </si>
  <si>
    <t>O4</t>
  </si>
  <si>
    <t>O5</t>
  </si>
  <si>
    <t>O6</t>
  </si>
  <si>
    <t>O7</t>
  </si>
  <si>
    <t>O8</t>
  </si>
  <si>
    <t>O9</t>
  </si>
  <si>
    <t>P10</t>
  </si>
  <si>
    <t>P11</t>
  </si>
  <si>
    <t>P12</t>
  </si>
  <si>
    <t>P4</t>
  </si>
  <si>
    <t>P5</t>
  </si>
  <si>
    <t>P6</t>
  </si>
  <si>
    <t>P7</t>
  </si>
  <si>
    <t>P8</t>
  </si>
  <si>
    <t>P9</t>
  </si>
  <si>
    <t>Q10</t>
  </si>
  <si>
    <t>Q11</t>
  </si>
  <si>
    <t>Q12</t>
  </si>
  <si>
    <t>Q2</t>
  </si>
  <si>
    <t>Q3</t>
  </si>
  <si>
    <t>Q4</t>
  </si>
  <si>
    <t>Q5</t>
  </si>
  <si>
    <t>Q6</t>
  </si>
  <si>
    <t>Q7</t>
  </si>
  <si>
    <t>Q8</t>
  </si>
  <si>
    <t>Q9</t>
  </si>
  <si>
    <t>R10</t>
  </si>
  <si>
    <t>R11</t>
  </si>
  <si>
    <t>R12</t>
  </si>
  <si>
    <t>R2</t>
  </si>
  <si>
    <t>R3</t>
  </si>
  <si>
    <t>R4</t>
  </si>
  <si>
    <t>R5</t>
  </si>
  <si>
    <t>R6</t>
  </si>
  <si>
    <t>R7</t>
  </si>
  <si>
    <t>R8</t>
  </si>
  <si>
    <t>R9</t>
  </si>
  <si>
    <t>S10</t>
  </si>
  <si>
    <t>S11</t>
  </si>
  <si>
    <t>S12</t>
  </si>
  <si>
    <t>S13</t>
  </si>
  <si>
    <t>S14</t>
  </si>
  <si>
    <t>S15</t>
  </si>
  <si>
    <t>S16</t>
  </si>
  <si>
    <t>S17</t>
  </si>
  <si>
    <t>S8</t>
  </si>
  <si>
    <t>S9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</si>
  <si>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</si>
  <si>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</si>
  <si>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</si>
  <si>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</si>
  <si>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</si>
  <si>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</si>
  <si>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</si>
  <si>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</si>
  <si>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</si>
  <si>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T8</t>
  </si>
  <si>
    <t>T9</t>
  </si>
  <si>
    <t>U10</t>
  </si>
  <si>
    <t>U11</t>
  </si>
  <si>
    <t>U12</t>
  </si>
  <si>
    <t>U13</t>
  </si>
  <si>
    <t>U14</t>
  </si>
  <si>
    <t>U15</t>
  </si>
  <si>
    <t>U8</t>
  </si>
  <si>
    <t>U9</t>
  </si>
  <si>
    <t>V10</t>
  </si>
  <si>
    <t>V11</t>
  </si>
  <si>
    <t>V12</t>
  </si>
  <si>
    <t>V13</t>
  </si>
  <si>
    <t>V14</t>
  </si>
  <si>
    <t>V8</t>
  </si>
  <si>
    <t>V9</t>
  </si>
  <si>
    <t>W10</t>
  </si>
  <si>
    <t>W11</t>
  </si>
  <si>
    <t>W12</t>
  </si>
  <si>
    <t>W13</t>
  </si>
  <si>
    <t>W8</t>
  </si>
  <si>
    <t>W9</t>
  </si>
  <si>
    <t>S2</t>
  </si>
  <si>
    <t>S3</t>
  </si>
  <si>
    <t>S4</t>
  </si>
  <si>
    <t>S5</t>
  </si>
  <si>
    <t>S6</t>
  </si>
  <si>
    <t>S7</t>
  </si>
  <si>
    <t>T2</t>
  </si>
  <si>
    <t>T3</t>
  </si>
  <si>
    <t>T4</t>
  </si>
  <si>
    <t>T5</t>
  </si>
  <si>
    <t>T6</t>
  </si>
  <si>
    <t>T7</t>
  </si>
  <si>
    <t>U1</t>
  </si>
  <si>
    <t>U2</t>
  </si>
  <si>
    <t>U3</t>
  </si>
  <si>
    <t>U4</t>
  </si>
  <si>
    <t>U5</t>
  </si>
  <si>
    <t>U6</t>
  </si>
  <si>
    <t>U7</t>
  </si>
  <si>
    <t>V1</t>
  </si>
  <si>
    <t>V2</t>
  </si>
  <si>
    <t>V3</t>
  </si>
  <si>
    <t>V4</t>
  </si>
  <si>
    <t>V5</t>
  </si>
  <si>
    <t>V6</t>
  </si>
  <si>
    <t>V7</t>
  </si>
  <si>
    <t>W1</t>
  </si>
  <si>
    <t>W2</t>
  </si>
  <si>
    <t>W3</t>
  </si>
  <si>
    <t>W4</t>
  </si>
  <si>
    <t>W5</t>
  </si>
  <si>
    <t>W6</t>
  </si>
  <si>
    <t>W7</t>
  </si>
  <si>
    <t>X1</t>
  </si>
  <si>
    <t>X2</t>
  </si>
  <si>
    <t>X3</t>
  </si>
  <si>
    <t>X4</t>
  </si>
  <si>
    <t>X5</t>
  </si>
  <si>
    <t>X6</t>
  </si>
  <si>
    <t>X7</t>
  </si>
  <si>
    <t>Tingkat Serangan</t>
  </si>
  <si>
    <t>Rata Ulat/ pelepah</t>
  </si>
  <si>
    <t>0,01 - 2,00</t>
  </si>
  <si>
    <t>2,01 - 4,99</t>
  </si>
  <si>
    <t>Rekap Hasil Sensus Tikus</t>
  </si>
  <si>
    <t>Hasil Sensus Rata % Serangan Baru Hama Tikus</t>
  </si>
  <si>
    <t>Rata % Serangan baru</t>
  </si>
  <si>
    <t>Rekap Hasil Sensus Kumbang Tanduk</t>
  </si>
  <si>
    <t>`</t>
  </si>
  <si>
    <t>0,00 - 1,00</t>
  </si>
  <si>
    <t>&gt; 1 %</t>
  </si>
  <si>
    <t>Areal</t>
  </si>
  <si>
    <t>: TBM</t>
  </si>
  <si>
    <t>Hasil Sensus Pokok Terserang Kumbang Tanduk</t>
  </si>
  <si>
    <t>Hasil Sensus Rata Rata Serangan Kumbang Tanduk</t>
  </si>
  <si>
    <t>Metoda pengendalian</t>
  </si>
  <si>
    <t>Rotasi Pengendalian</t>
  </si>
  <si>
    <t>Rekap Hasil Sensus KBH</t>
  </si>
  <si>
    <t>Hasil Sensus KBH</t>
  </si>
  <si>
    <t>TW 4 2025</t>
  </si>
  <si>
    <t>TIDAK AKTIF</t>
  </si>
  <si>
    <t>AKTIF</t>
  </si>
  <si>
    <t>KET</t>
  </si>
  <si>
    <t>APR</t>
  </si>
  <si>
    <t>Ket</t>
  </si>
  <si>
    <t>DEWASA</t>
  </si>
  <si>
    <t>ANAK</t>
  </si>
  <si>
    <t>TELUR</t>
  </si>
  <si>
    <t>MUNTAHAN/ KOTORAN</t>
  </si>
  <si>
    <t>Rusak</t>
  </si>
  <si>
    <t xml:space="preserve"> R4</t>
  </si>
  <si>
    <t xml:space="preserve"> R5</t>
  </si>
  <si>
    <t xml:space="preserve"> R6</t>
  </si>
  <si>
    <t xml:space="preserve"> R7</t>
  </si>
  <si>
    <t xml:space="preserve"> R8</t>
  </si>
  <si>
    <t xml:space="preserve"> R9</t>
  </si>
  <si>
    <t xml:space="preserve"> R10</t>
  </si>
  <si>
    <t xml:space="preserve"> R11</t>
  </si>
  <si>
    <t xml:space="preserve"> R12</t>
  </si>
  <si>
    <t xml:space="preserve"> P9</t>
  </si>
  <si>
    <t xml:space="preserve"> P12</t>
  </si>
  <si>
    <t xml:space="preserve"> P6</t>
  </si>
  <si>
    <t xml:space="preserve"> P7</t>
  </si>
  <si>
    <t xml:space="preserve"> P8</t>
  </si>
  <si>
    <t xml:space="preserve"> Q5</t>
  </si>
  <si>
    <t xml:space="preserve"> Q6</t>
  </si>
  <si>
    <t xml:space="preserve"> Q7</t>
  </si>
  <si>
    <t xml:space="preserve"> Q8</t>
  </si>
  <si>
    <t xml:space="preserve"> O6</t>
  </si>
  <si>
    <t xml:space="preserve"> O7</t>
  </si>
  <si>
    <t xml:space="preserve"> O8</t>
  </si>
  <si>
    <t xml:space="preserve"> Q4</t>
  </si>
  <si>
    <t xml:space="preserve"> O9</t>
  </si>
  <si>
    <t xml:space="preserve"> P10</t>
  </si>
  <si>
    <t xml:space="preserve"> P4</t>
  </si>
  <si>
    <t xml:space="preserve"> P5</t>
  </si>
  <si>
    <t xml:space="preserve"> R3</t>
  </si>
  <si>
    <t xml:space="preserve"> Q10</t>
  </si>
  <si>
    <t xml:space="preserve"> Q11</t>
  </si>
  <si>
    <t xml:space="preserve"> O4</t>
  </si>
  <si>
    <t xml:space="preserve"> O5</t>
  </si>
  <si>
    <t xml:space="preserve"> Q2</t>
  </si>
  <si>
    <t xml:space="preserve"> Q3</t>
  </si>
  <si>
    <t xml:space="preserve"> R2</t>
  </si>
  <si>
    <t xml:space="preserve"> S8</t>
  </si>
  <si>
    <t xml:space="preserve"> S9</t>
  </si>
  <si>
    <t xml:space="preserve"> S10</t>
  </si>
  <si>
    <t xml:space="preserve"> S11</t>
  </si>
  <si>
    <t xml:space="preserve"> S12</t>
  </si>
  <si>
    <t xml:space="preserve"> S13</t>
  </si>
  <si>
    <t xml:space="preserve"> S14</t>
  </si>
  <si>
    <t xml:space="preserve"> S15</t>
  </si>
  <si>
    <t xml:space="preserve"> S16</t>
  </si>
  <si>
    <t xml:space="preserve"> S17</t>
  </si>
  <si>
    <t xml:space="preserve"> T8</t>
  </si>
  <si>
    <t xml:space="preserve"> T9</t>
  </si>
  <si>
    <t xml:space="preserve"> T10</t>
  </si>
  <si>
    <t xml:space="preserve"> T11</t>
  </si>
  <si>
    <t xml:space="preserve"> T12</t>
  </si>
  <si>
    <t xml:space="preserve"> T13</t>
  </si>
  <si>
    <t xml:space="preserve"> T14</t>
  </si>
  <si>
    <t xml:space="preserve"> T15</t>
  </si>
  <si>
    <t xml:space="preserve"> T16</t>
  </si>
  <si>
    <t xml:space="preserve"> T17</t>
  </si>
  <si>
    <t xml:space="preserve"> T18</t>
  </si>
  <si>
    <t xml:space="preserve"> U5</t>
  </si>
  <si>
    <t xml:space="preserve"> V5</t>
  </si>
  <si>
    <t xml:space="preserve"> S5</t>
  </si>
  <si>
    <t xml:space="preserve"> S6</t>
  </si>
  <si>
    <t xml:space="preserve"> S7</t>
  </si>
  <si>
    <t xml:space="preserve"> T6</t>
  </si>
  <si>
    <t xml:space="preserve"> T7</t>
  </si>
  <si>
    <t xml:space="preserve"> S3</t>
  </si>
  <si>
    <t xml:space="preserve"> S4</t>
  </si>
  <si>
    <t xml:space="preserve"> T4</t>
  </si>
  <si>
    <t xml:space="preserve"> T5</t>
  </si>
  <si>
    <t xml:space="preserve"> U4</t>
  </si>
  <si>
    <t xml:space="preserve"> V6</t>
  </si>
  <si>
    <t xml:space="preserve"> T2</t>
  </si>
  <si>
    <t xml:space="preserve"> T3</t>
  </si>
  <si>
    <t xml:space="preserve"> U1</t>
  </si>
  <si>
    <t xml:space="preserve"> U2</t>
  </si>
  <si>
    <t xml:space="preserve"> U3</t>
  </si>
  <si>
    <t xml:space="preserve"> V1</t>
  </si>
  <si>
    <t xml:space="preserve"> V2</t>
  </si>
  <si>
    <t xml:space="preserve"> V3</t>
  </si>
  <si>
    <t xml:space="preserve"> V4</t>
  </si>
  <si>
    <t xml:space="preserve"> W1</t>
  </si>
  <si>
    <t xml:space="preserve"> W2</t>
  </si>
  <si>
    <t xml:space="preserve"> W3</t>
  </si>
  <si>
    <t xml:space="preserve"> W4</t>
  </si>
  <si>
    <t xml:space="preserve"> W5</t>
  </si>
  <si>
    <t xml:space="preserve"> W6</t>
  </si>
  <si>
    <t xml:space="preserve"> S2</t>
  </si>
  <si>
    <t xml:space="preserve"> X1</t>
  </si>
  <si>
    <t xml:space="preserve"> X2</t>
  </si>
  <si>
    <t xml:space="preserve"> X3</t>
  </si>
  <si>
    <t xml:space="preserve"> X4</t>
  </si>
  <si>
    <t xml:space="preserve"> X5</t>
  </si>
  <si>
    <t xml:space="preserve"> X6</t>
  </si>
  <si>
    <t xml:space="preserve">PT. PANCASURYA AGRINDO  </t>
  </si>
  <si>
    <t>KEBUN TAMBUSAI</t>
  </si>
  <si>
    <t>REALISASI TANAM BUNGA ANTIGONON DAN TURNERA</t>
  </si>
  <si>
    <t>AFD</t>
  </si>
  <si>
    <t>TAHUN TANAM</t>
  </si>
  <si>
    <t>BLOK</t>
  </si>
  <si>
    <t>LUAS (Ha)</t>
  </si>
  <si>
    <t>PKK</t>
  </si>
  <si>
    <t>JALAN</t>
  </si>
  <si>
    <t>Keterangan</t>
  </si>
  <si>
    <t>CR (Mtr) 1000</t>
  </si>
  <si>
    <t>MR (Mtr) 300</t>
  </si>
  <si>
    <t>POROS (Mtr)</t>
  </si>
  <si>
    <t>Panjang Jalan</t>
  </si>
  <si>
    <t>Aktual</t>
  </si>
  <si>
    <t xml:space="preserve"> %</t>
  </si>
  <si>
    <t>%</t>
  </si>
  <si>
    <t>I</t>
  </si>
  <si>
    <t>TOTAL</t>
  </si>
  <si>
    <t>II</t>
  </si>
  <si>
    <t>Total</t>
  </si>
  <si>
    <t>III</t>
  </si>
  <si>
    <t>IV</t>
  </si>
  <si>
    <t>V</t>
  </si>
  <si>
    <t>VI</t>
  </si>
  <si>
    <t>VII</t>
  </si>
  <si>
    <t>VIII</t>
  </si>
  <si>
    <t>IX</t>
  </si>
  <si>
    <t>X</t>
  </si>
  <si>
    <t>GRAND TOTAL</t>
  </si>
  <si>
    <t>AFD 1</t>
  </si>
  <si>
    <t>AFD 2</t>
  </si>
  <si>
    <t>AFD 3</t>
  </si>
  <si>
    <t>AFD 4</t>
  </si>
  <si>
    <t>AFD 5</t>
  </si>
  <si>
    <t>AFD 6</t>
  </si>
  <si>
    <t>AFD 7</t>
  </si>
  <si>
    <t>AFD 8</t>
  </si>
  <si>
    <t>AFD 9</t>
  </si>
  <si>
    <t>AFD 10</t>
  </si>
  <si>
    <t>GRAND TOTAL TM</t>
  </si>
  <si>
    <t>Rekap Penanaman Beneficial Plant</t>
  </si>
  <si>
    <t>0,01 - 1,99</t>
  </si>
  <si>
    <t>2,00 - 4,99</t>
  </si>
  <si>
    <t>MEI</t>
  </si>
  <si>
    <t>JUN</t>
  </si>
  <si>
    <t>-</t>
  </si>
  <si>
    <t>tumbang</t>
  </si>
  <si>
    <t>0.1-1.99</t>
  </si>
  <si>
    <t>2.00-4.99</t>
  </si>
  <si>
    <t>&gt;5</t>
  </si>
  <si>
    <t>0.1-2.00</t>
  </si>
  <si>
    <t>2.01-4.99</t>
  </si>
  <si>
    <t>TT</t>
  </si>
  <si>
    <t>Tanggal</t>
  </si>
  <si>
    <t>Mati</t>
  </si>
  <si>
    <t>Sedang</t>
  </si>
  <si>
    <t>Blok</t>
  </si>
  <si>
    <t>Luas</t>
  </si>
  <si>
    <t>Rotasi 1</t>
  </si>
  <si>
    <t>Rotasi 2</t>
  </si>
  <si>
    <t>Rotasi 3</t>
  </si>
  <si>
    <t>HK</t>
  </si>
  <si>
    <t>Tgl Sensus</t>
  </si>
  <si>
    <t>: PISP 1</t>
  </si>
  <si>
    <t>RENCANA GUPON</t>
  </si>
  <si>
    <t>Juni</t>
  </si>
  <si>
    <t>Juli</t>
  </si>
  <si>
    <t>Agustus</t>
  </si>
  <si>
    <t>September</t>
  </si>
  <si>
    <t>Oktober</t>
  </si>
  <si>
    <t>November</t>
  </si>
  <si>
    <t>Desember</t>
  </si>
  <si>
    <t>PISP 2</t>
  </si>
  <si>
    <t>Rencana Penanaman</t>
  </si>
  <si>
    <t>Realisasi Penanaman Beneficial Plant</t>
  </si>
  <si>
    <t>CR</t>
  </si>
  <si>
    <t>MR</t>
  </si>
  <si>
    <t>DI ISI CEL KUNING</t>
  </si>
  <si>
    <t>LAPORAN GANODERMA (ROTASI SENSUS 1 KALI DALAM 6 BULAN , KHUSUS DILAKSANAKAN PADA AREAL GAMBUT)</t>
  </si>
  <si>
    <t>AREAL</t>
  </si>
  <si>
    <t>LUAS</t>
  </si>
  <si>
    <t>SPH</t>
  </si>
  <si>
    <t>REKAP SENSUS</t>
  </si>
  <si>
    <t>TGL SENSUS</t>
  </si>
  <si>
    <t>POKOK NORMAL</t>
  </si>
  <si>
    <t>KRITERIA SERANGAN GANODERMA</t>
  </si>
  <si>
    <t>S1</t>
  </si>
  <si>
    <t>TM</t>
  </si>
  <si>
    <t>TBM3</t>
  </si>
  <si>
    <t>TBM2</t>
  </si>
  <si>
    <t>TB0</t>
  </si>
  <si>
    <t>NOTE :</t>
  </si>
  <si>
    <t>KETERANGAN :</t>
  </si>
  <si>
    <t xml:space="preserve">S1 </t>
  </si>
  <si>
    <t>POKOK HIDUP DAUN TOMBAK LEBIH DARI 3 TIDAK MEMBUKA</t>
  </si>
  <si>
    <t>POKOK HIDUP DAUN TOMBAK LEBIH DARI 3 TIDAK MEMBUKA DAN PELEPAH SENGKLEH SATU SPIRAL</t>
  </si>
  <si>
    <t>POKOK HIDUP TERDAPAT TUBUH BUAH GANODERMA ATAU TERDAPAT KERUSAKAN PADA BATANG (BERONGGA/ PEMBUSUKAN/ KEROPOS)</t>
  </si>
  <si>
    <t>POKOK MATI/ POKOK TUMBANG</t>
  </si>
  <si>
    <t>LAPORAN RAYAP (ROTASI SENSUS 1 KALI DALAM 2 BULAN, KHUSUS DILAKSANAKAN PADA AREAL GAMBUT)</t>
  </si>
  <si>
    <t>SENSUS</t>
  </si>
  <si>
    <t>SERANGAN BARU</t>
  </si>
  <si>
    <t>SERANGAN RAYAP KEMBALI</t>
  </si>
  <si>
    <t>POKOK MATI</t>
  </si>
  <si>
    <t>TGL SEMPROT</t>
  </si>
  <si>
    <t>TOTAL POKOK DISEMPROT</t>
  </si>
  <si>
    <t>PKK/HA (TERSERANG)</t>
  </si>
  <si>
    <t>REKAP SENSUS ORYCTES RHINOCEROS
(KUMBANG TANDUK)</t>
  </si>
  <si>
    <t>Nomor Dokumen</t>
  </si>
  <si>
    <t>FR-SOP-26-02</t>
  </si>
  <si>
    <t>Edisi/Revisi</t>
  </si>
  <si>
    <t>00/01</t>
  </si>
  <si>
    <t>Tanggal dikeluarkan</t>
  </si>
  <si>
    <t>5 Februari 2026</t>
  </si>
  <si>
    <t>Halaman</t>
  </si>
  <si>
    <t>Hal 7 /7</t>
  </si>
  <si>
    <t>Kebun</t>
  </si>
  <si>
    <t>BULAN JULI 2026</t>
  </si>
  <si>
    <t>BULAN AGUSTUS 2026</t>
  </si>
  <si>
    <t>No</t>
  </si>
  <si>
    <t>Afd</t>
  </si>
  <si>
    <t>Jumlah Sampel</t>
  </si>
  <si>
    <t>Serangan Baru</t>
  </si>
  <si>
    <t>Stagnan</t>
  </si>
  <si>
    <t>Recovery</t>
  </si>
  <si>
    <t>%)</t>
  </si>
  <si>
    <t>Kondisi Kumbang Tanduk (Serangan Baru)</t>
  </si>
  <si>
    <t>0-0.9%</t>
  </si>
  <si>
    <r>
      <rPr>
        <b/>
        <sz val="11"/>
        <color theme="1"/>
        <rFont val="Calibri"/>
        <family val="2"/>
      </rPr>
      <t>≥1</t>
    </r>
    <r>
      <rPr>
        <b/>
        <sz val="11"/>
        <color theme="1"/>
        <rFont val="Calibri"/>
        <family val="2"/>
        <scheme val="minor"/>
      </rPr>
      <t>%</t>
    </r>
  </si>
  <si>
    <t>Jmlh Blok</t>
  </si>
  <si>
    <t>: PSA</t>
  </si>
  <si>
    <t>PT. .........</t>
  </si>
  <si>
    <t>Kebun ..........</t>
  </si>
  <si>
    <t>Monitoring Pengendalian Hama UPDKS</t>
  </si>
  <si>
    <t>Thn Tanam</t>
  </si>
  <si>
    <t>Jmlh Pkk</t>
  </si>
  <si>
    <t>Sensus Awal</t>
  </si>
  <si>
    <t>Kebutuhan Bahan</t>
  </si>
  <si>
    <t>Sensus Mortalitas</t>
  </si>
  <si>
    <t>Mortalitas %</t>
  </si>
  <si>
    <t>Fogging</t>
  </si>
  <si>
    <t>Drone Sprayer (Volume semprot  48 L/HA)</t>
  </si>
  <si>
    <t>Kep Sprayer / Suncin (Volume 435 L/Ha)</t>
  </si>
  <si>
    <t xml:space="preserve">Jenis Ulat </t>
  </si>
  <si>
    <t>Pelepah semple</t>
  </si>
  <si>
    <t>Ukuran Ulat</t>
  </si>
  <si>
    <t>Ulat/Pelepah</t>
  </si>
  <si>
    <t>Decis/ Kencis</t>
  </si>
  <si>
    <t>Solar</t>
  </si>
  <si>
    <t>Agristik</t>
  </si>
  <si>
    <t>Agristick</t>
  </si>
  <si>
    <t>Tgl Mortalitas</t>
  </si>
  <si>
    <t>Pelepah sample</t>
  </si>
  <si>
    <t>Jumlah Ulat Hidup</t>
  </si>
  <si>
    <r>
      <rPr>
        <b/>
        <sz val="11"/>
        <color theme="0"/>
        <rFont val="Aptos Narrow"/>
        <family val="2"/>
      </rPr>
      <t>Σ</t>
    </r>
    <r>
      <rPr>
        <b/>
        <sz val="11"/>
        <color theme="0"/>
        <rFont val="Arial"/>
        <family val="2"/>
      </rPr>
      <t xml:space="preserve"> Ulat kantong Mati</t>
    </r>
  </si>
  <si>
    <t>Kecil</t>
  </si>
  <si>
    <t>Besar</t>
  </si>
  <si>
    <t>1997</t>
  </si>
  <si>
    <t>23-Juli-26</t>
  </si>
  <si>
    <t>Setora nitens</t>
  </si>
  <si>
    <t>30-Juli-26</t>
  </si>
  <si>
    <t>23/08/2025</t>
  </si>
  <si>
    <t>RYN B</t>
  </si>
  <si>
    <t>REKAP APLIKASI RACUN TIKUS</t>
  </si>
  <si>
    <t xml:space="preserve">Kebun : </t>
  </si>
  <si>
    <t>GSI</t>
  </si>
  <si>
    <t>Rotasi 4</t>
  </si>
  <si>
    <t>Rotasi 5</t>
  </si>
  <si>
    <t>Sensus Sesudah Kampanye</t>
  </si>
  <si>
    <t>% Serangan Baru</t>
  </si>
  <si>
    <t>Jmlh racun (kg)</t>
  </si>
  <si>
    <t>% Umpan Hilang</t>
  </si>
  <si>
    <t>Jmlh pkk</t>
  </si>
  <si>
    <t>Jumlah KBH tidak Aktif</t>
  </si>
  <si>
    <t>Jumlah KBH Aktif</t>
  </si>
  <si>
    <t>JUMLAH TERPASANG</t>
  </si>
  <si>
    <t>Kotoran/ Muntahan/ Tulang</t>
  </si>
  <si>
    <t>Telur</t>
  </si>
  <si>
    <t>Anakan</t>
  </si>
  <si>
    <t>Dewasa</t>
  </si>
  <si>
    <t>Aktif</t>
  </si>
  <si>
    <t>% KBH Aktif</t>
  </si>
  <si>
    <t>Status KBH</t>
  </si>
  <si>
    <t xml:space="preserve">Rasio KBH </t>
  </si>
  <si>
    <t>Jumlah KBH Terpasang</t>
  </si>
  <si>
    <t>Ha KBH terpasang</t>
  </si>
  <si>
    <t>POKOK BARIER DISEMPROT</t>
  </si>
  <si>
    <t>C001</t>
  </si>
  <si>
    <t>C002</t>
  </si>
  <si>
    <t>C003</t>
  </si>
  <si>
    <t>C004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</si>
  <si>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</si>
  <si>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</si>
  <si>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</si>
  <si>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</si>
  <si>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</si>
  <si>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</si>
  <si>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</si>
  <si>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</si>
  <si>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</si>
  <si>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</si>
  <si>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</si>
  <si>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</si>
  <si>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</si>
  <si>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</si>
  <si>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</si>
  <si>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</si>
  <si>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</si>
  <si>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</si>
  <si>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</si>
  <si>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</si>
  <si>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</si>
  <si>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</si>
  <si>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</si>
  <si>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</si>
  <si>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</si>
  <si>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</si>
  <si>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</si>
  <si>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</si>
  <si>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</si>
  <si>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</si>
  <si>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</si>
  <si>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</si>
  <si>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</si>
  <si>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</si>
  <si>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</si>
  <si>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</si>
  <si>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</si>
  <si>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F014</t>
  </si>
  <si>
    <t>F015</t>
  </si>
  <si>
    <t>F016</t>
  </si>
  <si>
    <t>F017</t>
  </si>
  <si>
    <t>F018</t>
  </si>
  <si>
    <t>I016</t>
  </si>
  <si>
    <t>I017</t>
  </si>
  <si>
    <t>I018</t>
  </si>
  <si>
    <t>D001B</t>
  </si>
  <si>
    <t>D002B</t>
  </si>
  <si>
    <t>D003B</t>
  </si>
  <si>
    <t>D021</t>
  </si>
  <si>
    <t>D022</t>
  </si>
  <si>
    <t>D023</t>
  </si>
  <si>
    <t>D024</t>
  </si>
  <si>
    <t>D025</t>
  </si>
  <si>
    <t>D026</t>
  </si>
  <si>
    <t>D027</t>
  </si>
  <si>
    <t>D028</t>
  </si>
  <si>
    <t>E021</t>
  </si>
  <si>
    <t>E022</t>
  </si>
  <si>
    <t>E023</t>
  </si>
  <si>
    <t>E024</t>
  </si>
  <si>
    <t>E025</t>
  </si>
  <si>
    <t>E026</t>
  </si>
  <si>
    <t>E027</t>
  </si>
  <si>
    <t>E028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</si>
  <si>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</si>
  <si>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</si>
  <si>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</si>
  <si>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</si>
  <si>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</si>
  <si>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</si>
  <si>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</si>
  <si>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</si>
  <si>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</si>
  <si>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G025</t>
  </si>
  <si>
    <t>G026</t>
  </si>
  <si>
    <t>G027</t>
  </si>
  <si>
    <t>I019</t>
  </si>
  <si>
    <t>I020</t>
  </si>
  <si>
    <t>I021</t>
  </si>
  <si>
    <t>I022</t>
  </si>
  <si>
    <t>I023</t>
  </si>
  <si>
    <t>I024</t>
  </si>
  <si>
    <t>I025</t>
  </si>
  <si>
    <t>I026</t>
  </si>
  <si>
    <t>I027</t>
  </si>
  <si>
    <t>I028</t>
  </si>
  <si>
    <t>D029</t>
  </si>
  <si>
    <t>D030</t>
  </si>
  <si>
    <t>E029</t>
  </si>
  <si>
    <t>E030</t>
  </si>
  <si>
    <t>F028</t>
  </si>
  <si>
    <t>F029</t>
  </si>
  <si>
    <t>G028</t>
  </si>
  <si>
    <t>G029</t>
  </si>
  <si>
    <t>I029</t>
  </si>
  <si>
    <t>I030</t>
  </si>
  <si>
    <t>F028B</t>
  </si>
  <si>
    <t>H36</t>
  </si>
  <si>
    <t>I31</t>
  </si>
  <si>
    <t>I32</t>
  </si>
  <si>
    <t>I33</t>
  </si>
  <si>
    <t>I34</t>
  </si>
  <si>
    <t>I35</t>
  </si>
  <si>
    <t>I36</t>
  </si>
  <si>
    <t>I37</t>
  </si>
  <si>
    <t>I38</t>
  </si>
  <si>
    <t>J33</t>
  </si>
  <si>
    <t>J34</t>
  </si>
  <si>
    <t>J35</t>
  </si>
  <si>
    <t>J36</t>
  </si>
  <si>
    <t>J37</t>
  </si>
  <si>
    <t>J38</t>
  </si>
  <si>
    <t>B35A</t>
  </si>
  <si>
    <t>B36A</t>
  </si>
  <si>
    <t>C33A</t>
  </si>
  <si>
    <t>D43</t>
  </si>
  <si>
    <t>E42</t>
  </si>
  <si>
    <t>E43</t>
  </si>
  <si>
    <t>A33</t>
  </si>
  <si>
    <t>A34</t>
  </si>
  <si>
    <t>A35</t>
  </si>
  <si>
    <t>A36</t>
  </si>
  <si>
    <t>A37</t>
  </si>
  <si>
    <t>C32A</t>
  </si>
  <si>
    <t>F47</t>
  </si>
  <si>
    <t>F49</t>
  </si>
  <si>
    <t>G48</t>
  </si>
  <si>
    <t>G49</t>
  </si>
  <si>
    <t>G50</t>
  </si>
  <si>
    <t>G51</t>
  </si>
  <si>
    <t>B43</t>
  </si>
  <si>
    <t>B44</t>
  </si>
  <si>
    <t>B45</t>
  </si>
  <si>
    <t>C43</t>
  </si>
  <si>
    <t>C44</t>
  </si>
  <si>
    <t>C45</t>
  </si>
  <si>
    <t>C46</t>
  </si>
  <si>
    <t>C47</t>
  </si>
  <si>
    <t>C48</t>
  </si>
  <si>
    <t>C49</t>
  </si>
  <si>
    <t>D45</t>
  </si>
  <si>
    <t>D46</t>
  </si>
  <si>
    <t>D47</t>
  </si>
  <si>
    <t>D48</t>
  </si>
  <si>
    <t>D49</t>
  </si>
  <si>
    <t>E46</t>
  </si>
  <si>
    <t>E47</t>
  </si>
  <si>
    <t>E48</t>
  </si>
  <si>
    <t>E49</t>
  </si>
  <si>
    <t>F46</t>
  </si>
  <si>
    <t>F48</t>
  </si>
  <si>
    <t>G46</t>
  </si>
  <si>
    <t>G47</t>
  </si>
  <si>
    <t>D44</t>
  </si>
  <si>
    <t>E44</t>
  </si>
  <si>
    <t>E45</t>
  </si>
  <si>
    <t>F45</t>
  </si>
  <si>
    <t>G44</t>
  </si>
  <si>
    <t>G45</t>
  </si>
  <si>
    <t>D50</t>
  </si>
  <si>
    <t>F50</t>
  </si>
  <si>
    <t>F51</t>
  </si>
  <si>
    <t>F52</t>
  </si>
  <si>
    <t>F53</t>
  </si>
  <si>
    <t>F54</t>
  </si>
  <si>
    <t>F55</t>
  </si>
  <si>
    <t>G52</t>
  </si>
  <si>
    <t>G53</t>
  </si>
  <si>
    <t>G54</t>
  </si>
  <si>
    <t>G55</t>
  </si>
  <si>
    <t>H37</t>
  </si>
  <si>
    <t>I39</t>
  </si>
  <si>
    <t>I40</t>
  </si>
  <si>
    <t>I41</t>
  </si>
  <si>
    <t>I42</t>
  </si>
  <si>
    <t>G43</t>
  </si>
  <si>
    <t>H41</t>
  </si>
  <si>
    <t>H42</t>
  </si>
  <si>
    <t>H43</t>
  </si>
  <si>
    <t>H44</t>
  </si>
  <si>
    <t>I43</t>
  </si>
  <si>
    <t>J43</t>
  </si>
  <si>
    <t>J44</t>
  </si>
  <si>
    <t>J45</t>
  </si>
  <si>
    <t>J46</t>
  </si>
  <si>
    <t>H45</t>
  </si>
  <si>
    <t>H46</t>
  </si>
  <si>
    <t>H47</t>
  </si>
  <si>
    <t>H48</t>
  </si>
  <si>
    <t>J39</t>
  </si>
  <si>
    <t>J40</t>
  </si>
  <si>
    <t>J41</t>
  </si>
  <si>
    <t>J42</t>
  </si>
  <si>
    <t>J47</t>
  </si>
  <si>
    <t>J48</t>
  </si>
  <si>
    <t>F42</t>
  </si>
  <si>
    <t>F43</t>
  </si>
  <si>
    <t>F44</t>
  </si>
  <si>
    <t>G42</t>
  </si>
  <si>
    <t>H38</t>
  </si>
  <si>
    <t>H39</t>
  </si>
  <si>
    <t>H40</t>
  </si>
  <si>
    <t>H49</t>
  </si>
  <si>
    <t>H50</t>
  </si>
  <si>
    <t>H51</t>
  </si>
  <si>
    <t>H52</t>
  </si>
  <si>
    <t>H53</t>
  </si>
  <si>
    <t>J54</t>
  </si>
  <si>
    <t>J55</t>
  </si>
  <si>
    <t>H54</t>
  </si>
  <si>
    <t>H55</t>
  </si>
  <si>
    <t>H56</t>
  </si>
  <si>
    <t>H57</t>
  </si>
  <si>
    <t>H58</t>
  </si>
  <si>
    <t>J49</t>
  </si>
  <si>
    <t>J50</t>
  </si>
  <si>
    <t>J51</t>
  </si>
  <si>
    <t>J52</t>
  </si>
  <si>
    <t>J53</t>
  </si>
  <si>
    <t>J56</t>
  </si>
  <si>
    <t>J57</t>
  </si>
  <si>
    <t>J58</t>
  </si>
  <si>
    <t>J59</t>
  </si>
  <si>
    <t>J60</t>
  </si>
  <si>
    <t>H59</t>
  </si>
  <si>
    <t>H60</t>
  </si>
  <si>
    <t>H61</t>
  </si>
  <si>
    <t>H62</t>
  </si>
  <si>
    <t>J61</t>
  </si>
  <si>
    <t>J62</t>
  </si>
  <si>
    <t>J63</t>
  </si>
  <si>
    <t>J64</t>
  </si>
  <si>
    <t>H63</t>
  </si>
  <si>
    <t>H64</t>
  </si>
  <si>
    <t>H65</t>
  </si>
  <si>
    <t>J65</t>
  </si>
  <si>
    <t>J66</t>
  </si>
  <si>
    <t>J67</t>
  </si>
  <si>
    <t>K48</t>
  </si>
  <si>
    <t>K49</t>
  </si>
  <si>
    <t>J68</t>
  </si>
  <si>
    <t>J69</t>
  </si>
  <si>
    <t>K50</t>
  </si>
  <si>
    <t>K51</t>
  </si>
  <si>
    <t>K52</t>
  </si>
  <si>
    <t>K53</t>
  </si>
  <si>
    <t>K54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</si>
  <si>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</si>
  <si>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</si>
  <si>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</si>
  <si>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</si>
  <si>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</si>
  <si>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</si>
  <si>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</si>
  <si>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</si>
  <si>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</si>
  <si>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</si>
  <si>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</si>
  <si>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</si>
  <si>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</si>
  <si>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</si>
  <si>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</si>
  <si>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K70</t>
  </si>
  <si>
    <t>K71</t>
  </si>
  <si>
    <t>L61</t>
  </si>
  <si>
    <t>L62</t>
  </si>
  <si>
    <t>L63</t>
  </si>
  <si>
    <t>L64</t>
  </si>
  <si>
    <t>L65</t>
  </si>
  <si>
    <t>L66</t>
  </si>
  <si>
    <t>L67</t>
  </si>
  <si>
    <t>L68</t>
  </si>
  <si>
    <t>J70</t>
  </si>
  <si>
    <t>L57</t>
  </si>
  <si>
    <t>L58</t>
  </si>
  <si>
    <t>L59</t>
  </si>
  <si>
    <t>L60</t>
  </si>
  <si>
    <t>M61</t>
  </si>
  <si>
    <t>M62</t>
  </si>
  <si>
    <t>M63</t>
  </si>
  <si>
    <t>M64</t>
  </si>
  <si>
    <t>M65</t>
  </si>
  <si>
    <t>M66</t>
  </si>
  <si>
    <t>M67</t>
  </si>
  <si>
    <t>Rekap Hasil Sensus Oryctes Kumbang Tanduk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</si>
</sst>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_-* #,##0_-;\-* #,##0_-;_-* &quot;-&quot;_-;_-@_-"/>
    <numFmt numFmtId="166" formatCode="_-* #,##0.00_-;\-* #,##0.00_-;_-* &quot;-&quot;??_-;_-@_-"/>
    <numFmt numFmtId="167" formatCode="0.0"/>
    <numFmt numFmtId="168" formatCode="_(* #,##0.00_);_(* \(#,##0.00\);_(* &quot;-&quot;_);_(@_)"/>
    <numFmt numFmtId="169" formatCode="_(* #,##0_);_(* \(#,##0\);_(* &quot;-&quot;??_);_(@_)"/>
    <numFmt numFmtId="170" formatCode="_(* #,##0.0_);_(* \(#,##0.0\);_(* &quot;-&quot;??_);_(@_)"/>
    <numFmt numFmtId="171" formatCode="_(* #,##0_);[Red]_(* \(#,##0\);_(* &quot;-&quot;??_);_(@_)"/>
    <numFmt numFmtId="172" formatCode="_-* #,##0.00_-;\-* #,##0.00_-;_-* &quot;-&quot;_-;_-@_-"/>
    <numFmt numFmtId="173" formatCode="_(* #,##0.00_);_(* \(#,##0.00\);_(* &quot;-&quot;??.00_);_(@_)"/>
    <numFmt numFmtId="174" formatCode="m/d/yy;@"/>
  </numFmts>
  <fonts count="5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indexed="8"/>
      <name val="Arial"/>
      <family val="2"/>
    </font>
    <font>
      <b/>
      <sz val="11"/>
      <color rgb="FF000000"/>
      <name val="Calibri"/>
      <family val="2"/>
    </font>
    <font>
      <sz val="10"/>
      <name val="Arial"/>
      <charset val="134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sz val="10"/>
      <color rgb="FF000000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8"/>
      <name val="Calibri"/>
      <family val="2"/>
    </font>
    <font>
      <sz val="11"/>
      <color rgb="FF000000"/>
      <name val="Aptos Narrow"/>
      <charset val="134"/>
    </font>
    <font>
      <b/>
      <sz val="14"/>
      <color rgb="FF000000"/>
      <name val="Arial"/>
      <family val="2"/>
    </font>
    <font>
      <b/>
      <sz val="18"/>
      <color rgb="FF000000"/>
      <name val="Arial"/>
      <family val="2"/>
    </font>
    <font>
      <sz val="8"/>
      <color rgb="FF000000"/>
      <name val="Arial"/>
      <family val="2"/>
    </font>
    <font>
      <sz val="11"/>
      <name val="Aptos Narrow"/>
      <charset val="134"/>
    </font>
    <font>
      <b/>
      <sz val="11"/>
      <color rgb="FF000000"/>
      <name val="Aptos Narrow"/>
      <charset val="134"/>
    </font>
    <font>
      <b/>
      <sz val="14"/>
      <color rgb="FF000000"/>
      <name val="Aptos Narrow"/>
      <charset val="134"/>
    </font>
    <font>
      <b/>
      <sz val="11"/>
      <color theme="1"/>
      <name val="Calibri"/>
      <family val="2"/>
    </font>
    <font>
      <sz val="11"/>
      <name val="Calibri"/>
      <charset val="134"/>
    </font>
    <font>
      <b/>
      <sz val="11"/>
      <name val="Arial"/>
      <charset val="134"/>
    </font>
    <font>
      <b/>
      <sz val="11"/>
      <name val="Calibri"/>
      <charset val="134"/>
    </font>
    <font>
      <b/>
      <sz val="11"/>
      <color rgb="FFFFFFFF"/>
      <name val="Arial"/>
      <charset val="134"/>
    </font>
    <font>
      <b/>
      <sz val="11"/>
      <color theme="0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Calibri"/>
      <charset val="134"/>
    </font>
    <font>
      <b/>
      <sz val="11"/>
      <color theme="0"/>
      <name val="Aptos Narrow"/>
      <family val="2"/>
    </font>
    <font>
      <b/>
      <sz val="12"/>
      <name val="Arial"/>
      <charset val="134"/>
    </font>
    <font>
      <b/>
      <i/>
      <sz val="11"/>
      <name val="Arial"/>
      <family val="2"/>
    </font>
    <font>
      <sz val="11"/>
      <color rgb="FF000000"/>
      <name val="Calibri"/>
      <charset val="134"/>
    </font>
    <font>
      <b/>
      <sz val="12"/>
      <color theme="1"/>
      <name val="Century Gothic"/>
      <family val="2"/>
    </font>
    <font>
      <b/>
      <sz val="11"/>
      <name val="Arial"/>
      <family val="2"/>
    </font>
    <font>
      <b/>
      <sz val="18"/>
      <color theme="1"/>
      <name val="Arial"/>
      <family val="2"/>
    </font>
    <font>
      <sz val="8"/>
      <color theme="1"/>
      <name val="Arial"/>
      <family val="2"/>
    </font>
    <font>
      <b/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b/>
      <sz val="12"/>
      <color theme="0"/>
      <name val="Arial"/>
      <charset val="134"/>
    </font>
    <font>
      <b/>
      <sz val="12"/>
      <color rgb="FF000000"/>
      <name val="Arial"/>
      <charset val="134"/>
    </font>
    <font>
      <b/>
      <sz val="12"/>
      <color theme="1"/>
      <name val="Calibri"/>
      <charset val="134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3E8D57"/>
        <bgColor rgb="FF006666"/>
      </patternFill>
    </fill>
    <fill>
      <patternFill patternType="solid">
        <fgColor rgb="FF3E8D57"/>
        <bgColor rgb="FF92D050"/>
      </patternFill>
    </fill>
    <fill>
      <patternFill patternType="solid">
        <fgColor rgb="FF3E8D57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</borders>
  <cellStyleXfs count="37">
    <xf numFmtId="0" fontId="0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7" fillId="0" borderId="0"/>
    <xf numFmtId="43" fontId="5" fillId="0" borderId="0" applyFont="0" applyFill="0" applyBorder="0" applyAlignment="0" applyProtection="0"/>
    <xf numFmtId="0" fontId="7" fillId="0" borderId="0"/>
    <xf numFmtId="0" fontId="9" fillId="0" borderId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12" fillId="0" borderId="0">
      <alignment vertical="center"/>
    </xf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14" fillId="0" borderId="0"/>
    <xf numFmtId="41" fontId="14" fillId="0" borderId="0" applyFont="0" applyFill="0" applyBorder="0" applyAlignment="0" applyProtection="0"/>
    <xf numFmtId="0" fontId="16" fillId="0" borderId="0"/>
    <xf numFmtId="0" fontId="4" fillId="0" borderId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3" fillId="0" borderId="0">
      <protection locked="0"/>
    </xf>
    <xf numFmtId="0" fontId="4" fillId="0" borderId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0" fontId="33" fillId="0" borderId="0">
      <alignment vertical="center"/>
    </xf>
    <xf numFmtId="41" fontId="43" fillId="0" borderId="0">
      <protection locked="0"/>
    </xf>
    <xf numFmtId="0" fontId="4" fillId="0" borderId="0"/>
    <xf numFmtId="166" fontId="4" fillId="0" borderId="0" applyFont="0" applyFill="0" applyBorder="0" applyAlignment="0" applyProtection="0"/>
    <xf numFmtId="0" fontId="50" fillId="0" borderId="0"/>
    <xf numFmtId="43" fontId="50" fillId="0" borderId="0" applyFont="0" applyFill="0" applyBorder="0" applyAlignment="0" applyProtection="0"/>
    <xf numFmtId="166" fontId="50" fillId="0" borderId="0" applyFont="0" applyFill="0" applyBorder="0" applyAlignment="0" applyProtection="0">
      <alignment vertical="center"/>
    </xf>
  </cellStyleXfs>
  <cellXfs count="46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4" borderId="0" xfId="0" applyFill="1"/>
    <xf numFmtId="0" fontId="0" fillId="0" borderId="0" xfId="0" quotePrefix="1"/>
    <xf numFmtId="0" fontId="1" fillId="5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/>
    <xf numFmtId="166" fontId="4" fillId="0" borderId="1" xfId="3" applyFont="1" applyBorder="1"/>
    <xf numFmtId="0" fontId="1" fillId="7" borderId="0" xfId="0" applyFont="1" applyFill="1" applyAlignment="1">
      <alignment horizontal="center" vertical="center"/>
    </xf>
    <xf numFmtId="0" fontId="0" fillId="7" borderId="1" xfId="0" quotePrefix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1" xfId="0" applyNumberFormat="1" applyBorder="1"/>
    <xf numFmtId="0" fontId="0" fillId="6" borderId="1" xfId="0" applyFill="1" applyBorder="1"/>
    <xf numFmtId="165" fontId="1" fillId="6" borderId="1" xfId="0" applyNumberFormat="1" applyFont="1" applyFill="1" applyBorder="1" applyAlignment="1">
      <alignment horizontal="center"/>
    </xf>
    <xf numFmtId="168" fontId="6" fillId="8" borderId="0" xfId="4" applyNumberFormat="1" applyFont="1" applyFill="1" applyBorder="1" applyAlignment="1">
      <alignment horizontal="left" vertical="center"/>
    </xf>
    <xf numFmtId="168" fontId="6" fillId="8" borderId="0" xfId="4" applyNumberFormat="1" applyFont="1" applyFill="1" applyBorder="1" applyAlignment="1">
      <alignment vertical="center"/>
    </xf>
    <xf numFmtId="0" fontId="6" fillId="0" borderId="0" xfId="5" applyFont="1"/>
    <xf numFmtId="43" fontId="8" fillId="9" borderId="19" xfId="7" applyFont="1" applyFill="1" applyBorder="1" applyAlignment="1" applyProtection="1">
      <alignment horizontal="center" vertical="center" wrapText="1"/>
      <protection locked="0"/>
    </xf>
    <xf numFmtId="0" fontId="6" fillId="0" borderId="1" xfId="8" applyFont="1" applyBorder="1" applyAlignment="1" applyProtection="1">
      <alignment horizontal="center"/>
      <protection locked="0"/>
    </xf>
    <xf numFmtId="0" fontId="6" fillId="0" borderId="1" xfId="5" applyFont="1" applyBorder="1" applyAlignment="1" applyProtection="1">
      <alignment horizontal="center" vertical="center"/>
      <protection locked="0"/>
    </xf>
    <xf numFmtId="0" fontId="6" fillId="0" borderId="1" xfId="9" applyFont="1" applyBorder="1" applyAlignment="1" applyProtection="1">
      <alignment horizontal="center" vertical="center"/>
      <protection locked="0"/>
    </xf>
    <xf numFmtId="2" fontId="6" fillId="0" borderId="1" xfId="5" applyNumberFormat="1" applyFont="1" applyBorder="1" applyAlignment="1" applyProtection="1">
      <alignment horizontal="center" vertical="center"/>
      <protection locked="0"/>
    </xf>
    <xf numFmtId="169" fontId="6" fillId="0" borderId="1" xfId="10" applyNumberFormat="1" applyFont="1" applyFill="1" applyBorder="1" applyProtection="1">
      <protection locked="0"/>
    </xf>
    <xf numFmtId="169" fontId="6" fillId="0" borderId="1" xfId="1" applyNumberFormat="1" applyFont="1" applyBorder="1" applyProtection="1">
      <protection locked="0"/>
    </xf>
    <xf numFmtId="43" fontId="6" fillId="0" borderId="1" xfId="7" applyFont="1" applyBorder="1" applyProtection="1">
      <protection locked="0"/>
    </xf>
    <xf numFmtId="43" fontId="6" fillId="0" borderId="1" xfId="1" applyFont="1" applyBorder="1" applyProtection="1">
      <protection locked="0"/>
    </xf>
    <xf numFmtId="0" fontId="6" fillId="0" borderId="1" xfId="5" applyFont="1" applyBorder="1"/>
    <xf numFmtId="0" fontId="6" fillId="10" borderId="1" xfId="8" applyFont="1" applyFill="1" applyBorder="1" applyProtection="1">
      <protection locked="0"/>
    </xf>
    <xf numFmtId="43" fontId="6" fillId="10" borderId="1" xfId="1" applyFont="1" applyFill="1" applyBorder="1" applyAlignment="1" applyProtection="1">
      <alignment horizontal="center" vertical="center"/>
      <protection locked="0"/>
    </xf>
    <xf numFmtId="169" fontId="6" fillId="10" borderId="1" xfId="1" applyNumberFormat="1" applyFont="1" applyFill="1" applyBorder="1" applyAlignment="1" applyProtection="1">
      <alignment horizontal="center" vertical="center"/>
      <protection locked="0"/>
    </xf>
    <xf numFmtId="0" fontId="6" fillId="10" borderId="1" xfId="5" applyFont="1" applyFill="1" applyBorder="1"/>
    <xf numFmtId="0" fontId="6" fillId="0" borderId="1" xfId="5" applyFont="1" applyBorder="1" applyAlignment="1" applyProtection="1">
      <alignment horizontal="center"/>
      <protection locked="0"/>
    </xf>
    <xf numFmtId="0" fontId="6" fillId="0" borderId="1" xfId="6" applyFont="1" applyBorder="1" applyAlignment="1" applyProtection="1">
      <alignment horizontal="center" vertical="center" wrapText="1"/>
      <protection locked="0"/>
    </xf>
    <xf numFmtId="0" fontId="6" fillId="10" borderId="1" xfId="5" applyFont="1" applyFill="1" applyBorder="1" applyProtection="1">
      <protection locked="0"/>
    </xf>
    <xf numFmtId="170" fontId="6" fillId="10" borderId="1" xfId="10" applyNumberFormat="1" applyFont="1" applyFill="1" applyBorder="1" applyAlignment="1" applyProtection="1">
      <alignment horizontal="center" vertical="center"/>
      <protection locked="0"/>
    </xf>
    <xf numFmtId="169" fontId="6" fillId="10" borderId="1" xfId="10" applyNumberFormat="1" applyFont="1" applyFill="1" applyBorder="1" applyAlignment="1" applyProtection="1">
      <alignment horizontal="center" vertical="center"/>
      <protection locked="0"/>
    </xf>
    <xf numFmtId="43" fontId="6" fillId="10" borderId="1" xfId="10" applyFont="1" applyFill="1" applyBorder="1" applyAlignment="1" applyProtection="1">
      <alignment horizontal="center" vertical="center"/>
      <protection locked="0"/>
    </xf>
    <xf numFmtId="0" fontId="6" fillId="0" borderId="1" xfId="11" applyNumberFormat="1" applyFont="1" applyFill="1" applyBorder="1" applyAlignment="1" applyProtection="1">
      <alignment horizontal="center" vertical="center"/>
      <protection locked="0"/>
    </xf>
    <xf numFmtId="0" fontId="6" fillId="0" borderId="1" xfId="9" applyFont="1" applyBorder="1" applyAlignment="1" applyProtection="1">
      <alignment horizontal="center" vertical="center" wrapText="1"/>
      <protection locked="0"/>
    </xf>
    <xf numFmtId="0" fontId="6" fillId="10" borderId="1" xfId="5" applyFont="1" applyFill="1" applyBorder="1" applyAlignment="1" applyProtection="1">
      <alignment horizontal="center"/>
      <protection locked="0"/>
    </xf>
    <xf numFmtId="0" fontId="6" fillId="10" borderId="1" xfId="9" applyFont="1" applyFill="1" applyBorder="1" applyAlignment="1" applyProtection="1">
      <alignment vertical="center" wrapText="1"/>
      <protection locked="0"/>
    </xf>
    <xf numFmtId="170" fontId="6" fillId="10" borderId="1" xfId="7" applyNumberFormat="1" applyFont="1" applyFill="1" applyBorder="1" applyAlignment="1" applyProtection="1">
      <alignment horizontal="center" vertical="center"/>
      <protection locked="0"/>
    </xf>
    <xf numFmtId="169" fontId="6" fillId="10" borderId="1" xfId="7" applyNumberFormat="1" applyFont="1" applyFill="1" applyBorder="1" applyAlignment="1" applyProtection="1">
      <alignment horizontal="center" vertical="center"/>
      <protection locked="0"/>
    </xf>
    <xf numFmtId="43" fontId="6" fillId="10" borderId="1" xfId="7" applyFont="1" applyFill="1" applyBorder="1" applyAlignment="1" applyProtection="1">
      <alignment horizontal="center" vertical="center"/>
      <protection locked="0"/>
    </xf>
    <xf numFmtId="0" fontId="6" fillId="0" borderId="1" xfId="6" applyFont="1" applyBorder="1" applyAlignment="1" applyProtection="1">
      <alignment vertical="center" wrapText="1"/>
      <protection locked="0"/>
    </xf>
    <xf numFmtId="2" fontId="6" fillId="10" borderId="1" xfId="9" applyNumberFormat="1" applyFont="1" applyFill="1" applyBorder="1" applyAlignment="1" applyProtection="1">
      <alignment horizontal="center"/>
      <protection locked="0"/>
    </xf>
    <xf numFmtId="169" fontId="6" fillId="10" borderId="1" xfId="7" applyNumberFormat="1" applyFont="1" applyFill="1" applyBorder="1" applyAlignment="1" applyProtection="1">
      <alignment horizontal="center"/>
      <protection locked="0"/>
    </xf>
    <xf numFmtId="169" fontId="6" fillId="10" borderId="1" xfId="1" applyNumberFormat="1" applyFont="1" applyFill="1" applyBorder="1" applyAlignment="1" applyProtection="1">
      <alignment horizontal="center"/>
      <protection locked="0"/>
    </xf>
    <xf numFmtId="43" fontId="6" fillId="10" borderId="1" xfId="7" applyFont="1" applyFill="1" applyBorder="1" applyAlignment="1" applyProtection="1">
      <alignment horizontal="center"/>
      <protection locked="0"/>
    </xf>
    <xf numFmtId="0" fontId="6" fillId="0" borderId="1" xfId="11" applyNumberFormat="1" applyFont="1" applyFill="1" applyBorder="1" applyAlignment="1" applyProtection="1">
      <alignment horizontal="center"/>
      <protection locked="0"/>
    </xf>
    <xf numFmtId="0" fontId="6" fillId="0" borderId="1" xfId="9" applyFont="1" applyBorder="1" applyAlignment="1" applyProtection="1">
      <alignment horizontal="center"/>
      <protection locked="0"/>
    </xf>
    <xf numFmtId="41" fontId="6" fillId="10" borderId="1" xfId="4" applyFont="1" applyFill="1" applyBorder="1" applyAlignment="1" applyProtection="1">
      <alignment horizontal="center"/>
      <protection locked="0"/>
    </xf>
    <xf numFmtId="43" fontId="6" fillId="10" borderId="1" xfId="9" applyNumberFormat="1" applyFont="1" applyFill="1" applyBorder="1" applyAlignment="1" applyProtection="1">
      <alignment horizontal="center" vertical="center"/>
      <protection locked="0"/>
    </xf>
    <xf numFmtId="169" fontId="6" fillId="10" borderId="1" xfId="9" applyNumberFormat="1" applyFont="1" applyFill="1" applyBorder="1" applyAlignment="1" applyProtection="1">
      <alignment horizontal="center" vertical="center"/>
      <protection locked="0"/>
    </xf>
    <xf numFmtId="43" fontId="6" fillId="10" borderId="1" xfId="10" applyFont="1" applyFill="1" applyBorder="1" applyAlignment="1" applyProtection="1">
      <alignment horizontal="center"/>
      <protection locked="0"/>
    </xf>
    <xf numFmtId="169" fontId="6" fillId="10" borderId="1" xfId="10" applyNumberFormat="1" applyFont="1" applyFill="1" applyBorder="1" applyAlignment="1" applyProtection="1">
      <alignment horizontal="center"/>
      <protection locked="0"/>
    </xf>
    <xf numFmtId="43" fontId="6" fillId="10" borderId="1" xfId="5" applyNumberFormat="1" applyFont="1" applyFill="1" applyBorder="1" applyAlignment="1" applyProtection="1">
      <alignment horizontal="center"/>
      <protection locked="0"/>
    </xf>
    <xf numFmtId="169" fontId="6" fillId="10" borderId="1" xfId="5" applyNumberFormat="1" applyFont="1" applyFill="1" applyBorder="1" applyAlignment="1" applyProtection="1">
      <alignment horizontal="center"/>
      <protection locked="0"/>
    </xf>
    <xf numFmtId="43" fontId="6" fillId="10" borderId="1" xfId="9" applyNumberFormat="1" applyFont="1" applyFill="1" applyBorder="1" applyAlignment="1" applyProtection="1">
      <alignment horizontal="center"/>
      <protection locked="0"/>
    </xf>
    <xf numFmtId="1" fontId="6" fillId="0" borderId="1" xfId="11" applyNumberFormat="1" applyFont="1" applyFill="1" applyBorder="1" applyAlignment="1" applyProtection="1">
      <alignment horizontal="center" vertical="center"/>
      <protection locked="0"/>
    </xf>
    <xf numFmtId="169" fontId="6" fillId="0" borderId="1" xfId="10" applyNumberFormat="1" applyFont="1" applyFill="1" applyBorder="1" applyAlignment="1" applyProtection="1">
      <alignment vertical="center"/>
      <protection locked="0"/>
    </xf>
    <xf numFmtId="169" fontId="6" fillId="0" borderId="1" xfId="1" applyNumberFormat="1" applyFont="1" applyBorder="1" applyAlignment="1" applyProtection="1">
      <alignment vertical="center"/>
      <protection locked="0"/>
    </xf>
    <xf numFmtId="169" fontId="6" fillId="0" borderId="1" xfId="7" applyNumberFormat="1" applyFont="1" applyBorder="1" applyAlignment="1" applyProtection="1">
      <alignment vertical="center"/>
      <protection locked="0"/>
    </xf>
    <xf numFmtId="43" fontId="6" fillId="0" borderId="1" xfId="7" applyFont="1" applyBorder="1" applyAlignment="1" applyProtection="1">
      <alignment vertical="center"/>
      <protection locked="0"/>
    </xf>
    <xf numFmtId="43" fontId="6" fillId="0" borderId="1" xfId="1" applyFont="1" applyBorder="1" applyAlignment="1" applyProtection="1">
      <alignment vertical="center"/>
      <protection locked="0"/>
    </xf>
    <xf numFmtId="0" fontId="6" fillId="0" borderId="1" xfId="5" applyFont="1" applyBorder="1" applyAlignment="1">
      <alignment vertical="center"/>
    </xf>
    <xf numFmtId="169" fontId="6" fillId="0" borderId="1" xfId="7" applyNumberFormat="1" applyFont="1" applyBorder="1" applyProtection="1">
      <protection locked="0"/>
    </xf>
    <xf numFmtId="169" fontId="6" fillId="10" borderId="1" xfId="9" applyNumberFormat="1" applyFont="1" applyFill="1" applyBorder="1" applyAlignment="1" applyProtection="1">
      <alignment horizontal="center"/>
      <protection locked="0"/>
    </xf>
    <xf numFmtId="43" fontId="6" fillId="11" borderId="1" xfId="10" applyFont="1" applyFill="1" applyBorder="1" applyAlignment="1" applyProtection="1">
      <alignment horizontal="center"/>
      <protection locked="0"/>
    </xf>
    <xf numFmtId="169" fontId="6" fillId="11" borderId="1" xfId="10" applyNumberFormat="1" applyFont="1" applyFill="1" applyBorder="1" applyAlignment="1" applyProtection="1">
      <alignment horizontal="center"/>
      <protection locked="0"/>
    </xf>
    <xf numFmtId="169" fontId="6" fillId="11" borderId="1" xfId="1" applyNumberFormat="1" applyFont="1" applyFill="1" applyBorder="1" applyAlignment="1" applyProtection="1">
      <alignment horizontal="center"/>
      <protection locked="0"/>
    </xf>
    <xf numFmtId="0" fontId="6" fillId="11" borderId="1" xfId="5" applyFont="1" applyFill="1" applyBorder="1"/>
    <xf numFmtId="0" fontId="6" fillId="12" borderId="1" xfId="0" applyFont="1" applyFill="1" applyBorder="1" applyAlignment="1">
      <alignment vertical="center" wrapText="1"/>
    </xf>
    <xf numFmtId="0" fontId="6" fillId="8" borderId="1" xfId="12" applyFont="1" applyFill="1" applyBorder="1" applyAlignment="1">
      <alignment horizontal="center" vertical="center"/>
    </xf>
    <xf numFmtId="0" fontId="6" fillId="8" borderId="1" xfId="13" applyNumberFormat="1" applyFont="1" applyFill="1" applyBorder="1" applyAlignment="1">
      <alignment horizontal="center" vertical="center"/>
    </xf>
    <xf numFmtId="168" fontId="6" fillId="12" borderId="1" xfId="2" applyNumberFormat="1" applyFont="1" applyFill="1" applyBorder="1" applyAlignment="1">
      <alignment vertical="center"/>
    </xf>
    <xf numFmtId="41" fontId="6" fillId="12" borderId="1" xfId="2" applyFont="1" applyFill="1" applyBorder="1" applyAlignment="1">
      <alignment vertical="center"/>
    </xf>
    <xf numFmtId="169" fontId="6" fillId="12" borderId="1" xfId="1" applyNumberFormat="1" applyFont="1" applyFill="1" applyBorder="1" applyAlignment="1">
      <alignment vertical="center"/>
    </xf>
    <xf numFmtId="0" fontId="6" fillId="13" borderId="1" xfId="0" applyFont="1" applyFill="1" applyBorder="1" applyAlignment="1">
      <alignment vertical="center" wrapText="1"/>
    </xf>
    <xf numFmtId="0" fontId="6" fillId="11" borderId="1" xfId="0" applyFont="1" applyFill="1" applyBorder="1" applyAlignment="1" applyProtection="1">
      <alignment horizontal="center" vertical="center"/>
      <protection hidden="1"/>
    </xf>
    <xf numFmtId="0" fontId="6" fillId="11" borderId="1" xfId="0" applyFont="1" applyFill="1" applyBorder="1" applyAlignment="1">
      <alignment vertical="center"/>
    </xf>
    <xf numFmtId="168" fontId="6" fillId="11" borderId="1" xfId="2" applyNumberFormat="1" applyFont="1" applyFill="1" applyBorder="1" applyAlignment="1">
      <alignment vertical="center"/>
    </xf>
    <xf numFmtId="41" fontId="6" fillId="11" borderId="1" xfId="2" applyFont="1" applyFill="1" applyBorder="1" applyAlignment="1">
      <alignment vertical="center"/>
    </xf>
    <xf numFmtId="169" fontId="6" fillId="11" borderId="1" xfId="1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12" applyFont="1" applyBorder="1" applyAlignment="1">
      <alignment horizontal="center" vertical="center"/>
    </xf>
    <xf numFmtId="0" fontId="6" fillId="0" borderId="1" xfId="13" applyNumberFormat="1" applyFont="1" applyFill="1" applyBorder="1" applyAlignment="1">
      <alignment horizontal="center" vertical="center"/>
    </xf>
    <xf numFmtId="168" fontId="6" fillId="0" borderId="1" xfId="2" applyNumberFormat="1" applyFont="1" applyFill="1" applyBorder="1" applyAlignment="1">
      <alignment vertical="center"/>
    </xf>
    <xf numFmtId="41" fontId="6" fillId="0" borderId="1" xfId="2" applyFont="1" applyFill="1" applyBorder="1" applyAlignment="1">
      <alignment vertical="center"/>
    </xf>
    <xf numFmtId="169" fontId="6" fillId="0" borderId="1" xfId="1" applyNumberFormat="1" applyFont="1" applyFill="1" applyBorder="1" applyAlignment="1">
      <alignment vertical="center"/>
    </xf>
    <xf numFmtId="168" fontId="6" fillId="11" borderId="1" xfId="0" applyNumberFormat="1" applyFont="1" applyFill="1" applyBorder="1" applyAlignment="1">
      <alignment vertical="center"/>
    </xf>
    <xf numFmtId="168" fontId="6" fillId="13" borderId="1" xfId="2" applyNumberFormat="1" applyFont="1" applyFill="1" applyBorder="1" applyAlignment="1">
      <alignment vertical="center"/>
    </xf>
    <xf numFmtId="41" fontId="6" fillId="13" borderId="1" xfId="2" applyFont="1" applyFill="1" applyBorder="1" applyAlignment="1">
      <alignment vertical="center"/>
    </xf>
    <xf numFmtId="169" fontId="6" fillId="13" borderId="1" xfId="1" applyNumberFormat="1" applyFont="1" applyFill="1" applyBorder="1" applyAlignment="1">
      <alignment vertical="center"/>
    </xf>
    <xf numFmtId="41" fontId="6" fillId="6" borderId="1" xfId="2" applyFont="1" applyFill="1" applyBorder="1" applyAlignment="1">
      <alignment vertical="center"/>
    </xf>
    <xf numFmtId="0" fontId="6" fillId="11" borderId="2" xfId="0" applyFont="1" applyFill="1" applyBorder="1" applyAlignment="1" applyProtection="1">
      <alignment horizontal="center" vertical="center"/>
      <protection hidden="1"/>
    </xf>
    <xf numFmtId="0" fontId="6" fillId="0" borderId="1" xfId="5" applyFont="1" applyBorder="1" applyAlignment="1" applyProtection="1">
      <alignment horizontal="center"/>
      <protection hidden="1"/>
    </xf>
    <xf numFmtId="43" fontId="6" fillId="0" borderId="1" xfId="7" applyFont="1" applyFill="1" applyBorder="1" applyProtection="1">
      <protection hidden="1"/>
    </xf>
    <xf numFmtId="41" fontId="6" fillId="0" borderId="1" xfId="2" applyFont="1" applyFill="1" applyBorder="1" applyProtection="1">
      <protection hidden="1"/>
    </xf>
    <xf numFmtId="169" fontId="6" fillId="0" borderId="1" xfId="1" applyNumberFormat="1" applyFont="1" applyFill="1" applyBorder="1" applyProtection="1">
      <protection hidden="1"/>
    </xf>
    <xf numFmtId="0" fontId="6" fillId="0" borderId="3" xfId="5" applyFont="1" applyBorder="1" applyAlignment="1" applyProtection="1">
      <alignment horizontal="center" vertical="center" wrapText="1"/>
      <protection hidden="1"/>
    </xf>
    <xf numFmtId="0" fontId="6" fillId="0" borderId="4" xfId="5" applyFont="1" applyBorder="1" applyAlignment="1" applyProtection="1">
      <alignment horizontal="center" vertical="center" wrapText="1"/>
      <protection hidden="1"/>
    </xf>
    <xf numFmtId="0" fontId="6" fillId="14" borderId="1" xfId="5" applyFont="1" applyFill="1" applyBorder="1" applyProtection="1">
      <protection hidden="1"/>
    </xf>
    <xf numFmtId="0" fontId="6" fillId="14" borderId="1" xfId="5" applyFont="1" applyFill="1" applyBorder="1" applyAlignment="1" applyProtection="1">
      <alignment horizontal="center"/>
      <protection hidden="1"/>
    </xf>
    <xf numFmtId="43" fontId="6" fillId="14" borderId="1" xfId="7" applyFont="1" applyFill="1" applyBorder="1" applyProtection="1">
      <protection hidden="1"/>
    </xf>
    <xf numFmtId="169" fontId="6" fillId="14" borderId="1" xfId="7" applyNumberFormat="1" applyFont="1" applyFill="1" applyBorder="1" applyProtection="1">
      <protection hidden="1"/>
    </xf>
    <xf numFmtId="169" fontId="6" fillId="14" borderId="1" xfId="1" applyNumberFormat="1" applyFont="1" applyFill="1" applyBorder="1" applyProtection="1">
      <protection hidden="1"/>
    </xf>
    <xf numFmtId="0" fontId="6" fillId="14" borderId="1" xfId="5" applyFont="1" applyFill="1" applyBorder="1"/>
    <xf numFmtId="168" fontId="6" fillId="0" borderId="0" xfId="5" applyNumberFormat="1" applyFont="1"/>
    <xf numFmtId="41" fontId="6" fillId="0" borderId="0" xfId="5" applyNumberFormat="1" applyFont="1"/>
    <xf numFmtId="169" fontId="6" fillId="0" borderId="0" xfId="1" applyNumberFormat="1" applyFont="1"/>
    <xf numFmtId="43" fontId="6" fillId="0" borderId="0" xfId="5" applyNumberFormat="1" applyFont="1"/>
    <xf numFmtId="10" fontId="3" fillId="0" borderId="1" xfId="3" applyNumberFormat="1" applyFont="1" applyBorder="1"/>
    <xf numFmtId="167" fontId="3" fillId="0" borderId="1" xfId="0" applyNumberFormat="1" applyFont="1" applyBorder="1" applyAlignment="1">
      <alignment horizontal="center"/>
    </xf>
    <xf numFmtId="166" fontId="3" fillId="0" borderId="1" xfId="3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167" fontId="3" fillId="15" borderId="1" xfId="0" applyNumberFormat="1" applyFont="1" applyFill="1" applyBorder="1" applyAlignment="1">
      <alignment horizontal="center"/>
    </xf>
    <xf numFmtId="10" fontId="3" fillId="15" borderId="1" xfId="3" applyNumberFormat="1" applyFont="1" applyFill="1" applyBorder="1"/>
    <xf numFmtId="165" fontId="0" fillId="0" borderId="0" xfId="0" applyNumberFormat="1"/>
    <xf numFmtId="43" fontId="3" fillId="0" borderId="1" xfId="1" applyFont="1" applyBorder="1" applyAlignment="1">
      <alignment horizontal="center"/>
    </xf>
    <xf numFmtId="165" fontId="0" fillId="6" borderId="1" xfId="0" applyNumberFormat="1" applyFill="1" applyBorder="1"/>
    <xf numFmtId="0" fontId="1" fillId="6" borderId="1" xfId="0" applyFont="1" applyFill="1" applyBorder="1"/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6" borderId="5" xfId="0" applyFont="1" applyFill="1" applyBorder="1"/>
    <xf numFmtId="0" fontId="1" fillId="6" borderId="6" xfId="0" applyFont="1" applyFill="1" applyBorder="1"/>
    <xf numFmtId="0" fontId="1" fillId="6" borderId="7" xfId="0" applyFont="1" applyFill="1" applyBorder="1"/>
    <xf numFmtId="43" fontId="1" fillId="15" borderId="1" xfId="1" applyFont="1" applyFill="1" applyBorder="1" applyAlignment="1">
      <alignment horizontal="center"/>
    </xf>
    <xf numFmtId="0" fontId="13" fillId="2" borderId="1" xfId="14" applyFont="1" applyFill="1" applyBorder="1" applyAlignment="1">
      <alignment horizontal="center" vertical="center"/>
    </xf>
    <xf numFmtId="0" fontId="13" fillId="3" borderId="1" xfId="14" applyFont="1" applyFill="1" applyBorder="1" applyAlignment="1">
      <alignment horizontal="center" vertical="center"/>
    </xf>
    <xf numFmtId="0" fontId="13" fillId="4" borderId="1" xfId="14" applyFont="1" applyFill="1" applyBorder="1" applyAlignment="1">
      <alignment horizontal="center" vertical="center"/>
    </xf>
    <xf numFmtId="0" fontId="13" fillId="5" borderId="1" xfId="14" applyFont="1" applyFill="1" applyBorder="1" applyAlignment="1">
      <alignment horizontal="center" vertical="center"/>
    </xf>
    <xf numFmtId="0" fontId="1" fillId="2" borderId="1" xfId="15" applyFont="1" applyFill="1" applyBorder="1" applyAlignment="1">
      <alignment horizontal="center" vertical="center"/>
    </xf>
    <xf numFmtId="0" fontId="1" fillId="3" borderId="1" xfId="15" applyFont="1" applyFill="1" applyBorder="1" applyAlignment="1">
      <alignment horizontal="center" vertical="center"/>
    </xf>
    <xf numFmtId="0" fontId="1" fillId="4" borderId="1" xfId="15" applyFont="1" applyFill="1" applyBorder="1" applyAlignment="1">
      <alignment horizontal="center" vertical="center"/>
    </xf>
    <xf numFmtId="0" fontId="1" fillId="5" borderId="1" xfId="15" applyFont="1" applyFill="1" applyBorder="1" applyAlignment="1">
      <alignment horizontal="center" vertical="center"/>
    </xf>
    <xf numFmtId="0" fontId="4" fillId="0" borderId="0" xfId="21"/>
    <xf numFmtId="0" fontId="1" fillId="0" borderId="0" xfId="21" applyFont="1" applyAlignment="1">
      <alignment horizontal="left" vertical="center"/>
    </xf>
    <xf numFmtId="0" fontId="1" fillId="0" borderId="0" xfId="21" applyFont="1" applyAlignment="1">
      <alignment horizontal="center" vertical="center"/>
    </xf>
    <xf numFmtId="0" fontId="4" fillId="0" borderId="0" xfId="21" applyAlignment="1">
      <alignment horizontal="center" vertical="center" wrapText="1"/>
    </xf>
    <xf numFmtId="0" fontId="1" fillId="19" borderId="1" xfId="21" applyFont="1" applyFill="1" applyBorder="1" applyAlignment="1">
      <alignment horizontal="center" vertical="center" wrapText="1"/>
    </xf>
    <xf numFmtId="0" fontId="4" fillId="0" borderId="1" xfId="21" applyBorder="1" applyAlignment="1">
      <alignment horizontal="center" vertical="center"/>
    </xf>
    <xf numFmtId="0" fontId="4" fillId="0" borderId="1" xfId="21" applyBorder="1"/>
    <xf numFmtId="41" fontId="17" fillId="8" borderId="1" xfId="21" applyNumberFormat="1" applyFont="1" applyFill="1" applyBorder="1" applyAlignment="1">
      <alignment horizontal="center" vertical="center"/>
    </xf>
    <xf numFmtId="41" fontId="17" fillId="8" borderId="21" xfId="21" applyNumberFormat="1" applyFont="1" applyFill="1" applyBorder="1" applyAlignment="1">
      <alignment horizontal="center" vertical="center"/>
    </xf>
    <xf numFmtId="41" fontId="17" fillId="0" borderId="1" xfId="21" applyNumberFormat="1" applyFont="1" applyBorder="1" applyAlignment="1">
      <alignment horizontal="center" vertical="center"/>
    </xf>
    <xf numFmtId="0" fontId="1" fillId="0" borderId="1" xfId="21" applyFont="1" applyBorder="1" applyAlignment="1">
      <alignment horizontal="center" vertical="center"/>
    </xf>
    <xf numFmtId="41" fontId="1" fillId="0" borderId="1" xfId="21" applyNumberFormat="1" applyFont="1" applyBorder="1" applyAlignment="1">
      <alignment horizontal="center" vertical="center"/>
    </xf>
    <xf numFmtId="0" fontId="1" fillId="0" borderId="0" xfId="21" applyFont="1"/>
    <xf numFmtId="41" fontId="17" fillId="0" borderId="21" xfId="21" applyNumberFormat="1" applyFont="1" applyBorder="1" applyAlignment="1">
      <alignment horizontal="center" vertical="center"/>
    </xf>
    <xf numFmtId="41" fontId="17" fillId="0" borderId="22" xfId="21" applyNumberFormat="1" applyFont="1" applyBorder="1" applyAlignment="1">
      <alignment horizontal="center" vertical="center"/>
    </xf>
    <xf numFmtId="41" fontId="17" fillId="8" borderId="22" xfId="21" applyNumberFormat="1" applyFont="1" applyFill="1" applyBorder="1" applyAlignment="1">
      <alignment horizontal="center" vertical="center"/>
    </xf>
    <xf numFmtId="41" fontId="18" fillId="0" borderId="1" xfId="24" applyFont="1" applyBorder="1" applyAlignment="1">
      <alignment horizontal="center" vertical="center"/>
    </xf>
    <xf numFmtId="41" fontId="4" fillId="0" borderId="0" xfId="21" applyNumberFormat="1"/>
    <xf numFmtId="0" fontId="12" fillId="0" borderId="0" xfId="14">
      <alignment vertical="center"/>
    </xf>
    <xf numFmtId="0" fontId="15" fillId="0" borderId="0" xfId="14" applyFont="1" applyAlignment="1">
      <alignment horizontal="left" vertical="center"/>
    </xf>
    <xf numFmtId="0" fontId="15" fillId="0" borderId="0" xfId="14" applyFont="1" applyAlignment="1">
      <alignment horizontal="center" vertical="center"/>
    </xf>
    <xf numFmtId="0" fontId="15" fillId="3" borderId="1" xfId="14" applyFont="1" applyFill="1" applyBorder="1" applyAlignment="1">
      <alignment horizontal="center" vertical="center" wrapText="1"/>
    </xf>
    <xf numFmtId="0" fontId="21" fillId="0" borderId="1" xfId="14" applyFont="1" applyBorder="1" applyAlignment="1">
      <alignment horizontal="center"/>
    </xf>
    <xf numFmtId="0" fontId="21" fillId="0" borderId="1" xfId="14" applyFont="1" applyBorder="1" applyAlignment="1"/>
    <xf numFmtId="41" fontId="21" fillId="8" borderId="1" xfId="25" applyFont="1" applyFill="1" applyBorder="1">
      <protection locked="0"/>
    </xf>
    <xf numFmtId="41" fontId="21" fillId="0" borderId="1" xfId="25" applyFont="1" applyBorder="1">
      <protection locked="0"/>
    </xf>
    <xf numFmtId="41" fontId="12" fillId="0" borderId="0" xfId="14" applyNumberFormat="1">
      <alignment vertical="center"/>
    </xf>
    <xf numFmtId="41" fontId="22" fillId="0" borderId="0" xfId="14" applyNumberFormat="1" applyFont="1">
      <alignment vertical="center"/>
    </xf>
    <xf numFmtId="41" fontId="23" fillId="0" borderId="0" xfId="14" applyNumberFormat="1" applyFont="1">
      <alignment vertical="center"/>
    </xf>
    <xf numFmtId="41" fontId="24" fillId="0" borderId="0" xfId="14" applyNumberFormat="1" applyFont="1">
      <alignment vertical="center"/>
    </xf>
    <xf numFmtId="0" fontId="29" fillId="0" borderId="0" xfId="14" applyFont="1">
      <alignment vertical="center"/>
    </xf>
    <xf numFmtId="0" fontId="30" fillId="25" borderId="0" xfId="14" applyFont="1" applyFill="1" applyAlignment="1">
      <alignment horizontal="left"/>
    </xf>
    <xf numFmtId="0" fontId="31" fillId="25" borderId="0" xfId="14" applyFont="1" applyFill="1" applyAlignment="1">
      <alignment horizontal="left"/>
    </xf>
    <xf numFmtId="0" fontId="31" fillId="25" borderId="0" xfId="14" applyFont="1" applyFill="1" applyAlignment="1">
      <alignment horizontal="center"/>
    </xf>
    <xf numFmtId="0" fontId="25" fillId="0" borderId="0" xfId="14" applyFont="1" applyAlignment="1">
      <alignment horizontal="center" vertical="center" wrapText="1"/>
    </xf>
    <xf numFmtId="0" fontId="30" fillId="26" borderId="1" xfId="14" applyFont="1" applyFill="1" applyBorder="1" applyAlignment="1">
      <alignment horizontal="center" vertical="center" wrapText="1"/>
    </xf>
    <xf numFmtId="0" fontId="25" fillId="0" borderId="1" xfId="14" applyFont="1" applyBorder="1" applyAlignment="1"/>
    <xf numFmtId="14" fontId="25" fillId="0" borderId="1" xfId="14" applyNumberFormat="1" applyFont="1" applyBorder="1" applyAlignment="1"/>
    <xf numFmtId="172" fontId="25" fillId="0" borderId="1" xfId="25" applyNumberFormat="1" applyFont="1" applyBorder="1" applyProtection="1"/>
    <xf numFmtId="0" fontId="11" fillId="9" borderId="5" xfId="14" applyFont="1" applyFill="1" applyBorder="1">
      <alignment vertical="center"/>
    </xf>
    <xf numFmtId="0" fontId="11" fillId="9" borderId="6" xfId="14" applyFont="1" applyFill="1" applyBorder="1">
      <alignment vertical="center"/>
    </xf>
    <xf numFmtId="0" fontId="11" fillId="0" borderId="20" xfId="14" applyFont="1" applyBorder="1">
      <alignment vertical="center"/>
    </xf>
    <xf numFmtId="0" fontId="11" fillId="0" borderId="0" xfId="14" applyFont="1">
      <alignment vertical="center"/>
    </xf>
    <xf numFmtId="0" fontId="11" fillId="9" borderId="1" xfId="14" applyFont="1" applyFill="1" applyBorder="1" applyAlignment="1">
      <alignment horizontal="center" vertical="center"/>
    </xf>
    <xf numFmtId="0" fontId="29" fillId="14" borderId="1" xfId="14" applyFont="1" applyFill="1" applyBorder="1" applyAlignment="1">
      <alignment horizontal="center" vertical="center"/>
    </xf>
    <xf numFmtId="0" fontId="29" fillId="0" borderId="1" xfId="14" applyFont="1" applyBorder="1" applyAlignment="1">
      <alignment horizontal="center" vertical="center"/>
    </xf>
    <xf numFmtId="43" fontId="1" fillId="18" borderId="1" xfId="29" applyFont="1" applyFill="1" applyBorder="1" applyAlignment="1">
      <alignment horizontal="center"/>
    </xf>
    <xf numFmtId="1" fontId="1" fillId="18" borderId="1" xfId="29" applyNumberFormat="1" applyFont="1" applyFill="1" applyBorder="1" applyAlignment="1">
      <alignment horizontal="center"/>
    </xf>
    <xf numFmtId="0" fontId="34" fillId="0" borderId="0" xfId="30" applyFont="1" applyAlignment="1"/>
    <xf numFmtId="43" fontId="34" fillId="0" borderId="0" xfId="30" applyNumberFormat="1" applyFont="1" applyAlignment="1"/>
    <xf numFmtId="169" fontId="34" fillId="0" borderId="0" xfId="30" applyNumberFormat="1" applyFont="1" applyAlignment="1"/>
    <xf numFmtId="0" fontId="34" fillId="0" borderId="0" xfId="30" applyFont="1" applyAlignment="1">
      <alignment wrapText="1"/>
    </xf>
    <xf numFmtId="0" fontId="35" fillId="0" borderId="0" xfId="30" applyFont="1" applyAlignment="1"/>
    <xf numFmtId="0" fontId="36" fillId="27" borderId="1" xfId="30" applyFont="1" applyFill="1" applyBorder="1" applyAlignment="1">
      <alignment horizontal="center" vertical="center" wrapText="1"/>
    </xf>
    <xf numFmtId="0" fontId="38" fillId="27" borderId="2" xfId="30" applyFont="1" applyFill="1" applyBorder="1" applyAlignment="1">
      <alignment horizontal="center" vertical="center"/>
    </xf>
    <xf numFmtId="0" fontId="36" fillId="27" borderId="26" xfId="30" applyFont="1" applyFill="1" applyBorder="1" applyAlignment="1">
      <alignment horizontal="center" vertical="center"/>
    </xf>
    <xf numFmtId="0" fontId="36" fillId="27" borderId="26" xfId="30" applyFont="1" applyFill="1" applyBorder="1" applyAlignment="1">
      <alignment horizontal="center" vertical="center" wrapText="1"/>
    </xf>
    <xf numFmtId="169" fontId="36" fillId="27" borderId="26" xfId="30" applyNumberFormat="1" applyFont="1" applyFill="1" applyBorder="1" applyAlignment="1">
      <alignment horizontal="center" vertical="center"/>
    </xf>
    <xf numFmtId="0" fontId="36" fillId="27" borderId="27" xfId="30" applyFont="1" applyFill="1" applyBorder="1" applyAlignment="1">
      <alignment horizontal="center" vertical="center"/>
    </xf>
    <xf numFmtId="2" fontId="36" fillId="27" borderId="1" xfId="30" applyNumberFormat="1" applyFont="1" applyFill="1" applyBorder="1" applyAlignment="1">
      <alignment horizontal="center" vertical="center"/>
    </xf>
    <xf numFmtId="0" fontId="34" fillId="0" borderId="28" xfId="30" applyFont="1" applyBorder="1" applyAlignment="1">
      <alignment horizontal="center"/>
    </xf>
    <xf numFmtId="0" fontId="34" fillId="0" borderId="28" xfId="30" applyFont="1" applyBorder="1" applyAlignment="1"/>
    <xf numFmtId="0" fontId="41" fillId="0" borderId="28" xfId="30" applyFont="1" applyBorder="1" applyAlignment="1">
      <alignment horizontal="center"/>
    </xf>
    <xf numFmtId="169" fontId="34" fillId="0" borderId="28" xfId="30" applyNumberFormat="1" applyFont="1" applyBorder="1" applyAlignment="1"/>
    <xf numFmtId="43" fontId="34" fillId="0" borderId="28" xfId="30" applyNumberFormat="1" applyFont="1" applyBorder="1" applyAlignment="1"/>
    <xf numFmtId="15" fontId="34" fillId="0" borderId="28" xfId="30" applyNumberFormat="1" applyFont="1" applyBorder="1" applyAlignment="1">
      <alignment horizontal="center" vertical="center"/>
    </xf>
    <xf numFmtId="15" fontId="42" fillId="0" borderId="28" xfId="30" applyNumberFormat="1" applyFont="1" applyBorder="1" applyAlignment="1">
      <alignment horizontal="center" vertical="center"/>
    </xf>
    <xf numFmtId="172" fontId="44" fillId="0" borderId="1" xfId="31" applyNumberFormat="1" applyFont="1" applyBorder="1" applyAlignment="1" applyProtection="1">
      <alignment horizontal="center" vertical="center"/>
    </xf>
    <xf numFmtId="43" fontId="34" fillId="0" borderId="28" xfId="30" applyNumberFormat="1" applyFont="1" applyBorder="1" applyAlignment="1">
      <alignment wrapText="1"/>
    </xf>
    <xf numFmtId="43" fontId="34" fillId="0" borderId="29" xfId="30" applyNumberFormat="1" applyFont="1" applyBorder="1" applyAlignment="1"/>
    <xf numFmtId="15" fontId="34" fillId="0" borderId="29" xfId="30" applyNumberFormat="1" applyFont="1" applyBorder="1" applyAlignment="1">
      <alignment horizontal="center" vertical="center"/>
    </xf>
    <xf numFmtId="169" fontId="34" fillId="25" borderId="29" xfId="30" applyNumberFormat="1" applyFont="1" applyFill="1" applyBorder="1" applyAlignment="1"/>
    <xf numFmtId="43" fontId="34" fillId="25" borderId="29" xfId="30" applyNumberFormat="1" applyFont="1" applyFill="1" applyBorder="1" applyAlignment="1"/>
    <xf numFmtId="172" fontId="44" fillId="0" borderId="4" xfId="31" applyNumberFormat="1" applyFont="1" applyBorder="1" applyAlignment="1" applyProtection="1">
      <alignment horizontal="center" vertical="center"/>
    </xf>
    <xf numFmtId="173" fontId="34" fillId="25" borderId="28" xfId="30" applyNumberFormat="1" applyFont="1" applyFill="1" applyBorder="1" applyAlignment="1"/>
    <xf numFmtId="0" fontId="34" fillId="8" borderId="28" xfId="30" applyFont="1" applyFill="1" applyBorder="1" applyAlignment="1"/>
    <xf numFmtId="169" fontId="34" fillId="0" borderId="28" xfId="30" applyNumberFormat="1" applyFont="1" applyBorder="1" applyAlignment="1">
      <alignment wrapText="1"/>
    </xf>
    <xf numFmtId="169" fontId="34" fillId="25" borderId="28" xfId="30" applyNumberFormat="1" applyFont="1" applyFill="1" applyBorder="1" applyAlignment="1"/>
    <xf numFmtId="43" fontId="34" fillId="25" borderId="28" xfId="30" applyNumberFormat="1" applyFont="1" applyFill="1" applyBorder="1" applyAlignment="1"/>
    <xf numFmtId="0" fontId="45" fillId="0" borderId="0" xfId="30" applyFont="1" applyAlignment="1"/>
    <xf numFmtId="15" fontId="34" fillId="25" borderId="28" xfId="30" applyNumberFormat="1" applyFont="1" applyFill="1" applyBorder="1" applyAlignment="1">
      <alignment horizontal="center" vertical="center"/>
    </xf>
    <xf numFmtId="43" fontId="34" fillId="0" borderId="28" xfId="30" applyNumberFormat="1" applyFont="1" applyBorder="1" applyAlignment="1">
      <alignment horizontal="center" vertical="center"/>
    </xf>
    <xf numFmtId="43" fontId="34" fillId="25" borderId="28" xfId="30" applyNumberFormat="1" applyFont="1" applyFill="1" applyBorder="1" applyAlignment="1">
      <alignment horizontal="center" vertical="center"/>
    </xf>
    <xf numFmtId="174" fontId="34" fillId="0" borderId="28" xfId="30" applyNumberFormat="1" applyFont="1" applyBorder="1" applyAlignment="1">
      <alignment horizontal="center"/>
    </xf>
    <xf numFmtId="0" fontId="34" fillId="0" borderId="31" xfId="30" applyFont="1" applyBorder="1" applyAlignment="1">
      <alignment vertical="center" wrapText="1"/>
    </xf>
    <xf numFmtId="0" fontId="34" fillId="0" borderId="29" xfId="30" applyFont="1" applyBorder="1" applyAlignment="1">
      <alignment vertical="center" wrapText="1"/>
    </xf>
    <xf numFmtId="169" fontId="34" fillId="30" borderId="28" xfId="30" applyNumberFormat="1" applyFont="1" applyFill="1" applyBorder="1" applyAlignment="1"/>
    <xf numFmtId="43" fontId="34" fillId="30" borderId="28" xfId="30" applyNumberFormat="1" applyFont="1" applyFill="1" applyBorder="1" applyAlignment="1"/>
    <xf numFmtId="0" fontId="34" fillId="30" borderId="28" xfId="30" applyFont="1" applyFill="1" applyBorder="1" applyAlignment="1"/>
    <xf numFmtId="169" fontId="34" fillId="30" borderId="28" xfId="30" applyNumberFormat="1" applyFont="1" applyFill="1" applyBorder="1" applyAlignment="1">
      <alignment wrapText="1"/>
    </xf>
    <xf numFmtId="43" fontId="34" fillId="30" borderId="28" xfId="30" applyNumberFormat="1" applyFont="1" applyFill="1" applyBorder="1" applyAlignment="1">
      <alignment wrapText="1"/>
    </xf>
    <xf numFmtId="43" fontId="34" fillId="31" borderId="28" xfId="30" applyNumberFormat="1" applyFont="1" applyFill="1" applyBorder="1" applyAlignment="1"/>
    <xf numFmtId="169" fontId="34" fillId="31" borderId="28" xfId="30" applyNumberFormat="1" applyFont="1" applyFill="1" applyBorder="1" applyAlignment="1"/>
    <xf numFmtId="0" fontId="34" fillId="31" borderId="28" xfId="30" applyFont="1" applyFill="1" applyBorder="1" applyAlignment="1"/>
    <xf numFmtId="43" fontId="34" fillId="31" borderId="28" xfId="30" applyNumberFormat="1" applyFont="1" applyFill="1" applyBorder="1" applyAlignment="1">
      <alignment wrapText="1"/>
    </xf>
    <xf numFmtId="0" fontId="35" fillId="0" borderId="0" xfId="30" applyFont="1" applyAlignment="1">
      <alignment wrapText="1"/>
    </xf>
    <xf numFmtId="0" fontId="4" fillId="8" borderId="0" xfId="32" applyFill="1"/>
    <xf numFmtId="0" fontId="1" fillId="17" borderId="1" xfId="32" applyFont="1" applyFill="1" applyBorder="1" applyAlignment="1">
      <alignment horizontal="center" vertical="center" wrapText="1"/>
    </xf>
    <xf numFmtId="0" fontId="18" fillId="17" borderId="1" xfId="32" applyFont="1" applyFill="1" applyBorder="1" applyAlignment="1">
      <alignment horizontal="center" vertical="center" wrapText="1"/>
    </xf>
    <xf numFmtId="0" fontId="4" fillId="0" borderId="1" xfId="32" applyBorder="1"/>
    <xf numFmtId="14" fontId="4" fillId="0" borderId="1" xfId="32" applyNumberFormat="1" applyBorder="1"/>
    <xf numFmtId="0" fontId="1" fillId="17" borderId="7" xfId="32" applyFont="1" applyFill="1" applyBorder="1" applyAlignment="1">
      <alignment horizontal="center"/>
    </xf>
    <xf numFmtId="0" fontId="4" fillId="17" borderId="1" xfId="32" applyFill="1" applyBorder="1"/>
    <xf numFmtId="0" fontId="4" fillId="0" borderId="0" xfId="32"/>
    <xf numFmtId="166" fontId="1" fillId="0" borderId="1" xfId="33" applyFont="1" applyBorder="1" applyAlignment="1">
      <alignment horizontal="center" vertical="center"/>
    </xf>
    <xf numFmtId="169" fontId="3" fillId="8" borderId="1" xfId="33" applyNumberFormat="1" applyFont="1" applyFill="1" applyBorder="1" applyAlignment="1">
      <alignment horizontal="center" vertical="center"/>
    </xf>
    <xf numFmtId="171" fontId="4" fillId="0" borderId="1" xfId="33" applyNumberFormat="1" applyFont="1" applyBorder="1" applyAlignment="1">
      <alignment horizontal="center" vertical="center"/>
    </xf>
    <xf numFmtId="166" fontId="4" fillId="0" borderId="1" xfId="33" applyFont="1" applyBorder="1" applyAlignment="1">
      <alignment horizontal="center" vertical="center"/>
    </xf>
    <xf numFmtId="0" fontId="33" fillId="0" borderId="0" xfId="30">
      <alignment vertical="center"/>
    </xf>
    <xf numFmtId="0" fontId="43" fillId="0" borderId="1" xfId="30" applyFont="1" applyBorder="1" applyAlignment="1"/>
    <xf numFmtId="0" fontId="43" fillId="0" borderId="1" xfId="30" applyFont="1" applyBorder="1">
      <alignment vertical="center"/>
    </xf>
    <xf numFmtId="0" fontId="43" fillId="0" borderId="1" xfId="30" applyFont="1" applyBorder="1" applyAlignment="1">
      <alignment horizontal="center" vertical="center"/>
    </xf>
    <xf numFmtId="0" fontId="48" fillId="17" borderId="1" xfId="30" applyFont="1" applyFill="1" applyBorder="1" applyAlignment="1">
      <alignment horizontal="center" vertical="center" wrapText="1"/>
    </xf>
    <xf numFmtId="0" fontId="15" fillId="17" borderId="1" xfId="30" applyFont="1" applyFill="1" applyBorder="1" applyAlignment="1">
      <alignment horizontal="center" vertical="center" wrapText="1"/>
    </xf>
    <xf numFmtId="0" fontId="48" fillId="0" borderId="0" xfId="30" applyFont="1" applyAlignment="1">
      <alignment horizontal="center" vertical="center"/>
    </xf>
    <xf numFmtId="0" fontId="48" fillId="0" borderId="0" xfId="30" applyFont="1" applyAlignment="1">
      <alignment horizontal="left" vertical="center"/>
    </xf>
    <xf numFmtId="0" fontId="51" fillId="0" borderId="0" xfId="34" applyFont="1"/>
    <xf numFmtId="169" fontId="52" fillId="9" borderId="13" xfId="35" applyNumberFormat="1" applyFont="1" applyFill="1" applyBorder="1" applyAlignment="1">
      <alignment horizontal="center" vertical="center"/>
    </xf>
    <xf numFmtId="169" fontId="52" fillId="9" borderId="13" xfId="35" applyNumberFormat="1" applyFont="1" applyFill="1" applyBorder="1" applyAlignment="1">
      <alignment vertical="center"/>
    </xf>
    <xf numFmtId="169" fontId="52" fillId="9" borderId="1" xfId="35" applyNumberFormat="1" applyFont="1" applyFill="1" applyBorder="1" applyAlignment="1">
      <alignment horizontal="center" vertical="center" wrapText="1"/>
    </xf>
    <xf numFmtId="169" fontId="8" fillId="9" borderId="1" xfId="35" applyNumberFormat="1" applyFont="1" applyFill="1" applyBorder="1" applyAlignment="1">
      <alignment horizontal="center" vertical="center" wrapText="1"/>
    </xf>
    <xf numFmtId="0" fontId="53" fillId="21" borderId="1" xfId="34" applyFont="1" applyFill="1" applyBorder="1" applyAlignment="1">
      <alignment horizontal="center" vertical="center"/>
    </xf>
    <xf numFmtId="169" fontId="53" fillId="21" borderId="1" xfId="35" applyNumberFormat="1" applyFont="1" applyFill="1" applyBorder="1" applyAlignment="1">
      <alignment horizontal="center" vertical="center"/>
    </xf>
    <xf numFmtId="0" fontId="53" fillId="22" borderId="1" xfId="34" applyFont="1" applyFill="1" applyBorder="1" applyAlignment="1">
      <alignment horizontal="center"/>
    </xf>
    <xf numFmtId="0" fontId="53" fillId="22" borderId="1" xfId="34" applyFont="1" applyFill="1" applyBorder="1" applyAlignment="1">
      <alignment horizontal="center" vertical="center"/>
    </xf>
    <xf numFmtId="43" fontId="53" fillId="22" borderId="1" xfId="35" applyFont="1" applyFill="1" applyBorder="1"/>
    <xf numFmtId="169" fontId="53" fillId="22" borderId="1" xfId="35" applyNumberFormat="1" applyFont="1" applyFill="1" applyBorder="1"/>
    <xf numFmtId="169" fontId="53" fillId="4" borderId="1" xfId="35" applyNumberFormat="1" applyFont="1" applyFill="1" applyBorder="1"/>
    <xf numFmtId="169" fontId="53" fillId="24" borderId="1" xfId="35" applyNumberFormat="1" applyFont="1" applyFill="1" applyBorder="1"/>
    <xf numFmtId="43" fontId="53" fillId="24" borderId="1" xfId="35" applyFont="1" applyFill="1" applyBorder="1"/>
    <xf numFmtId="169" fontId="51" fillId="0" borderId="0" xfId="34" applyNumberFormat="1" applyFont="1"/>
    <xf numFmtId="166" fontId="25" fillId="0" borderId="0" xfId="36" applyFont="1" applyFill="1" applyBorder="1" applyAlignment="1" applyProtection="1">
      <protection locked="0"/>
    </xf>
    <xf numFmtId="0" fontId="53" fillId="0" borderId="0" xfId="34" applyFont="1"/>
    <xf numFmtId="43" fontId="53" fillId="0" borderId="0" xfId="35" applyFont="1" applyFill="1"/>
    <xf numFmtId="169" fontId="53" fillId="0" borderId="0" xfId="35" applyNumberFormat="1" applyFont="1" applyFill="1"/>
    <xf numFmtId="169" fontId="53" fillId="8" borderId="0" xfId="35" applyNumberFormat="1" applyFont="1" applyFill="1"/>
    <xf numFmtId="0" fontId="53" fillId="16" borderId="1" xfId="34" applyFont="1" applyFill="1" applyBorder="1" applyAlignment="1">
      <alignment horizontal="center"/>
    </xf>
    <xf numFmtId="0" fontId="53" fillId="23" borderId="1" xfId="34" applyFont="1" applyFill="1" applyBorder="1" applyAlignment="1">
      <alignment horizontal="center"/>
    </xf>
    <xf numFmtId="0" fontId="51" fillId="23" borderId="1" xfId="34" applyFont="1" applyFill="1" applyBorder="1"/>
    <xf numFmtId="43" fontId="51" fillId="23" borderId="1" xfId="35" applyFont="1" applyFill="1" applyBorder="1"/>
    <xf numFmtId="169" fontId="51" fillId="23" borderId="1" xfId="35" applyNumberFormat="1" applyFont="1" applyFill="1" applyBorder="1"/>
    <xf numFmtId="0" fontId="51" fillId="16" borderId="1" xfId="34" applyFont="1" applyFill="1" applyBorder="1"/>
    <xf numFmtId="43" fontId="51" fillId="16" borderId="1" xfId="35" applyFont="1" applyFill="1" applyBorder="1"/>
    <xf numFmtId="169" fontId="51" fillId="16" borderId="1" xfId="35" applyNumberFormat="1" applyFont="1" applyFill="1" applyBorder="1"/>
    <xf numFmtId="0" fontId="54" fillId="0" borderId="0" xfId="34" applyFont="1"/>
    <xf numFmtId="0" fontId="51" fillId="8" borderId="0" xfId="34" applyFont="1" applyFill="1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15" borderId="5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0" fontId="1" fillId="15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4" fillId="0" borderId="30" xfId="30" applyFont="1" applyBorder="1" applyAlignment="1">
      <alignment horizontal="center" vertical="center"/>
    </xf>
    <xf numFmtId="0" fontId="35" fillId="0" borderId="29" xfId="30" applyFont="1" applyBorder="1" applyAlignment="1"/>
    <xf numFmtId="0" fontId="34" fillId="30" borderId="32" xfId="30" applyFont="1" applyFill="1" applyBorder="1" applyAlignment="1">
      <alignment horizontal="center"/>
    </xf>
    <xf numFmtId="0" fontId="35" fillId="0" borderId="33" xfId="30" applyFont="1" applyBorder="1" applyAlignment="1"/>
    <xf numFmtId="0" fontId="35" fillId="0" borderId="31" xfId="30" applyFont="1" applyBorder="1" applyAlignment="1"/>
    <xf numFmtId="0" fontId="34" fillId="31" borderId="32" xfId="30" applyFont="1" applyFill="1" applyBorder="1" applyAlignment="1">
      <alignment horizontal="center"/>
    </xf>
    <xf numFmtId="0" fontId="37" fillId="28" borderId="1" xfId="30" applyFont="1" applyFill="1" applyBorder="1" applyAlignment="1">
      <alignment horizontal="center" vertical="center" wrapText="1"/>
    </xf>
    <xf numFmtId="0" fontId="34" fillId="0" borderId="30" xfId="30" applyFont="1" applyBorder="1" applyAlignment="1">
      <alignment horizontal="center" vertical="center" wrapText="1"/>
    </xf>
    <xf numFmtId="0" fontId="34" fillId="0" borderId="31" xfId="30" applyFont="1" applyBorder="1" applyAlignment="1">
      <alignment horizontal="center" vertical="center" wrapText="1"/>
    </xf>
    <xf numFmtId="0" fontId="41" fillId="30" borderId="32" xfId="30" applyFont="1" applyFill="1" applyBorder="1" applyAlignment="1">
      <alignment horizontal="center"/>
    </xf>
    <xf numFmtId="169" fontId="36" fillId="27" borderId="1" xfId="30" applyNumberFormat="1" applyFont="1" applyFill="1" applyBorder="1" applyAlignment="1">
      <alignment horizontal="center" vertical="center" wrapText="1"/>
    </xf>
    <xf numFmtId="169" fontId="36" fillId="27" borderId="26" xfId="30" applyNumberFormat="1" applyFont="1" applyFill="1" applyBorder="1" applyAlignment="1">
      <alignment horizontal="center" vertical="center" wrapText="1"/>
    </xf>
    <xf numFmtId="169" fontId="36" fillId="27" borderId="1" xfId="30" applyNumberFormat="1" applyFont="1" applyFill="1" applyBorder="1" applyAlignment="1">
      <alignment horizontal="center" vertical="center"/>
    </xf>
    <xf numFmtId="0" fontId="39" fillId="29" borderId="1" xfId="30" applyFont="1" applyFill="1" applyBorder="1" applyAlignment="1">
      <alignment horizontal="center" vertical="center"/>
    </xf>
    <xf numFmtId="169" fontId="36" fillId="27" borderId="2" xfId="30" applyNumberFormat="1" applyFont="1" applyFill="1" applyBorder="1" applyAlignment="1">
      <alignment horizontal="center" vertical="center" wrapText="1"/>
    </xf>
    <xf numFmtId="169" fontId="36" fillId="27" borderId="27" xfId="30" applyNumberFormat="1" applyFont="1" applyFill="1" applyBorder="1" applyAlignment="1">
      <alignment horizontal="center" vertical="center" wrapText="1"/>
    </xf>
    <xf numFmtId="0" fontId="36" fillId="27" borderId="1" xfId="30" applyFont="1" applyFill="1" applyBorder="1" applyAlignment="1">
      <alignment horizontal="center" vertical="center"/>
    </xf>
    <xf numFmtId="0" fontId="36" fillId="27" borderId="1" xfId="30" applyFont="1" applyFill="1" applyBorder="1" applyAlignment="1">
      <alignment horizontal="center" vertical="center" wrapText="1"/>
    </xf>
    <xf numFmtId="0" fontId="37" fillId="28" borderId="1" xfId="30" applyFont="1" applyFill="1" applyBorder="1" applyAlignment="1">
      <alignment horizontal="center" vertical="center"/>
    </xf>
    <xf numFmtId="0" fontId="37" fillId="27" borderId="2" xfId="30" applyFont="1" applyFill="1" applyBorder="1" applyAlignment="1">
      <alignment horizontal="center" vertical="center" wrapText="1"/>
    </xf>
    <xf numFmtId="0" fontId="37" fillId="27" borderId="3" xfId="30" applyFont="1" applyFill="1" applyBorder="1" applyAlignment="1">
      <alignment horizontal="center" vertical="center" wrapText="1"/>
    </xf>
    <xf numFmtId="0" fontId="37" fillId="27" borderId="27" xfId="30" applyFont="1" applyFill="1" applyBorder="1" applyAlignment="1">
      <alignment horizontal="center" vertical="center" wrapText="1"/>
    </xf>
    <xf numFmtId="0" fontId="38" fillId="27" borderId="5" xfId="30" applyFont="1" applyFill="1" applyBorder="1" applyAlignment="1">
      <alignment horizontal="center" vertical="center" wrapText="1"/>
    </xf>
    <xf numFmtId="0" fontId="38" fillId="27" borderId="7" xfId="30" applyFont="1" applyFill="1" applyBorder="1" applyAlignment="1">
      <alignment horizontal="center" vertical="center" wrapText="1"/>
    </xf>
    <xf numFmtId="0" fontId="38" fillId="29" borderId="5" xfId="30" applyFont="1" applyFill="1" applyBorder="1" applyAlignment="1">
      <alignment horizontal="center" vertical="center" wrapText="1"/>
    </xf>
    <xf numFmtId="0" fontId="38" fillId="29" borderId="7" xfId="30" applyFont="1" applyFill="1" applyBorder="1" applyAlignment="1">
      <alignment horizontal="center" vertical="center" wrapText="1"/>
    </xf>
    <xf numFmtId="0" fontId="36" fillId="27" borderId="26" xfId="30" applyFont="1" applyFill="1" applyBorder="1" applyAlignment="1">
      <alignment horizontal="center" vertical="center" wrapText="1"/>
    </xf>
    <xf numFmtId="0" fontId="36" fillId="27" borderId="26" xfId="30" applyFont="1" applyFill="1" applyBorder="1" applyAlignment="1">
      <alignment horizontal="center" vertical="center"/>
    </xf>
    <xf numFmtId="43" fontId="36" fillId="27" borderId="1" xfId="30" applyNumberFormat="1" applyFont="1" applyFill="1" applyBorder="1" applyAlignment="1">
      <alignment horizontal="center" vertical="center" wrapText="1"/>
    </xf>
    <xf numFmtId="43" fontId="36" fillId="27" borderId="26" xfId="30" applyNumberFormat="1" applyFont="1" applyFill="1" applyBorder="1" applyAlignment="1">
      <alignment horizontal="center" vertical="center" wrapText="1"/>
    </xf>
    <xf numFmtId="169" fontId="36" fillId="27" borderId="26" xfId="30" applyNumberFormat="1" applyFont="1" applyFill="1" applyBorder="1" applyAlignment="1">
      <alignment horizontal="center" vertical="center"/>
    </xf>
    <xf numFmtId="0" fontId="1" fillId="17" borderId="6" xfId="32" applyFont="1" applyFill="1" applyBorder="1" applyAlignment="1">
      <alignment horizontal="center"/>
    </xf>
    <xf numFmtId="0" fontId="1" fillId="17" borderId="7" xfId="32" applyFont="1" applyFill="1" applyBorder="1" applyAlignment="1">
      <alignment horizontal="center"/>
    </xf>
    <xf numFmtId="0" fontId="1" fillId="17" borderId="1" xfId="32" applyFont="1" applyFill="1" applyBorder="1" applyAlignment="1">
      <alignment horizontal="center" vertical="center"/>
    </xf>
    <xf numFmtId="0" fontId="1" fillId="17" borderId="5" xfId="32" applyFont="1" applyFill="1" applyBorder="1" applyAlignment="1">
      <alignment horizontal="center" vertical="center" wrapText="1"/>
    </xf>
    <xf numFmtId="0" fontId="1" fillId="17" borderId="7" xfId="32" applyFont="1" applyFill="1" applyBorder="1" applyAlignment="1">
      <alignment horizontal="center" vertical="center" wrapText="1"/>
    </xf>
    <xf numFmtId="0" fontId="1" fillId="17" borderId="1" xfId="32" applyFont="1" applyFill="1" applyBorder="1" applyAlignment="1">
      <alignment horizontal="center" vertical="center" wrapText="1"/>
    </xf>
    <xf numFmtId="0" fontId="1" fillId="17" borderId="2" xfId="32" applyFont="1" applyFill="1" applyBorder="1" applyAlignment="1">
      <alignment horizontal="center" vertical="center" wrapText="1"/>
    </xf>
    <xf numFmtId="0" fontId="1" fillId="17" borderId="4" xfId="32" applyFont="1" applyFill="1" applyBorder="1" applyAlignment="1">
      <alignment horizontal="center" vertical="center" wrapText="1"/>
    </xf>
    <xf numFmtId="0" fontId="4" fillId="0" borderId="1" xfId="32" applyBorder="1" applyAlignment="1">
      <alignment horizontal="center"/>
    </xf>
    <xf numFmtId="0" fontId="46" fillId="0" borderId="8" xfId="32" applyFont="1" applyBorder="1" applyAlignment="1">
      <alignment horizontal="center" vertical="center" wrapText="1"/>
    </xf>
    <xf numFmtId="0" fontId="46" fillId="0" borderId="24" xfId="32" applyFont="1" applyBorder="1" applyAlignment="1">
      <alignment horizontal="center" vertical="center" wrapText="1"/>
    </xf>
    <xf numFmtId="0" fontId="46" fillId="0" borderId="23" xfId="32" applyFont="1" applyBorder="1" applyAlignment="1">
      <alignment horizontal="center" vertical="center" wrapText="1"/>
    </xf>
    <xf numFmtId="0" fontId="46" fillId="0" borderId="20" xfId="32" applyFont="1" applyBorder="1" applyAlignment="1">
      <alignment horizontal="center" vertical="center" wrapText="1"/>
    </xf>
    <xf numFmtId="0" fontId="46" fillId="0" borderId="0" xfId="32" applyFont="1" applyAlignment="1">
      <alignment horizontal="center" vertical="center" wrapText="1"/>
    </xf>
    <xf numFmtId="0" fontId="46" fillId="0" borderId="34" xfId="32" applyFont="1" applyBorder="1" applyAlignment="1">
      <alignment horizontal="center" vertical="center" wrapText="1"/>
    </xf>
    <xf numFmtId="0" fontId="46" fillId="0" borderId="12" xfId="32" applyFont="1" applyBorder="1" applyAlignment="1">
      <alignment horizontal="center" vertical="center" wrapText="1"/>
    </xf>
    <xf numFmtId="0" fontId="46" fillId="0" borderId="13" xfId="32" applyFont="1" applyBorder="1" applyAlignment="1">
      <alignment horizontal="center" vertical="center" wrapText="1"/>
    </xf>
    <xf numFmtId="0" fontId="46" fillId="0" borderId="25" xfId="32" applyFont="1" applyBorder="1" applyAlignment="1">
      <alignment horizontal="center" vertical="center" wrapText="1"/>
    </xf>
    <xf numFmtId="0" fontId="47" fillId="0" borderId="1" xfId="32" applyFont="1" applyBorder="1" applyAlignment="1">
      <alignment horizontal="left" vertical="center" wrapText="1"/>
    </xf>
    <xf numFmtId="17" fontId="47" fillId="0" borderId="1" xfId="32" applyNumberFormat="1" applyFont="1" applyBorder="1" applyAlignment="1">
      <alignment horizontal="left" vertical="center" wrapText="1"/>
    </xf>
    <xf numFmtId="15" fontId="47" fillId="0" borderId="1" xfId="32" applyNumberFormat="1" applyFont="1" applyBorder="1" applyAlignment="1">
      <alignment horizontal="left" vertical="center" wrapText="1"/>
    </xf>
    <xf numFmtId="0" fontId="1" fillId="20" borderId="1" xfId="21" applyFont="1" applyFill="1" applyBorder="1" applyAlignment="1">
      <alignment horizontal="center" vertical="center" wrapText="1"/>
    </xf>
    <xf numFmtId="0" fontId="1" fillId="19" borderId="1" xfId="21" applyFont="1" applyFill="1" applyBorder="1" applyAlignment="1">
      <alignment horizontal="center" vertical="center" wrapText="1"/>
    </xf>
    <xf numFmtId="0" fontId="1" fillId="19" borderId="5" xfId="21" applyFont="1" applyFill="1" applyBorder="1" applyAlignment="1">
      <alignment horizontal="center" vertical="center"/>
    </xf>
    <xf numFmtId="0" fontId="1" fillId="19" borderId="6" xfId="21" applyFont="1" applyFill="1" applyBorder="1" applyAlignment="1">
      <alignment horizontal="center" vertical="center"/>
    </xf>
    <xf numFmtId="0" fontId="1" fillId="19" borderId="7" xfId="21" applyFont="1" applyFill="1" applyBorder="1" applyAlignment="1">
      <alignment horizontal="center" vertical="center"/>
    </xf>
    <xf numFmtId="0" fontId="2" fillId="0" borderId="0" xfId="21" applyFont="1" applyAlignment="1">
      <alignment horizontal="center" vertical="center"/>
    </xf>
    <xf numFmtId="0" fontId="1" fillId="19" borderId="3" xfId="21" applyFont="1" applyFill="1" applyBorder="1" applyAlignment="1">
      <alignment horizontal="center" vertical="center"/>
    </xf>
    <xf numFmtId="0" fontId="1" fillId="19" borderId="4" xfId="21" applyFont="1" applyFill="1" applyBorder="1" applyAlignment="1">
      <alignment horizontal="center" vertical="center"/>
    </xf>
    <xf numFmtId="0" fontId="1" fillId="20" borderId="3" xfId="21" applyFont="1" applyFill="1" applyBorder="1" applyAlignment="1">
      <alignment horizontal="center" vertical="center" wrapText="1"/>
    </xf>
    <xf numFmtId="0" fontId="1" fillId="20" borderId="4" xfId="21" applyFont="1" applyFill="1" applyBorder="1" applyAlignment="1">
      <alignment horizontal="center" vertical="center" wrapText="1"/>
    </xf>
    <xf numFmtId="0" fontId="49" fillId="0" borderId="0" xfId="30" applyFont="1" applyAlignment="1">
      <alignment horizontal="center" vertical="center"/>
    </xf>
    <xf numFmtId="0" fontId="48" fillId="17" borderId="2" xfId="30" applyFont="1" applyFill="1" applyBorder="1" applyAlignment="1">
      <alignment horizontal="center" vertical="center"/>
    </xf>
    <xf numFmtId="0" fontId="48" fillId="17" borderId="3" xfId="30" applyFont="1" applyFill="1" applyBorder="1" applyAlignment="1">
      <alignment horizontal="center" vertical="center"/>
    </xf>
    <xf numFmtId="0" fontId="48" fillId="17" borderId="4" xfId="30" applyFont="1" applyFill="1" applyBorder="1" applyAlignment="1">
      <alignment horizontal="center" vertical="center"/>
    </xf>
    <xf numFmtId="0" fontId="48" fillId="17" borderId="1" xfId="30" applyFont="1" applyFill="1" applyBorder="1" applyAlignment="1">
      <alignment horizontal="center" vertical="center"/>
    </xf>
    <xf numFmtId="0" fontId="48" fillId="17" borderId="8" xfId="30" applyFont="1" applyFill="1" applyBorder="1" applyAlignment="1">
      <alignment horizontal="center" vertical="center"/>
    </xf>
    <xf numFmtId="0" fontId="48" fillId="17" borderId="24" xfId="30" applyFont="1" applyFill="1" applyBorder="1" applyAlignment="1">
      <alignment horizontal="center" vertical="center"/>
    </xf>
    <xf numFmtId="0" fontId="48" fillId="17" borderId="23" xfId="30" applyFont="1" applyFill="1" applyBorder="1" applyAlignment="1">
      <alignment horizontal="center" vertical="center"/>
    </xf>
    <xf numFmtId="0" fontId="48" fillId="17" borderId="12" xfId="30" applyFont="1" applyFill="1" applyBorder="1" applyAlignment="1">
      <alignment horizontal="center" vertical="center"/>
    </xf>
    <xf numFmtId="0" fontId="48" fillId="17" borderId="13" xfId="30" applyFont="1" applyFill="1" applyBorder="1" applyAlignment="1">
      <alignment horizontal="center" vertical="center"/>
    </xf>
    <xf numFmtId="0" fontId="48" fillId="17" borderId="25" xfId="30" applyFont="1" applyFill="1" applyBorder="1" applyAlignment="1">
      <alignment horizontal="center" vertical="center"/>
    </xf>
    <xf numFmtId="0" fontId="48" fillId="17" borderId="5" xfId="30" applyFont="1" applyFill="1" applyBorder="1" applyAlignment="1">
      <alignment horizontal="center" vertical="center"/>
    </xf>
    <xf numFmtId="0" fontId="48" fillId="17" borderId="6" xfId="30" applyFont="1" applyFill="1" applyBorder="1" applyAlignment="1">
      <alignment horizontal="center" vertical="center"/>
    </xf>
    <xf numFmtId="0" fontId="48" fillId="17" borderId="7" xfId="30" applyFont="1" applyFill="1" applyBorder="1" applyAlignment="1">
      <alignment horizontal="center" vertical="center"/>
    </xf>
    <xf numFmtId="0" fontId="48" fillId="17" borderId="2" xfId="30" applyFont="1" applyFill="1" applyBorder="1" applyAlignment="1">
      <alignment horizontal="center" vertical="center" wrapText="1"/>
    </xf>
    <xf numFmtId="0" fontId="48" fillId="17" borderId="3" xfId="30" applyFont="1" applyFill="1" applyBorder="1" applyAlignment="1">
      <alignment horizontal="center" vertical="center" wrapText="1"/>
    </xf>
    <xf numFmtId="0" fontId="48" fillId="17" borderId="4" xfId="30" applyFont="1" applyFill="1" applyBorder="1" applyAlignment="1">
      <alignment horizontal="center" vertical="center" wrapText="1"/>
    </xf>
    <xf numFmtId="0" fontId="48" fillId="17" borderId="5" xfId="30" applyFont="1" applyFill="1" applyBorder="1" applyAlignment="1">
      <alignment horizontal="center" vertical="center" wrapText="1"/>
    </xf>
    <xf numFmtId="0" fontId="48" fillId="17" borderId="6" xfId="30" applyFont="1" applyFill="1" applyBorder="1" applyAlignment="1">
      <alignment horizontal="center" vertical="center" wrapText="1"/>
    </xf>
    <xf numFmtId="0" fontId="48" fillId="17" borderId="7" xfId="30" applyFont="1" applyFill="1" applyBorder="1" applyAlignment="1">
      <alignment horizontal="center" vertical="center" wrapText="1"/>
    </xf>
    <xf numFmtId="0" fontId="15" fillId="17" borderId="2" xfId="30" applyFont="1" applyFill="1" applyBorder="1" applyAlignment="1">
      <alignment horizontal="center" vertical="center" wrapText="1"/>
    </xf>
    <xf numFmtId="0" fontId="15" fillId="17" borderId="4" xfId="30" applyFont="1" applyFill="1" applyBorder="1" applyAlignment="1">
      <alignment horizontal="center" vertical="center" wrapText="1"/>
    </xf>
    <xf numFmtId="0" fontId="26" fillId="0" borderId="1" xfId="14" applyFont="1" applyBorder="1" applyAlignment="1">
      <alignment horizontal="center" vertical="center" wrapText="1"/>
    </xf>
    <xf numFmtId="0" fontId="27" fillId="0" borderId="1" xfId="14" applyFont="1" applyBorder="1" applyAlignment="1">
      <alignment horizontal="center" vertical="center" wrapText="1"/>
    </xf>
    <xf numFmtId="0" fontId="28" fillId="0" borderId="1" xfId="14" applyFont="1" applyBorder="1" applyAlignment="1">
      <alignment horizontal="left" vertical="center" wrapText="1"/>
    </xf>
    <xf numFmtId="17" fontId="28" fillId="0" borderId="1" xfId="14" applyNumberFormat="1" applyFont="1" applyBorder="1" applyAlignment="1">
      <alignment horizontal="left" vertical="center" wrapText="1"/>
    </xf>
    <xf numFmtId="15" fontId="28" fillId="0" borderId="1" xfId="14" applyNumberFormat="1" applyFont="1" applyBorder="1" applyAlignment="1">
      <alignment horizontal="left" vertical="center" wrapText="1"/>
    </xf>
    <xf numFmtId="0" fontId="30" fillId="25" borderId="1" xfId="14" applyFont="1" applyFill="1" applyBorder="1" applyAlignment="1">
      <alignment horizontal="center"/>
    </xf>
    <xf numFmtId="0" fontId="30" fillId="26" borderId="2" xfId="14" applyFont="1" applyFill="1" applyBorder="1" applyAlignment="1">
      <alignment horizontal="center" vertical="center" wrapText="1"/>
    </xf>
    <xf numFmtId="0" fontId="30" fillId="26" borderId="4" xfId="14" applyFont="1" applyFill="1" applyBorder="1" applyAlignment="1">
      <alignment horizontal="center" vertical="center" wrapText="1"/>
    </xf>
    <xf numFmtId="0" fontId="30" fillId="26" borderId="5" xfId="14" applyFont="1" applyFill="1" applyBorder="1" applyAlignment="1">
      <alignment horizontal="center" vertical="center" wrapText="1"/>
    </xf>
    <xf numFmtId="0" fontId="30" fillId="26" borderId="7" xfId="14" applyFont="1" applyFill="1" applyBorder="1" applyAlignment="1">
      <alignment horizontal="center" vertical="center" wrapText="1"/>
    </xf>
    <xf numFmtId="0" fontId="11" fillId="9" borderId="1" xfId="14" applyFont="1" applyFill="1" applyBorder="1" applyAlignment="1">
      <alignment horizontal="center" vertical="center"/>
    </xf>
    <xf numFmtId="0" fontId="1" fillId="3" borderId="1" xfId="14" applyFont="1" applyFill="1" applyBorder="1" applyAlignment="1">
      <alignment horizontal="center" vertical="center"/>
    </xf>
    <xf numFmtId="0" fontId="1" fillId="5" borderId="1" xfId="14" applyFont="1" applyFill="1" applyBorder="1" applyAlignment="1">
      <alignment horizontal="center" vertical="center"/>
    </xf>
    <xf numFmtId="0" fontId="15" fillId="3" borderId="1" xfId="14" applyFont="1" applyFill="1" applyBorder="1" applyAlignment="1">
      <alignment horizontal="center" vertical="center" wrapText="1"/>
    </xf>
    <xf numFmtId="0" fontId="19" fillId="0" borderId="0" xfId="14" applyFont="1" applyAlignment="1">
      <alignment horizontal="center" vertical="center"/>
    </xf>
    <xf numFmtId="0" fontId="15" fillId="0" borderId="1" xfId="14" applyFont="1" applyBorder="1" applyAlignment="1">
      <alignment horizontal="center" vertical="center"/>
    </xf>
    <xf numFmtId="0" fontId="15" fillId="0" borderId="2" xfId="14" applyFont="1" applyBorder="1" applyAlignment="1">
      <alignment horizontal="center" vertical="center"/>
    </xf>
    <xf numFmtId="0" fontId="15" fillId="0" borderId="3" xfId="14" applyFont="1" applyBorder="1" applyAlignment="1">
      <alignment horizontal="center" vertical="center"/>
    </xf>
    <xf numFmtId="0" fontId="15" fillId="0" borderId="4" xfId="14" applyFont="1" applyBorder="1" applyAlignment="1">
      <alignment horizontal="center" vertical="center"/>
    </xf>
    <xf numFmtId="0" fontId="15" fillId="0" borderId="2" xfId="14" applyFont="1" applyBorder="1" applyAlignment="1">
      <alignment horizontal="center" vertical="center" wrapText="1"/>
    </xf>
    <xf numFmtId="0" fontId="15" fillId="0" borderId="3" xfId="14" applyFont="1" applyBorder="1" applyAlignment="1">
      <alignment horizontal="center" vertical="center" wrapText="1"/>
    </xf>
    <xf numFmtId="0" fontId="15" fillId="0" borderId="4" xfId="14" applyFont="1" applyBorder="1" applyAlignment="1">
      <alignment horizontal="center" vertical="center" wrapText="1"/>
    </xf>
    <xf numFmtId="0" fontId="15" fillId="0" borderId="8" xfId="14" applyFont="1" applyBorder="1" applyAlignment="1">
      <alignment horizontal="center" vertical="center" wrapText="1"/>
    </xf>
    <xf numFmtId="0" fontId="15" fillId="0" borderId="23" xfId="14" applyFont="1" applyBorder="1" applyAlignment="1">
      <alignment horizontal="center" vertical="center" wrapText="1"/>
    </xf>
    <xf numFmtId="0" fontId="15" fillId="0" borderId="12" xfId="14" applyFont="1" applyBorder="1" applyAlignment="1">
      <alignment horizontal="center" vertical="center" wrapText="1"/>
    </xf>
    <xf numFmtId="0" fontId="15" fillId="0" borderId="25" xfId="14" applyFont="1" applyBorder="1" applyAlignment="1">
      <alignment horizontal="center" vertical="center" wrapText="1"/>
    </xf>
    <xf numFmtId="0" fontId="15" fillId="0" borderId="24" xfId="14" applyFont="1" applyBorder="1" applyAlignment="1">
      <alignment horizontal="center" vertical="center" wrapText="1"/>
    </xf>
    <xf numFmtId="0" fontId="15" fillId="0" borderId="13" xfId="14" applyFont="1" applyBorder="1" applyAlignment="1">
      <alignment horizontal="center" vertical="center" wrapText="1"/>
    </xf>
    <xf numFmtId="0" fontId="20" fillId="3" borderId="8" xfId="14" applyFont="1" applyFill="1" applyBorder="1" applyAlignment="1">
      <alignment horizontal="center" vertical="center" wrapText="1"/>
    </xf>
    <xf numFmtId="0" fontId="20" fillId="3" borderId="24" xfId="14" applyFont="1" applyFill="1" applyBorder="1" applyAlignment="1">
      <alignment horizontal="center" vertical="center" wrapText="1"/>
    </xf>
    <xf numFmtId="0" fontId="20" fillId="3" borderId="23" xfId="14" applyFont="1" applyFill="1" applyBorder="1" applyAlignment="1">
      <alignment horizontal="center" vertical="center" wrapText="1"/>
    </xf>
    <xf numFmtId="0" fontId="20" fillId="3" borderId="12" xfId="14" applyFont="1" applyFill="1" applyBorder="1" applyAlignment="1">
      <alignment horizontal="center" vertical="center" wrapText="1"/>
    </xf>
    <xf numFmtId="0" fontId="20" fillId="3" borderId="13" xfId="14" applyFont="1" applyFill="1" applyBorder="1" applyAlignment="1">
      <alignment horizontal="center" vertical="center" wrapText="1"/>
    </xf>
    <xf numFmtId="0" fontId="20" fillId="3" borderId="25" xfId="14" applyFont="1" applyFill="1" applyBorder="1" applyAlignment="1">
      <alignment horizontal="center" vertical="center" wrapText="1"/>
    </xf>
    <xf numFmtId="0" fontId="15" fillId="0" borderId="1" xfId="14" applyFont="1" applyBorder="1" applyAlignment="1">
      <alignment horizontal="center" vertical="center" wrapText="1"/>
    </xf>
    <xf numFmtId="169" fontId="52" fillId="9" borderId="1" xfId="35" applyNumberFormat="1" applyFont="1" applyFill="1" applyBorder="1" applyAlignment="1">
      <alignment horizontal="center" vertical="center"/>
    </xf>
    <xf numFmtId="169" fontId="52" fillId="9" borderId="12" xfId="35" applyNumberFormat="1" applyFont="1" applyFill="1" applyBorder="1" applyAlignment="1">
      <alignment horizontal="center" vertical="center"/>
    </xf>
    <xf numFmtId="169" fontId="52" fillId="9" borderId="13" xfId="35" applyNumberFormat="1" applyFont="1" applyFill="1" applyBorder="1" applyAlignment="1">
      <alignment horizontal="center" vertical="center"/>
    </xf>
    <xf numFmtId="0" fontId="51" fillId="4" borderId="0" xfId="34" applyFont="1" applyFill="1" applyAlignment="1">
      <alignment horizontal="center"/>
    </xf>
    <xf numFmtId="0" fontId="52" fillId="9" borderId="1" xfId="34" applyFont="1" applyFill="1" applyBorder="1" applyAlignment="1">
      <alignment horizontal="center" vertical="center"/>
    </xf>
    <xf numFmtId="169" fontId="52" fillId="9" borderId="20" xfId="35" applyNumberFormat="1" applyFont="1" applyFill="1" applyBorder="1" applyAlignment="1">
      <alignment horizontal="center" vertical="center"/>
    </xf>
    <xf numFmtId="169" fontId="52" fillId="9" borderId="0" xfId="35" applyNumberFormat="1" applyFont="1" applyFill="1" applyBorder="1" applyAlignment="1">
      <alignment horizontal="center" vertical="center"/>
    </xf>
    <xf numFmtId="169" fontId="52" fillId="9" borderId="1" xfId="35" applyNumberFormat="1" applyFont="1" applyFill="1" applyBorder="1" applyAlignment="1">
      <alignment horizontal="center" vertical="center" wrapText="1"/>
    </xf>
    <xf numFmtId="169" fontId="52" fillId="9" borderId="1" xfId="35" applyNumberFormat="1" applyFont="1" applyFill="1" applyBorder="1" applyAlignment="1" applyProtection="1">
      <alignment horizontal="center" vertical="center" wrapText="1"/>
    </xf>
    <xf numFmtId="169" fontId="52" fillId="9" borderId="20" xfId="35" applyNumberFormat="1" applyFont="1" applyFill="1" applyBorder="1" applyAlignment="1">
      <alignment horizontal="center" vertical="center" wrapText="1"/>
    </xf>
    <xf numFmtId="169" fontId="52" fillId="9" borderId="12" xfId="35" applyNumberFormat="1" applyFont="1" applyFill="1" applyBorder="1" applyAlignment="1">
      <alignment horizontal="center" vertical="center" wrapText="1"/>
    </xf>
    <xf numFmtId="43" fontId="8" fillId="9" borderId="17" xfId="7" applyFont="1" applyFill="1" applyBorder="1" applyAlignment="1" applyProtection="1">
      <alignment horizontal="center" vertical="center"/>
      <protection locked="0"/>
    </xf>
    <xf numFmtId="0" fontId="6" fillId="10" borderId="1" xfId="9" applyFont="1" applyFill="1" applyBorder="1" applyAlignment="1" applyProtection="1">
      <alignment horizontal="center" vertical="center" wrapText="1"/>
      <protection locked="0"/>
    </xf>
    <xf numFmtId="0" fontId="8" fillId="9" borderId="15" xfId="6" applyFont="1" applyFill="1" applyBorder="1" applyAlignment="1" applyProtection="1">
      <alignment horizontal="center" vertical="center" wrapText="1"/>
      <protection locked="0"/>
    </xf>
    <xf numFmtId="0" fontId="8" fillId="9" borderId="17" xfId="6" applyFont="1" applyFill="1" applyBorder="1" applyAlignment="1" applyProtection="1">
      <alignment horizontal="center" vertical="center" wrapText="1"/>
      <protection locked="0"/>
    </xf>
    <xf numFmtId="0" fontId="8" fillId="9" borderId="19" xfId="6" applyFont="1" applyFill="1" applyBorder="1" applyAlignment="1" applyProtection="1">
      <alignment horizontal="center" vertical="center" wrapText="1"/>
      <protection locked="0"/>
    </xf>
    <xf numFmtId="0" fontId="8" fillId="9" borderId="15" xfId="6" applyFont="1" applyFill="1" applyBorder="1" applyAlignment="1" applyProtection="1">
      <alignment horizontal="center" vertical="center"/>
      <protection locked="0"/>
    </xf>
    <xf numFmtId="0" fontId="8" fillId="9" borderId="17" xfId="6" applyFont="1" applyFill="1" applyBorder="1" applyAlignment="1" applyProtection="1">
      <alignment horizontal="center" vertical="center"/>
      <protection locked="0"/>
    </xf>
    <xf numFmtId="0" fontId="8" fillId="9" borderId="19" xfId="6" applyFont="1" applyFill="1" applyBorder="1" applyAlignment="1" applyProtection="1">
      <alignment horizontal="center" vertical="center"/>
      <protection locked="0"/>
    </xf>
    <xf numFmtId="43" fontId="8" fillId="9" borderId="15" xfId="7" applyFont="1" applyFill="1" applyBorder="1" applyAlignment="1" applyProtection="1">
      <alignment horizontal="center" vertical="center"/>
      <protection locked="0"/>
    </xf>
    <xf numFmtId="0" fontId="6" fillId="11" borderId="1" xfId="5" applyFont="1" applyFill="1" applyBorder="1" applyAlignment="1" applyProtection="1">
      <alignment horizontal="center"/>
      <protection locked="0"/>
    </xf>
    <xf numFmtId="0" fontId="6" fillId="0" borderId="3" xfId="5" applyFont="1" applyBorder="1" applyAlignment="1" applyProtection="1">
      <alignment horizontal="center" vertical="center" wrapText="1"/>
      <protection hidden="1"/>
    </xf>
    <xf numFmtId="0" fontId="8" fillId="9" borderId="14" xfId="6" applyFont="1" applyFill="1" applyBorder="1" applyAlignment="1" applyProtection="1">
      <alignment horizontal="center" vertical="center" wrapText="1"/>
      <protection locked="0"/>
    </xf>
    <xf numFmtId="0" fontId="8" fillId="9" borderId="16" xfId="6" applyFont="1" applyFill="1" applyBorder="1" applyAlignment="1" applyProtection="1">
      <alignment horizontal="center" vertical="center" wrapText="1"/>
      <protection locked="0"/>
    </xf>
    <xf numFmtId="0" fontId="8" fillId="9" borderId="18" xfId="6" applyFont="1" applyFill="1" applyBorder="1" applyAlignment="1" applyProtection="1">
      <alignment horizontal="center" vertical="center" wrapText="1"/>
      <protection locked="0"/>
    </xf>
  </cellXfs>
  <cellStyles count="37">
    <cellStyle name="Comma" xfId="1" builtinId="3"/>
    <cellStyle name="Comma [0]" xfId="2" builtinId="6"/>
    <cellStyle name="Comma [0] 14 2" xfId="24" xr:uid="{00000000-0005-0000-0000-000002000000}"/>
    <cellStyle name="Comma [0] 2" xfId="25" xr:uid="{00000000-0005-0000-0000-000003000000}"/>
    <cellStyle name="Comma [0] 2 2" xfId="19" xr:uid="{00000000-0005-0000-0000-000004000000}"/>
    <cellStyle name="Comma [0] 4" xfId="31" xr:uid="{00000000-0005-0000-0000-000005000000}"/>
    <cellStyle name="Comma [0] 41" xfId="4" xr:uid="{00000000-0005-0000-0000-000006000000}"/>
    <cellStyle name="Comma 10 10 2 6" xfId="29" xr:uid="{00000000-0005-0000-0000-000007000000}"/>
    <cellStyle name="Comma 153" xfId="7" xr:uid="{00000000-0005-0000-0000-000008000000}"/>
    <cellStyle name="Comma 2" xfId="3" xr:uid="{00000000-0005-0000-0000-000009000000}"/>
    <cellStyle name="Comma 2 10" xfId="11" xr:uid="{00000000-0005-0000-0000-00000A000000}"/>
    <cellStyle name="Comma 2 2" xfId="17" xr:uid="{00000000-0005-0000-0000-00000B000000}"/>
    <cellStyle name="Comma 2 3 3" xfId="10" xr:uid="{00000000-0005-0000-0000-00000C000000}"/>
    <cellStyle name="Comma 22" xfId="13" xr:uid="{00000000-0005-0000-0000-00000D000000}"/>
    <cellStyle name="Comma 4" xfId="23" xr:uid="{00000000-0005-0000-0000-00000E000000}"/>
    <cellStyle name="Comma 4 2" xfId="27" xr:uid="{00000000-0005-0000-0000-00000F000000}"/>
    <cellStyle name="Comma 4 2 2" xfId="33" xr:uid="{00000000-0005-0000-0000-000010000000}"/>
    <cellStyle name="Comma 4 3" xfId="35" xr:uid="{00000000-0005-0000-0000-000011000000}"/>
    <cellStyle name="Comma 5" xfId="28" xr:uid="{00000000-0005-0000-0000-000012000000}"/>
    <cellStyle name="Comma 6" xfId="36" xr:uid="{00000000-0005-0000-0000-000013000000}"/>
    <cellStyle name="Normal" xfId="0" builtinId="0"/>
    <cellStyle name="Normal 10 5" xfId="6" xr:uid="{00000000-0005-0000-0000-000015000000}"/>
    <cellStyle name="Normal 2" xfId="16" xr:uid="{00000000-0005-0000-0000-000016000000}"/>
    <cellStyle name="Normal 2 2" xfId="18" xr:uid="{00000000-0005-0000-0000-000017000000}"/>
    <cellStyle name="Normal 2 2 2" xfId="21" xr:uid="{00000000-0005-0000-0000-000018000000}"/>
    <cellStyle name="Normal 2_Revisi Form Progress Report Perawatan, Pemupukan dan LC Tanam" xfId="8" xr:uid="{00000000-0005-0000-0000-000019000000}"/>
    <cellStyle name="Normal 3" xfId="15" xr:uid="{00000000-0005-0000-0000-00001A000000}"/>
    <cellStyle name="Normal 4" xfId="20" xr:uid="{00000000-0005-0000-0000-00001B000000}"/>
    <cellStyle name="Normal 4 2" xfId="26" xr:uid="{00000000-0005-0000-0000-00001C000000}"/>
    <cellStyle name="Normal 4 3" xfId="34" xr:uid="{00000000-0005-0000-0000-00001D000000}"/>
    <cellStyle name="Normal 5" xfId="14" xr:uid="{00000000-0005-0000-0000-00001E000000}"/>
    <cellStyle name="Normal 5 3" xfId="32" xr:uid="{00000000-0005-0000-0000-00001F000000}"/>
    <cellStyle name="Normal 6" xfId="30" xr:uid="{00000000-0005-0000-0000-000020000000}"/>
    <cellStyle name="Normal 93" xfId="5" xr:uid="{00000000-0005-0000-0000-000021000000}"/>
    <cellStyle name="Normal_PROD-D~1" xfId="12" xr:uid="{00000000-0005-0000-0000-000022000000}"/>
    <cellStyle name="Normal_Progres Mei 2009 PT. CLP" xfId="9" xr:uid="{00000000-0005-0000-0000-000023000000}"/>
    <cellStyle name="Percent 2" xfId="22" xr:uid="{00000000-0005-0000-0000-000024000000}"/>
  </cellStyles>
  <dxfs count="28">
    <dxf>
      <fill>
        <patternFill>
          <bgColor theme="3" tint="0.7999816888943144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</xdr:colOff>
      <xdr:row>0</xdr:row>
      <xdr:rowOff>76200</xdr:rowOff>
    </xdr:from>
    <xdr:ext cx="396274" cy="581076"/>
    <xdr:pic>
      <xdr:nvPicPr>
        <xdr:cNvPr id="2" name="Picture 1">
          <a:extLst>
            <a:ext uri="{FF2B5EF4-FFF2-40B4-BE49-F238E27FC236}">
              <a16:creationId xmlns:a16="http://schemas.microsoft.com/office/drawing/2014/main" id="{4A30136C-7BC3-41EC-A4E1-D380AAFC2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76200"/>
          <a:ext cx="396274" cy="58107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Kerja/PSA/Bahan%20Meeting%20Mingguan/Askep%20B/ULAT%20API%20AFD%205%20(4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HP/Downloads/Data%20TBM%20asst%20(1)(1)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lat Api"/>
    </sheetNames>
    <sheetDataSet>
      <sheetData sheetId="0">
        <row r="11">
          <cell r="C11" t="str">
            <v>I20</v>
          </cell>
          <cell r="D11" t="str">
            <v>1997</v>
          </cell>
          <cell r="E11">
            <v>4398</v>
          </cell>
          <cell r="F11">
            <v>33.049999999999997</v>
          </cell>
          <cell r="G11">
            <v>133.071104387292</v>
          </cell>
          <cell r="H11">
            <v>33.049999999999997</v>
          </cell>
          <cell r="I11">
            <v>46164</v>
          </cell>
          <cell r="J11">
            <v>22</v>
          </cell>
          <cell r="K11">
            <v>85</v>
          </cell>
          <cell r="L11">
            <v>0</v>
          </cell>
          <cell r="M11">
            <v>0</v>
          </cell>
          <cell r="N11">
            <v>85</v>
          </cell>
          <cell r="O11">
            <v>3.8636363636363638</v>
          </cell>
          <cell r="P11">
            <v>8</v>
          </cell>
          <cell r="Q11">
            <v>20</v>
          </cell>
          <cell r="R11">
            <v>46172</v>
          </cell>
          <cell r="S11">
            <v>22</v>
          </cell>
          <cell r="T11">
            <v>0</v>
          </cell>
          <cell r="U11">
            <v>0</v>
          </cell>
        </row>
        <row r="12">
          <cell r="C12" t="str">
            <v>I21</v>
          </cell>
          <cell r="D12" t="str">
            <v>1997</v>
          </cell>
          <cell r="E12">
            <v>4193</v>
          </cell>
          <cell r="F12">
            <v>31.59</v>
          </cell>
          <cell r="G12">
            <v>132.73187717632163</v>
          </cell>
          <cell r="H12">
            <v>31.59</v>
          </cell>
          <cell r="I12">
            <v>46164</v>
          </cell>
          <cell r="J12">
            <v>21</v>
          </cell>
          <cell r="K12">
            <v>103</v>
          </cell>
          <cell r="L12">
            <v>0</v>
          </cell>
          <cell r="M12">
            <v>0</v>
          </cell>
          <cell r="N12">
            <v>103</v>
          </cell>
          <cell r="O12">
            <v>4.9047619047619051</v>
          </cell>
          <cell r="P12">
            <v>7.8</v>
          </cell>
          <cell r="Q12">
            <v>20</v>
          </cell>
          <cell r="R12">
            <v>46172</v>
          </cell>
          <cell r="S12">
            <v>21</v>
          </cell>
          <cell r="T12">
            <v>0</v>
          </cell>
          <cell r="U12">
            <v>0</v>
          </cell>
        </row>
        <row r="13">
          <cell r="C13" t="str">
            <v>I22</v>
          </cell>
          <cell r="D13" t="str">
            <v>1997</v>
          </cell>
          <cell r="E13">
            <v>4277</v>
          </cell>
          <cell r="F13">
            <v>32.659999999999997</v>
          </cell>
          <cell r="G13">
            <v>130.95529699938766</v>
          </cell>
          <cell r="H13">
            <v>32.659999999999997</v>
          </cell>
          <cell r="I13">
            <v>46144</v>
          </cell>
          <cell r="J13">
            <v>21</v>
          </cell>
          <cell r="K13">
            <v>111</v>
          </cell>
          <cell r="L13">
            <v>0</v>
          </cell>
          <cell r="M13">
            <v>0</v>
          </cell>
          <cell r="N13">
            <v>111</v>
          </cell>
          <cell r="O13">
            <v>5.2857142857142856</v>
          </cell>
          <cell r="P13">
            <v>8</v>
          </cell>
          <cell r="Q13">
            <v>20</v>
          </cell>
          <cell r="R13">
            <v>46153</v>
          </cell>
          <cell r="S13">
            <v>21</v>
          </cell>
          <cell r="T13">
            <v>0</v>
          </cell>
          <cell r="U13">
            <v>0</v>
          </cell>
        </row>
        <row r="14">
          <cell r="C14" t="str">
            <v>I23</v>
          </cell>
          <cell r="D14" t="str">
            <v>1997</v>
          </cell>
          <cell r="E14">
            <v>3868</v>
          </cell>
          <cell r="F14">
            <v>30.89</v>
          </cell>
          <cell r="G14">
            <v>125.21851731952088</v>
          </cell>
          <cell r="H14">
            <v>30.89</v>
          </cell>
          <cell r="I14">
            <v>46144</v>
          </cell>
          <cell r="J14">
            <v>21</v>
          </cell>
          <cell r="K14">
            <v>134</v>
          </cell>
          <cell r="L14">
            <v>0</v>
          </cell>
          <cell r="M14">
            <v>0</v>
          </cell>
          <cell r="N14">
            <v>134</v>
          </cell>
          <cell r="O14">
            <v>6.3809523809523814</v>
          </cell>
          <cell r="P14">
            <v>7.7</v>
          </cell>
          <cell r="Q14">
            <v>20</v>
          </cell>
          <cell r="R14">
            <v>46153</v>
          </cell>
          <cell r="S14">
            <v>21</v>
          </cell>
          <cell r="T14">
            <v>0</v>
          </cell>
          <cell r="U14">
            <v>0</v>
          </cell>
        </row>
        <row r="15">
          <cell r="C15" t="str">
            <v>I24</v>
          </cell>
          <cell r="D15" t="str">
            <v>1997</v>
          </cell>
          <cell r="E15">
            <v>3941</v>
          </cell>
          <cell r="F15">
            <v>31.54</v>
          </cell>
          <cell r="G15">
            <v>124.95244134432467</v>
          </cell>
          <cell r="H15">
            <v>31.54</v>
          </cell>
          <cell r="I15">
            <v>46164</v>
          </cell>
          <cell r="J15">
            <v>21</v>
          </cell>
          <cell r="K15">
            <v>63</v>
          </cell>
          <cell r="L15">
            <v>0</v>
          </cell>
          <cell r="M15">
            <v>0</v>
          </cell>
          <cell r="N15">
            <v>63</v>
          </cell>
          <cell r="O15">
            <v>3</v>
          </cell>
          <cell r="P15">
            <v>7.8</v>
          </cell>
          <cell r="Q15">
            <v>18</v>
          </cell>
          <cell r="R15">
            <v>46172</v>
          </cell>
          <cell r="S15">
            <v>21</v>
          </cell>
          <cell r="T15">
            <v>0</v>
          </cell>
          <cell r="U15">
            <v>0</v>
          </cell>
        </row>
        <row r="16">
          <cell r="C16" t="str">
            <v>I25</v>
          </cell>
          <cell r="D16" t="str">
            <v>1997</v>
          </cell>
          <cell r="E16">
            <v>3936</v>
          </cell>
          <cell r="F16">
            <v>30.18</v>
          </cell>
          <cell r="G16">
            <v>130.41749502982108</v>
          </cell>
          <cell r="H16">
            <v>30.18</v>
          </cell>
          <cell r="U16">
            <v>0</v>
          </cell>
        </row>
        <row r="17">
          <cell r="C17" t="str">
            <v>I26</v>
          </cell>
          <cell r="D17" t="str">
            <v>1997</v>
          </cell>
          <cell r="E17">
            <v>3887</v>
          </cell>
          <cell r="F17">
            <v>29.83</v>
          </cell>
          <cell r="G17">
            <v>130.30506201810257</v>
          </cell>
          <cell r="H17">
            <v>29.83</v>
          </cell>
          <cell r="U17">
            <v>0</v>
          </cell>
        </row>
        <row r="18">
          <cell r="C18" t="str">
            <v>I27</v>
          </cell>
          <cell r="D18" t="str">
            <v>1997</v>
          </cell>
          <cell r="E18">
            <v>1075</v>
          </cell>
          <cell r="F18">
            <v>9.02</v>
          </cell>
          <cell r="G18">
            <v>119.17960088691797</v>
          </cell>
          <cell r="H18">
            <v>9.02</v>
          </cell>
          <cell r="U18">
            <v>0</v>
          </cell>
        </row>
        <row r="19">
          <cell r="C19" t="str">
            <v>J19</v>
          </cell>
          <cell r="D19" t="str">
            <v>1997</v>
          </cell>
          <cell r="E19">
            <v>3953</v>
          </cell>
          <cell r="F19">
            <v>31.88</v>
          </cell>
          <cell r="G19">
            <v>123.99623588456713</v>
          </cell>
          <cell r="H19">
            <v>31.88</v>
          </cell>
          <cell r="U19">
            <v>0</v>
          </cell>
        </row>
        <row r="20">
          <cell r="C20" t="str">
            <v>J20</v>
          </cell>
          <cell r="D20" t="str">
            <v>1997</v>
          </cell>
          <cell r="E20">
            <v>3677</v>
          </cell>
          <cell r="F20">
            <v>26.81</v>
          </cell>
          <cell r="G20">
            <v>137.15031704587841</v>
          </cell>
          <cell r="H20">
            <v>26.81</v>
          </cell>
          <cell r="I20">
            <v>46165</v>
          </cell>
          <cell r="J20">
            <v>18</v>
          </cell>
          <cell r="K20">
            <v>96</v>
          </cell>
          <cell r="L20">
            <v>0</v>
          </cell>
          <cell r="M20">
            <v>0</v>
          </cell>
          <cell r="N20">
            <v>96</v>
          </cell>
          <cell r="O20">
            <v>5.333333333333333</v>
          </cell>
          <cell r="P20">
            <v>6.7</v>
          </cell>
          <cell r="Q20">
            <v>17</v>
          </cell>
          <cell r="R20">
            <v>46175</v>
          </cell>
          <cell r="T20">
            <v>0</v>
          </cell>
          <cell r="U20">
            <v>0</v>
          </cell>
        </row>
        <row r="21">
          <cell r="C21" t="str">
            <v>J21</v>
          </cell>
          <cell r="D21" t="str">
            <v>1997</v>
          </cell>
          <cell r="E21">
            <v>3696</v>
          </cell>
          <cell r="F21">
            <v>27.6</v>
          </cell>
          <cell r="G21">
            <v>133.91304347826087</v>
          </cell>
          <cell r="H21">
            <v>27.6</v>
          </cell>
          <cell r="I21">
            <v>46165</v>
          </cell>
          <cell r="J21">
            <v>18</v>
          </cell>
          <cell r="K21">
            <v>107</v>
          </cell>
          <cell r="L21">
            <v>0</v>
          </cell>
          <cell r="M21">
            <v>0</v>
          </cell>
          <cell r="N21">
            <v>107</v>
          </cell>
          <cell r="O21">
            <v>5.9444444444444446</v>
          </cell>
          <cell r="P21">
            <v>6.9</v>
          </cell>
          <cell r="Q21">
            <v>17</v>
          </cell>
          <cell r="R21">
            <v>46175</v>
          </cell>
          <cell r="T21">
            <v>0</v>
          </cell>
          <cell r="U21">
            <v>0</v>
          </cell>
        </row>
        <row r="22">
          <cell r="C22" t="str">
            <v>J22</v>
          </cell>
          <cell r="D22" t="str">
            <v>1997</v>
          </cell>
          <cell r="E22">
            <v>3551</v>
          </cell>
          <cell r="F22">
            <v>27.88</v>
          </cell>
          <cell r="G22">
            <v>127.36728837876615</v>
          </cell>
          <cell r="H22">
            <v>27.88</v>
          </cell>
          <cell r="I22">
            <v>46146</v>
          </cell>
          <cell r="J22">
            <v>18</v>
          </cell>
          <cell r="K22">
            <v>126</v>
          </cell>
          <cell r="L22">
            <v>0</v>
          </cell>
          <cell r="M22">
            <v>0</v>
          </cell>
          <cell r="N22">
            <v>126</v>
          </cell>
          <cell r="O22">
            <v>7</v>
          </cell>
          <cell r="P22">
            <v>7</v>
          </cell>
          <cell r="Q22">
            <v>18</v>
          </cell>
          <cell r="R22">
            <v>46155</v>
          </cell>
          <cell r="S22">
            <v>18</v>
          </cell>
          <cell r="T22">
            <v>0</v>
          </cell>
          <cell r="U22">
            <v>0</v>
          </cell>
        </row>
        <row r="23">
          <cell r="C23" t="str">
            <v>J23</v>
          </cell>
          <cell r="D23" t="str">
            <v>1997</v>
          </cell>
          <cell r="E23">
            <v>3696</v>
          </cell>
          <cell r="F23">
            <v>28.2</v>
          </cell>
          <cell r="G23">
            <v>131.06382978723406</v>
          </cell>
          <cell r="H23">
            <v>28.2</v>
          </cell>
          <cell r="I23">
            <v>46146</v>
          </cell>
          <cell r="J23">
            <v>20</v>
          </cell>
          <cell r="K23">
            <v>74</v>
          </cell>
          <cell r="L23">
            <v>0</v>
          </cell>
          <cell r="M23">
            <v>0</v>
          </cell>
          <cell r="N23">
            <v>74</v>
          </cell>
          <cell r="O23">
            <v>3.7</v>
          </cell>
          <cell r="P23">
            <v>7</v>
          </cell>
          <cell r="Q23">
            <v>18.3</v>
          </cell>
          <cell r="R23">
            <v>46155</v>
          </cell>
          <cell r="S23">
            <v>20</v>
          </cell>
          <cell r="T23">
            <v>0</v>
          </cell>
          <cell r="U23">
            <v>0</v>
          </cell>
        </row>
        <row r="24">
          <cell r="C24" t="str">
            <v>J24</v>
          </cell>
          <cell r="D24" t="str">
            <v>1997</v>
          </cell>
          <cell r="E24">
            <v>3709</v>
          </cell>
          <cell r="F24">
            <v>27.98</v>
          </cell>
          <cell r="G24">
            <v>132.55897069335239</v>
          </cell>
          <cell r="H24">
            <v>27.98</v>
          </cell>
          <cell r="I24">
            <v>46160</v>
          </cell>
          <cell r="J24">
            <v>18</v>
          </cell>
          <cell r="K24">
            <v>68</v>
          </cell>
          <cell r="L24">
            <v>0</v>
          </cell>
          <cell r="M24">
            <v>0</v>
          </cell>
          <cell r="N24">
            <v>68</v>
          </cell>
          <cell r="O24">
            <v>3.7777777777777777</v>
          </cell>
          <cell r="P24">
            <v>6.9</v>
          </cell>
          <cell r="Q24">
            <v>20</v>
          </cell>
          <cell r="R24">
            <v>46168</v>
          </cell>
          <cell r="S24">
            <v>18</v>
          </cell>
          <cell r="T24">
            <v>0</v>
          </cell>
          <cell r="U24">
            <v>0</v>
          </cell>
        </row>
        <row r="25">
          <cell r="C25" t="str">
            <v>J25</v>
          </cell>
          <cell r="D25" t="str">
            <v>1997</v>
          </cell>
          <cell r="E25">
            <v>3355</v>
          </cell>
          <cell r="F25">
            <v>26.14</v>
          </cell>
          <cell r="G25">
            <v>128.34736036725326</v>
          </cell>
          <cell r="H25">
            <v>26.14</v>
          </cell>
          <cell r="U25">
            <v>0</v>
          </cell>
        </row>
        <row r="26">
          <cell r="C26" t="str">
            <v>J26</v>
          </cell>
          <cell r="D26" t="str">
            <v>1997</v>
          </cell>
          <cell r="E26">
            <v>1804</v>
          </cell>
          <cell r="F26">
            <v>13.97</v>
          </cell>
          <cell r="G26">
            <v>129.13385826771653</v>
          </cell>
          <cell r="H26">
            <v>13.97</v>
          </cell>
          <cell r="U26">
            <v>0</v>
          </cell>
        </row>
        <row r="27">
          <cell r="C27" t="str">
            <v>K19</v>
          </cell>
          <cell r="D27" t="str">
            <v>1997</v>
          </cell>
          <cell r="E27">
            <v>3927</v>
          </cell>
          <cell r="F27">
            <v>30.07</v>
          </cell>
          <cell r="G27">
            <v>130.59527768540073</v>
          </cell>
          <cell r="H27">
            <v>30.07</v>
          </cell>
          <cell r="U27">
            <v>0</v>
          </cell>
        </row>
        <row r="28">
          <cell r="C28" t="str">
            <v>K20</v>
          </cell>
          <cell r="D28" t="str">
            <v>1997</v>
          </cell>
          <cell r="E28">
            <v>4244</v>
          </cell>
          <cell r="F28">
            <v>31.77</v>
          </cell>
          <cell r="G28">
            <v>133.58514321687127</v>
          </cell>
          <cell r="H28">
            <v>31.77</v>
          </cell>
          <cell r="U28">
            <v>0</v>
          </cell>
        </row>
        <row r="29">
          <cell r="C29" t="str">
            <v>K21</v>
          </cell>
          <cell r="D29" t="str">
            <v>1997</v>
          </cell>
          <cell r="E29">
            <v>3704</v>
          </cell>
          <cell r="F29">
            <v>27.92</v>
          </cell>
          <cell r="G29">
            <v>132.66475644699139</v>
          </cell>
          <cell r="H29">
            <v>27.92</v>
          </cell>
          <cell r="U29">
            <v>0</v>
          </cell>
        </row>
        <row r="30">
          <cell r="C30" t="str">
            <v>K22</v>
          </cell>
          <cell r="D30" t="str">
            <v>1997</v>
          </cell>
          <cell r="E30">
            <v>3969</v>
          </cell>
          <cell r="F30">
            <v>29.41</v>
          </cell>
          <cell r="G30">
            <v>134.95409724583476</v>
          </cell>
          <cell r="H30">
            <v>29.41</v>
          </cell>
          <cell r="I30">
            <v>46147</v>
          </cell>
          <cell r="J30">
            <v>20</v>
          </cell>
          <cell r="K30">
            <v>81</v>
          </cell>
          <cell r="L30">
            <v>0</v>
          </cell>
          <cell r="M30">
            <v>0</v>
          </cell>
          <cell r="N30">
            <v>81</v>
          </cell>
          <cell r="O30">
            <v>4.05</v>
          </cell>
          <cell r="P30">
            <v>7.4</v>
          </cell>
          <cell r="Q30">
            <v>19</v>
          </cell>
          <cell r="R30">
            <v>46156</v>
          </cell>
          <cell r="S30">
            <v>20</v>
          </cell>
          <cell r="T30">
            <v>0</v>
          </cell>
          <cell r="U30">
            <v>0</v>
          </cell>
        </row>
        <row r="31">
          <cell r="C31" t="str">
            <v>K23</v>
          </cell>
          <cell r="D31" t="str">
            <v>1997</v>
          </cell>
          <cell r="E31">
            <v>3940</v>
          </cell>
          <cell r="F31">
            <v>29.67</v>
          </cell>
          <cell r="G31">
            <v>132.79406808223794</v>
          </cell>
          <cell r="H31">
            <v>29.67</v>
          </cell>
          <cell r="I31">
            <v>46147</v>
          </cell>
          <cell r="J31">
            <v>20</v>
          </cell>
          <cell r="K31">
            <v>77</v>
          </cell>
          <cell r="L31">
            <v>0</v>
          </cell>
          <cell r="M31">
            <v>0</v>
          </cell>
          <cell r="N31">
            <v>77</v>
          </cell>
          <cell r="O31">
            <v>3.85</v>
          </cell>
          <cell r="P31">
            <v>7.5</v>
          </cell>
          <cell r="Q31">
            <v>19</v>
          </cell>
          <cell r="R31">
            <v>46156</v>
          </cell>
          <cell r="S31">
            <v>20</v>
          </cell>
          <cell r="T31">
            <v>0</v>
          </cell>
          <cell r="U31">
            <v>0</v>
          </cell>
        </row>
        <row r="32">
          <cell r="C32" t="str">
            <v>K24</v>
          </cell>
          <cell r="D32" t="str">
            <v>1997</v>
          </cell>
          <cell r="E32">
            <v>4022</v>
          </cell>
          <cell r="F32">
            <v>28.73</v>
          </cell>
          <cell r="G32">
            <v>139.99303863557256</v>
          </cell>
          <cell r="H32">
            <v>28.73</v>
          </cell>
          <cell r="I32">
            <v>46160</v>
          </cell>
          <cell r="J32">
            <v>20</v>
          </cell>
          <cell r="K32">
            <v>93</v>
          </cell>
          <cell r="L32">
            <v>0</v>
          </cell>
          <cell r="M32">
            <v>0</v>
          </cell>
          <cell r="N32">
            <v>93</v>
          </cell>
          <cell r="O32">
            <v>4.6500000000000004</v>
          </cell>
          <cell r="P32">
            <v>7</v>
          </cell>
          <cell r="Q32">
            <v>18</v>
          </cell>
          <cell r="R32">
            <v>46168</v>
          </cell>
          <cell r="S32">
            <v>20</v>
          </cell>
          <cell r="T32">
            <v>0</v>
          </cell>
          <cell r="U32">
            <v>0</v>
          </cell>
        </row>
        <row r="33">
          <cell r="C33" t="str">
            <v>K25</v>
          </cell>
          <cell r="D33" t="str">
            <v>1997</v>
          </cell>
          <cell r="E33">
            <v>4266</v>
          </cell>
          <cell r="F33">
            <v>30.67</v>
          </cell>
          <cell r="G33">
            <v>139.09357678513203</v>
          </cell>
          <cell r="H33">
            <v>30.67</v>
          </cell>
        </row>
        <row r="34">
          <cell r="C34" t="str">
            <v>L19</v>
          </cell>
          <cell r="D34" t="str">
            <v>1997</v>
          </cell>
          <cell r="E34">
            <v>3726</v>
          </cell>
          <cell r="F34">
            <v>27.34</v>
          </cell>
          <cell r="G34">
            <v>136.28383321141186</v>
          </cell>
          <cell r="H34">
            <v>27.34</v>
          </cell>
        </row>
        <row r="35">
          <cell r="C35" t="str">
            <v>L20</v>
          </cell>
          <cell r="D35" t="str">
            <v>1997</v>
          </cell>
          <cell r="E35">
            <v>4326</v>
          </cell>
          <cell r="F35">
            <v>32.119999999999997</v>
          </cell>
          <cell r="G35">
            <v>134.68244084682442</v>
          </cell>
          <cell r="H35">
            <v>32.119999999999997</v>
          </cell>
        </row>
        <row r="36">
          <cell r="C36" t="str">
            <v>L21</v>
          </cell>
          <cell r="D36" t="str">
            <v>1997</v>
          </cell>
          <cell r="E36">
            <v>3624</v>
          </cell>
          <cell r="F36">
            <v>27.2</v>
          </cell>
          <cell r="G36">
            <v>133.23529411764707</v>
          </cell>
          <cell r="H36">
            <v>27.2</v>
          </cell>
        </row>
        <row r="37">
          <cell r="C37" t="str">
            <v>L22</v>
          </cell>
          <cell r="D37" t="str">
            <v>1997</v>
          </cell>
          <cell r="E37">
            <v>3837</v>
          </cell>
          <cell r="F37">
            <v>29.91</v>
          </cell>
          <cell r="G37">
            <v>128.28485456369108</v>
          </cell>
          <cell r="H37">
            <v>29.91</v>
          </cell>
        </row>
        <row r="38">
          <cell r="C38" t="str">
            <v>L23</v>
          </cell>
          <cell r="D38" t="str">
            <v>1997</v>
          </cell>
          <cell r="E38">
            <v>3877</v>
          </cell>
          <cell r="F38">
            <v>29.53</v>
          </cell>
          <cell r="G38">
            <v>131.2902133423637</v>
          </cell>
          <cell r="H38">
            <v>29.53</v>
          </cell>
        </row>
        <row r="39">
          <cell r="C39" t="str">
            <v>L24</v>
          </cell>
          <cell r="D39" t="str">
            <v>1997</v>
          </cell>
          <cell r="E39">
            <v>2761</v>
          </cell>
          <cell r="F39">
            <v>21.14</v>
          </cell>
          <cell r="G39">
            <v>130.60548722800377</v>
          </cell>
          <cell r="H39">
            <v>21.14</v>
          </cell>
        </row>
        <row r="40">
          <cell r="C40" t="str">
            <v>L25</v>
          </cell>
          <cell r="D40" t="str">
            <v>1997</v>
          </cell>
          <cell r="E40">
            <v>1219</v>
          </cell>
          <cell r="F40">
            <v>10.68</v>
          </cell>
          <cell r="G40">
            <v>114.13857677902622</v>
          </cell>
          <cell r="H40">
            <v>10.68</v>
          </cell>
        </row>
        <row r="41">
          <cell r="C41" t="str">
            <v>M19</v>
          </cell>
          <cell r="D41" t="str">
            <v>1997</v>
          </cell>
          <cell r="E41">
            <v>3793</v>
          </cell>
          <cell r="F41">
            <v>28.14</v>
          </cell>
          <cell r="G41">
            <v>134.79033404406539</v>
          </cell>
          <cell r="H41">
            <v>28.14</v>
          </cell>
        </row>
        <row r="42">
          <cell r="C42" t="str">
            <v>M20</v>
          </cell>
          <cell r="D42" t="str">
            <v>1997</v>
          </cell>
          <cell r="E42">
            <v>4267</v>
          </cell>
          <cell r="F42">
            <v>31.7</v>
          </cell>
          <cell r="G42">
            <v>134.60567823343848</v>
          </cell>
          <cell r="H42">
            <v>31.7</v>
          </cell>
        </row>
        <row r="43">
          <cell r="C43" t="str">
            <v>M21</v>
          </cell>
          <cell r="D43" t="str">
            <v>1997</v>
          </cell>
          <cell r="E43">
            <v>3462</v>
          </cell>
          <cell r="F43">
            <v>25.73</v>
          </cell>
          <cell r="G43">
            <v>134.55110765643218</v>
          </cell>
          <cell r="H43">
            <v>25.73</v>
          </cell>
        </row>
        <row r="44">
          <cell r="C44" t="str">
            <v>M23</v>
          </cell>
          <cell r="D44" t="str">
            <v>1997</v>
          </cell>
          <cell r="E44">
            <v>3439</v>
          </cell>
          <cell r="F44">
            <v>26.37</v>
          </cell>
          <cell r="G44">
            <v>130.41334850208571</v>
          </cell>
          <cell r="H44">
            <v>26.37</v>
          </cell>
        </row>
        <row r="45">
          <cell r="C45" t="str">
            <v>M24</v>
          </cell>
          <cell r="D45" t="str">
            <v>1997</v>
          </cell>
          <cell r="E45">
            <v>1922</v>
          </cell>
          <cell r="F45">
            <v>15.17</v>
          </cell>
          <cell r="G45">
            <v>126.69742913645352</v>
          </cell>
          <cell r="H45">
            <v>15.17</v>
          </cell>
        </row>
        <row r="46">
          <cell r="C46" t="str">
            <v>N19</v>
          </cell>
          <cell r="D46" t="str">
            <v>1997</v>
          </cell>
          <cell r="E46">
            <v>3592</v>
          </cell>
          <cell r="F46">
            <v>26.08</v>
          </cell>
          <cell r="G46">
            <v>137.73006134969327</v>
          </cell>
          <cell r="H46">
            <v>26.08</v>
          </cell>
        </row>
        <row r="47">
          <cell r="C47" t="str">
            <v>N20</v>
          </cell>
          <cell r="D47" t="str">
            <v>1997</v>
          </cell>
          <cell r="E47">
            <v>4462</v>
          </cell>
          <cell r="F47">
            <v>34.26</v>
          </cell>
          <cell r="G47">
            <v>130.23934617629891</v>
          </cell>
          <cell r="H47">
            <v>34.26</v>
          </cell>
        </row>
        <row r="48">
          <cell r="C48" t="str">
            <v>N21</v>
          </cell>
          <cell r="D48" t="str">
            <v>1997</v>
          </cell>
          <cell r="E48">
            <v>3300</v>
          </cell>
          <cell r="F48">
            <v>26.83</v>
          </cell>
          <cell r="G48">
            <v>122.99664554603056</v>
          </cell>
          <cell r="H48">
            <v>26.83</v>
          </cell>
        </row>
        <row r="49">
          <cell r="C49" t="str">
            <v>N22</v>
          </cell>
          <cell r="D49" t="str">
            <v>1997</v>
          </cell>
          <cell r="E49">
            <v>4185</v>
          </cell>
          <cell r="F49">
            <v>30.49</v>
          </cell>
          <cell r="G49">
            <v>137.25811741554608</v>
          </cell>
          <cell r="H49">
            <v>30.49</v>
          </cell>
        </row>
        <row r="50">
          <cell r="C50" t="str">
            <v>N23</v>
          </cell>
          <cell r="D50" t="str">
            <v>1997</v>
          </cell>
          <cell r="E50">
            <v>3194</v>
          </cell>
          <cell r="F50">
            <v>24.54</v>
          </cell>
          <cell r="G50">
            <v>130.15484922575388</v>
          </cell>
          <cell r="H50">
            <v>24.54</v>
          </cell>
        </row>
        <row r="51">
          <cell r="C51" t="str">
            <v>N24</v>
          </cell>
          <cell r="D51" t="str">
            <v>1997</v>
          </cell>
          <cell r="E51">
            <v>2398</v>
          </cell>
          <cell r="F51">
            <v>20.05</v>
          </cell>
          <cell r="G51">
            <v>119.60099750623441</v>
          </cell>
          <cell r="H51">
            <v>20.05</v>
          </cell>
        </row>
        <row r="132">
          <cell r="U132">
            <v>19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Aplikasi Raktill TM-2"/>
      <sheetName val="Pangkal Kosong TM-2"/>
      <sheetName val="Organdie juni TM-2"/>
      <sheetName val="Organdie Mei TM-2"/>
      <sheetName val="Organdie April TM-2"/>
      <sheetName val="Klas Blok TBM 2 Maret"/>
      <sheetName val="Klas Blok TBM 2 juni"/>
      <sheetName val="Kastrasi TBM 2"/>
      <sheetName val="S-Ratio TBM 2"/>
      <sheetName val="Klas Blok TBM 1 Maret"/>
      <sheetName val="Klas Blok TBM 1 Juli"/>
      <sheetName val="Kastrasi TBM 1"/>
      <sheetName val="S-Ratio TBM 1"/>
      <sheetName val="Grafik Kumbang"/>
      <sheetName val="Sensus Kumbang"/>
      <sheetName val="Ferotrap Kumbang"/>
      <sheetName val="J. Bentang Kumbang"/>
      <sheetName val="Rekap Rawat Sisip"/>
      <sheetName val="Rawat Sisip TM-2"/>
      <sheetName val="Rawat Sisip TM-2 (2)"/>
      <sheetName val="Rawat Sisip TBM-1"/>
      <sheetName val="Rawat Sisip TBM-2"/>
      <sheetName val="FU Sisip"/>
      <sheetName val="PLAN PIRINGAN TBM 2026"/>
      <sheetName val="PLAN GAWANGAN TBM 2026"/>
      <sheetName val="PLAN MARSHAL 2026"/>
      <sheetName val="Afd 1 mei "/>
      <sheetName val="Afd 1 juni"/>
      <sheetName val="Afd 1 jul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N1">
            <v>39</v>
          </cell>
        </row>
        <row r="4">
          <cell r="B4" t="str">
            <v>C0044</v>
          </cell>
          <cell r="C4">
            <v>2024</v>
          </cell>
          <cell r="D4">
            <v>23.38</v>
          </cell>
          <cell r="E4">
            <v>322</v>
          </cell>
          <cell r="F4">
            <v>77</v>
          </cell>
          <cell r="G4">
            <v>1</v>
          </cell>
          <cell r="H4">
            <v>244</v>
          </cell>
          <cell r="I4">
            <v>0</v>
          </cell>
          <cell r="J4">
            <v>0</v>
          </cell>
          <cell r="K4">
            <v>1</v>
          </cell>
          <cell r="L4">
            <v>0.76086956521739135</v>
          </cell>
          <cell r="M4">
            <v>5.4685390224142585E-3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322</v>
          </cell>
          <cell r="X4">
            <v>317</v>
          </cell>
          <cell r="Y4">
            <v>5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1.5527950310559006E-2</v>
          </cell>
          <cell r="AF4">
            <v>322</v>
          </cell>
          <cell r="AG4">
            <v>318</v>
          </cell>
          <cell r="AH4">
            <v>4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1.2422360248447204E-2</v>
          </cell>
        </row>
        <row r="5">
          <cell r="B5" t="str">
            <v>D0043</v>
          </cell>
          <cell r="C5">
            <v>2024</v>
          </cell>
          <cell r="D5">
            <v>34.19</v>
          </cell>
          <cell r="E5">
            <v>451</v>
          </cell>
          <cell r="F5">
            <v>170</v>
          </cell>
          <cell r="G5">
            <v>0</v>
          </cell>
          <cell r="H5">
            <v>281</v>
          </cell>
          <cell r="I5">
            <v>0</v>
          </cell>
          <cell r="J5">
            <v>0</v>
          </cell>
          <cell r="K5">
            <v>0</v>
          </cell>
          <cell r="L5">
            <v>0.62305986696230597</v>
          </cell>
          <cell r="M5">
            <v>1.3815074655483502E-3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451</v>
          </cell>
          <cell r="X5">
            <v>444</v>
          </cell>
          <cell r="Y5">
            <v>7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1.5521064301552107E-2</v>
          </cell>
          <cell r="AF5">
            <v>451</v>
          </cell>
          <cell r="AG5">
            <v>444</v>
          </cell>
          <cell r="AH5">
            <v>7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1.5521064301552107E-2</v>
          </cell>
        </row>
        <row r="6">
          <cell r="B6" t="str">
            <v>D0044</v>
          </cell>
          <cell r="C6">
            <v>2024</v>
          </cell>
          <cell r="D6">
            <v>23.26</v>
          </cell>
          <cell r="E6">
            <v>313</v>
          </cell>
          <cell r="F6">
            <v>116</v>
          </cell>
          <cell r="G6">
            <v>0</v>
          </cell>
          <cell r="H6">
            <v>197</v>
          </cell>
          <cell r="I6">
            <v>0</v>
          </cell>
          <cell r="J6">
            <v>0</v>
          </cell>
          <cell r="K6">
            <v>0</v>
          </cell>
          <cell r="L6">
            <v>0.62939297124600635</v>
          </cell>
          <cell r="M6">
            <v>2.0108401637252598E-3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313</v>
          </cell>
          <cell r="X6">
            <v>301</v>
          </cell>
          <cell r="Y6">
            <v>12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3.8338658146964855E-2</v>
          </cell>
          <cell r="AF6">
            <v>314</v>
          </cell>
          <cell r="AG6">
            <v>309</v>
          </cell>
          <cell r="AH6">
            <v>5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1.5923566878980892E-2</v>
          </cell>
        </row>
        <row r="7">
          <cell r="B7" t="str">
            <v>D0045</v>
          </cell>
          <cell r="C7">
            <v>2024</v>
          </cell>
          <cell r="D7">
            <v>23.42</v>
          </cell>
          <cell r="E7">
            <v>337</v>
          </cell>
          <cell r="F7">
            <v>119</v>
          </cell>
          <cell r="G7">
            <v>0</v>
          </cell>
          <cell r="H7">
            <v>218</v>
          </cell>
          <cell r="I7">
            <v>0</v>
          </cell>
          <cell r="J7">
            <v>0</v>
          </cell>
          <cell r="K7">
            <v>0</v>
          </cell>
          <cell r="L7">
            <v>0.64688427299703266</v>
          </cell>
          <cell r="M7">
            <v>1.9195379020683463E-3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336</v>
          </cell>
          <cell r="X7">
            <v>326</v>
          </cell>
          <cell r="Y7">
            <v>10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2.976190476190476E-2</v>
          </cell>
          <cell r="AF7">
            <v>337</v>
          </cell>
          <cell r="AG7">
            <v>330</v>
          </cell>
          <cell r="AH7">
            <v>7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2.0771513353115726E-2</v>
          </cell>
        </row>
        <row r="8">
          <cell r="B8" t="str">
            <v>D0046</v>
          </cell>
          <cell r="C8">
            <v>2024</v>
          </cell>
          <cell r="D8">
            <v>22.27</v>
          </cell>
          <cell r="E8">
            <v>294</v>
          </cell>
          <cell r="F8">
            <v>63</v>
          </cell>
          <cell r="G8">
            <v>0</v>
          </cell>
          <cell r="H8">
            <v>231</v>
          </cell>
          <cell r="I8">
            <v>0</v>
          </cell>
          <cell r="J8">
            <v>0</v>
          </cell>
          <cell r="L8">
            <v>0.7857142857142857</v>
          </cell>
          <cell r="M8">
            <v>2.6724975704567541E-3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294</v>
          </cell>
          <cell r="X8">
            <v>290</v>
          </cell>
          <cell r="Y8">
            <v>4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1.3605442176870748E-2</v>
          </cell>
          <cell r="AF8">
            <v>294</v>
          </cell>
          <cell r="AG8">
            <v>290</v>
          </cell>
          <cell r="AH8">
            <v>4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1.3605442176870748E-2</v>
          </cell>
        </row>
        <row r="9">
          <cell r="B9" t="str">
            <v>D0047</v>
          </cell>
          <cell r="C9">
            <v>2024</v>
          </cell>
          <cell r="D9">
            <v>12.5</v>
          </cell>
          <cell r="E9">
            <v>147</v>
          </cell>
          <cell r="F9">
            <v>33</v>
          </cell>
          <cell r="G9">
            <v>0</v>
          </cell>
          <cell r="H9">
            <v>114</v>
          </cell>
          <cell r="I9">
            <v>0</v>
          </cell>
          <cell r="J9">
            <v>0</v>
          </cell>
          <cell r="L9">
            <v>0.77551020408163263</v>
          </cell>
          <cell r="M9">
            <v>5.2755796196029435E-3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166</v>
          </cell>
          <cell r="X9">
            <v>161</v>
          </cell>
          <cell r="Y9">
            <v>5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3.0120481927710843E-2</v>
          </cell>
          <cell r="AF9">
            <v>166</v>
          </cell>
          <cell r="AG9">
            <v>162</v>
          </cell>
          <cell r="AH9">
            <v>4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2.4096385542168676E-2</v>
          </cell>
        </row>
        <row r="10">
          <cell r="B10" t="str">
            <v>D0048</v>
          </cell>
          <cell r="C10">
            <v>2024</v>
          </cell>
          <cell r="D10">
            <v>8.42</v>
          </cell>
          <cell r="E10">
            <v>114</v>
          </cell>
          <cell r="F10">
            <v>31</v>
          </cell>
          <cell r="G10">
            <v>0</v>
          </cell>
          <cell r="H10">
            <v>83</v>
          </cell>
          <cell r="I10">
            <v>0</v>
          </cell>
          <cell r="J10">
            <v>0</v>
          </cell>
          <cell r="K10">
            <v>0</v>
          </cell>
          <cell r="L10">
            <v>0.72807017543859653</v>
          </cell>
          <cell r="M10">
            <v>6.3865804863034786E-3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114</v>
          </cell>
          <cell r="X10">
            <v>111</v>
          </cell>
          <cell r="Y10">
            <v>3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2.6315789473684209E-2</v>
          </cell>
          <cell r="AF10">
            <v>114</v>
          </cell>
          <cell r="AG10">
            <v>110</v>
          </cell>
          <cell r="AH10">
            <v>4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3.5087719298245612E-2</v>
          </cell>
        </row>
        <row r="11">
          <cell r="B11" t="str">
            <v>E0043</v>
          </cell>
          <cell r="C11">
            <v>2024</v>
          </cell>
          <cell r="D11">
            <v>30.48</v>
          </cell>
          <cell r="E11">
            <v>398</v>
          </cell>
          <cell r="F11">
            <v>67</v>
          </cell>
          <cell r="G11">
            <v>0</v>
          </cell>
          <cell r="H11">
            <v>331</v>
          </cell>
          <cell r="I11">
            <v>0</v>
          </cell>
          <cell r="J11">
            <v>0</v>
          </cell>
          <cell r="L11">
            <v>0.83165829145728642</v>
          </cell>
          <cell r="M11">
            <v>2.0895936971288605E-3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398</v>
          </cell>
          <cell r="X11">
            <v>381</v>
          </cell>
          <cell r="Y11">
            <v>17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4.2713567839195977E-2</v>
          </cell>
          <cell r="AF11">
            <v>398</v>
          </cell>
          <cell r="AG11">
            <v>388</v>
          </cell>
          <cell r="AH11">
            <v>10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2.5125628140703519E-2</v>
          </cell>
        </row>
        <row r="12">
          <cell r="B12" t="str">
            <v>E0044</v>
          </cell>
          <cell r="C12">
            <v>2024</v>
          </cell>
          <cell r="D12">
            <v>23.7</v>
          </cell>
          <cell r="E12">
            <v>320</v>
          </cell>
          <cell r="F12">
            <v>87</v>
          </cell>
          <cell r="G12">
            <v>0</v>
          </cell>
          <cell r="H12">
            <v>233</v>
          </cell>
          <cell r="I12">
            <v>0</v>
          </cell>
          <cell r="J12">
            <v>0</v>
          </cell>
          <cell r="K12">
            <v>0</v>
          </cell>
          <cell r="L12">
            <v>0.72812500000000002</v>
          </cell>
          <cell r="M12">
            <v>2.2753906250000001E-3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320</v>
          </cell>
          <cell r="X12">
            <v>304</v>
          </cell>
          <cell r="Y12">
            <v>16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0.05</v>
          </cell>
          <cell r="AF12">
            <v>320</v>
          </cell>
          <cell r="AG12">
            <v>312</v>
          </cell>
          <cell r="AH12">
            <v>8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2.5000000000000001E-2</v>
          </cell>
        </row>
        <row r="13">
          <cell r="B13" t="str">
            <v>E0045</v>
          </cell>
          <cell r="C13">
            <v>2024</v>
          </cell>
          <cell r="D13">
            <v>23.61</v>
          </cell>
          <cell r="E13">
            <v>314</v>
          </cell>
          <cell r="F13">
            <v>83</v>
          </cell>
          <cell r="G13">
            <v>0</v>
          </cell>
          <cell r="H13">
            <v>231</v>
          </cell>
          <cell r="I13">
            <v>0</v>
          </cell>
          <cell r="J13">
            <v>0</v>
          </cell>
          <cell r="K13">
            <v>0</v>
          </cell>
          <cell r="L13">
            <v>0.73566878980891715</v>
          </cell>
          <cell r="M13">
            <v>2.3428942350602459E-3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316</v>
          </cell>
          <cell r="X13">
            <v>313</v>
          </cell>
          <cell r="Y13">
            <v>3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9.4936708860759497E-3</v>
          </cell>
          <cell r="AF13">
            <v>314</v>
          </cell>
          <cell r="AG13">
            <v>307</v>
          </cell>
          <cell r="AH13">
            <v>7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2.2292993630573247E-2</v>
          </cell>
        </row>
        <row r="14">
          <cell r="B14" t="str">
            <v>E0046</v>
          </cell>
          <cell r="C14">
            <v>2024</v>
          </cell>
          <cell r="D14">
            <v>23.48</v>
          </cell>
          <cell r="E14">
            <v>321</v>
          </cell>
          <cell r="F14">
            <v>56</v>
          </cell>
          <cell r="G14">
            <v>0</v>
          </cell>
          <cell r="H14">
            <v>265</v>
          </cell>
          <cell r="I14">
            <v>0</v>
          </cell>
          <cell r="J14">
            <v>0</v>
          </cell>
          <cell r="K14">
            <v>0</v>
          </cell>
          <cell r="L14">
            <v>0.82554517133956384</v>
          </cell>
          <cell r="M14">
            <v>2.5717918110266785E-3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321</v>
          </cell>
          <cell r="X14">
            <v>303</v>
          </cell>
          <cell r="Y14">
            <v>18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5.6074766355140186E-2</v>
          </cell>
          <cell r="AF14">
            <v>321</v>
          </cell>
          <cell r="AG14">
            <v>315</v>
          </cell>
          <cell r="AH14">
            <v>6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1.8691588785046728E-2</v>
          </cell>
        </row>
        <row r="15">
          <cell r="B15" t="str">
            <v>Total</v>
          </cell>
          <cell r="D15">
            <v>248.70999999999995</v>
          </cell>
          <cell r="E15">
            <v>3331</v>
          </cell>
          <cell r="F15">
            <v>902</v>
          </cell>
          <cell r="G15">
            <v>1</v>
          </cell>
          <cell r="H15">
            <v>2428</v>
          </cell>
          <cell r="I15">
            <v>0</v>
          </cell>
          <cell r="J15">
            <v>0</v>
          </cell>
          <cell r="K15">
            <v>1</v>
          </cell>
          <cell r="L15">
            <v>0.72921044731311924</v>
          </cell>
          <cell r="M15">
            <v>5.1912652275986769E-4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3351</v>
          </cell>
          <cell r="X15">
            <v>3251</v>
          </cell>
          <cell r="Y15">
            <v>100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2.9841838257236644E-2</v>
          </cell>
          <cell r="AF15">
            <v>3351</v>
          </cell>
          <cell r="AG15">
            <v>3285</v>
          </cell>
          <cell r="AH15">
            <v>66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1.9695613249776187E-2</v>
          </cell>
        </row>
        <row r="16">
          <cell r="B16" t="str">
            <v>E0047</v>
          </cell>
          <cell r="C16">
            <v>2025</v>
          </cell>
          <cell r="D16">
            <v>23.19</v>
          </cell>
          <cell r="L16">
            <v>0</v>
          </cell>
          <cell r="M16">
            <v>0</v>
          </cell>
          <cell r="N16">
            <v>317</v>
          </cell>
          <cell r="O16">
            <v>182</v>
          </cell>
          <cell r="P16">
            <v>4</v>
          </cell>
          <cell r="Q16">
            <v>135</v>
          </cell>
          <cell r="R16">
            <v>0</v>
          </cell>
          <cell r="S16">
            <v>0</v>
          </cell>
          <cell r="T16">
            <v>0</v>
          </cell>
          <cell r="U16">
            <v>0.42586750788643535</v>
          </cell>
          <cell r="V16">
            <v>1.3961727154215885E-2</v>
          </cell>
          <cell r="W16">
            <v>310</v>
          </cell>
          <cell r="X16">
            <v>304</v>
          </cell>
          <cell r="Y16">
            <v>6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1.935483870967742E-2</v>
          </cell>
          <cell r="AF16">
            <v>304</v>
          </cell>
          <cell r="AG16">
            <v>299</v>
          </cell>
          <cell r="AH16">
            <v>5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1.6447368421052631E-2</v>
          </cell>
        </row>
        <row r="17">
          <cell r="B17" t="str">
            <v>E0048</v>
          </cell>
          <cell r="C17">
            <v>2025</v>
          </cell>
          <cell r="D17">
            <v>11.87</v>
          </cell>
          <cell r="L17">
            <v>0</v>
          </cell>
          <cell r="M17">
            <v>0</v>
          </cell>
          <cell r="N17">
            <v>117</v>
          </cell>
          <cell r="O17">
            <v>85</v>
          </cell>
          <cell r="P17">
            <v>1</v>
          </cell>
          <cell r="Q17">
            <v>32</v>
          </cell>
          <cell r="R17">
            <v>0</v>
          </cell>
          <cell r="S17">
            <v>0</v>
          </cell>
          <cell r="T17">
            <v>0</v>
          </cell>
          <cell r="U17">
            <v>0.27350427350427353</v>
          </cell>
          <cell r="V17">
            <v>1.0884651910292935E-2</v>
          </cell>
          <cell r="W17">
            <v>155</v>
          </cell>
          <cell r="X17">
            <v>147</v>
          </cell>
          <cell r="Y17">
            <v>8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5.1612903225806452E-2</v>
          </cell>
          <cell r="AF17">
            <v>155</v>
          </cell>
          <cell r="AG17">
            <v>150</v>
          </cell>
          <cell r="AH17">
            <v>5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3.2258064516129031E-2</v>
          </cell>
        </row>
        <row r="18">
          <cell r="B18" t="str">
            <v>F0047</v>
          </cell>
          <cell r="C18">
            <v>2025</v>
          </cell>
          <cell r="D18">
            <v>23.47</v>
          </cell>
          <cell r="L18">
            <v>0</v>
          </cell>
          <cell r="M18">
            <v>0</v>
          </cell>
          <cell r="N18">
            <v>322</v>
          </cell>
          <cell r="O18">
            <v>225</v>
          </cell>
          <cell r="P18">
            <v>3</v>
          </cell>
          <cell r="Q18">
            <v>97</v>
          </cell>
          <cell r="R18">
            <v>0</v>
          </cell>
          <cell r="S18">
            <v>0</v>
          </cell>
          <cell r="T18">
            <v>0</v>
          </cell>
          <cell r="U18">
            <v>0.30124223602484473</v>
          </cell>
          <cell r="V18">
            <v>1.0252305080822499E-2</v>
          </cell>
          <cell r="W18">
            <v>322</v>
          </cell>
          <cell r="X18">
            <v>309</v>
          </cell>
          <cell r="Y18">
            <v>13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4.0372670807453416E-2</v>
          </cell>
          <cell r="AF18">
            <v>322</v>
          </cell>
          <cell r="AG18">
            <v>317</v>
          </cell>
          <cell r="AH18">
            <v>5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1.5527950310559006E-2</v>
          </cell>
        </row>
        <row r="19">
          <cell r="B19" t="str">
            <v>F0048</v>
          </cell>
          <cell r="C19">
            <v>2025</v>
          </cell>
          <cell r="D19">
            <v>25.26</v>
          </cell>
          <cell r="L19">
            <v>0</v>
          </cell>
          <cell r="M19">
            <v>0</v>
          </cell>
          <cell r="N19">
            <v>287</v>
          </cell>
          <cell r="O19">
            <v>200</v>
          </cell>
          <cell r="P19">
            <v>2</v>
          </cell>
          <cell r="Q19">
            <v>87</v>
          </cell>
          <cell r="R19">
            <v>0</v>
          </cell>
          <cell r="S19">
            <v>0</v>
          </cell>
          <cell r="T19">
            <v>0</v>
          </cell>
          <cell r="U19">
            <v>0.30313588850174217</v>
          </cell>
          <cell r="V19">
            <v>8.024863723002585E-3</v>
          </cell>
          <cell r="W19">
            <v>311</v>
          </cell>
          <cell r="X19">
            <v>301</v>
          </cell>
          <cell r="Y19">
            <v>10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3.215434083601286E-2</v>
          </cell>
          <cell r="AF19">
            <v>311</v>
          </cell>
          <cell r="AG19">
            <v>305</v>
          </cell>
          <cell r="AH19">
            <v>6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1.9292604501607719E-2</v>
          </cell>
        </row>
        <row r="20">
          <cell r="B20" t="str">
            <v>F0049</v>
          </cell>
          <cell r="C20">
            <v>2025</v>
          </cell>
          <cell r="D20">
            <v>21.6</v>
          </cell>
          <cell r="L20">
            <v>0</v>
          </cell>
          <cell r="M20">
            <v>0</v>
          </cell>
          <cell r="N20">
            <v>257</v>
          </cell>
          <cell r="O20">
            <v>162</v>
          </cell>
          <cell r="Q20">
            <v>95</v>
          </cell>
          <cell r="R20">
            <v>0</v>
          </cell>
          <cell r="S20">
            <v>0</v>
          </cell>
          <cell r="T20">
            <v>0</v>
          </cell>
          <cell r="U20">
            <v>0.36964980544747084</v>
          </cell>
          <cell r="V20">
            <v>1.4383260912352951E-3</v>
          </cell>
          <cell r="W20">
            <v>258</v>
          </cell>
          <cell r="X20">
            <v>249</v>
          </cell>
          <cell r="Y20">
            <v>9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3.4883720930232558E-2</v>
          </cell>
          <cell r="AF20">
            <v>258</v>
          </cell>
          <cell r="AG20">
            <v>254</v>
          </cell>
          <cell r="AH20">
            <v>4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1.5503875968992248E-2</v>
          </cell>
        </row>
        <row r="21">
          <cell r="B21" t="str">
            <v>F0050</v>
          </cell>
          <cell r="C21">
            <v>2025</v>
          </cell>
          <cell r="D21">
            <v>8.25</v>
          </cell>
          <cell r="L21">
            <v>0</v>
          </cell>
          <cell r="M21">
            <v>0</v>
          </cell>
          <cell r="N21">
            <v>75</v>
          </cell>
          <cell r="O21">
            <v>61</v>
          </cell>
          <cell r="Q21">
            <v>14</v>
          </cell>
          <cell r="R21">
            <v>0</v>
          </cell>
          <cell r="S21">
            <v>0</v>
          </cell>
          <cell r="T21">
            <v>0</v>
          </cell>
          <cell r="U21">
            <v>0.18666666666666668</v>
          </cell>
          <cell r="V21">
            <v>2.488888888888889E-3</v>
          </cell>
          <cell r="W21">
            <v>103</v>
          </cell>
          <cell r="X21">
            <v>97</v>
          </cell>
          <cell r="Y21">
            <v>6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5.8252427184466021E-2</v>
          </cell>
          <cell r="AF21">
            <v>103</v>
          </cell>
          <cell r="AG21">
            <v>99</v>
          </cell>
          <cell r="AH21">
            <v>4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3.8834951456310676E-2</v>
          </cell>
        </row>
        <row r="22">
          <cell r="B22" t="str">
            <v>G0047</v>
          </cell>
          <cell r="C22">
            <v>2025</v>
          </cell>
          <cell r="D22">
            <v>25.02</v>
          </cell>
          <cell r="L22">
            <v>0</v>
          </cell>
          <cell r="M22">
            <v>0</v>
          </cell>
          <cell r="N22">
            <v>325</v>
          </cell>
          <cell r="O22">
            <v>224</v>
          </cell>
          <cell r="Q22">
            <v>101</v>
          </cell>
          <cell r="R22">
            <v>0</v>
          </cell>
          <cell r="S22">
            <v>0</v>
          </cell>
          <cell r="T22">
            <v>0</v>
          </cell>
          <cell r="U22">
            <v>0.31076923076923074</v>
          </cell>
          <cell r="V22">
            <v>9.5621301775147924E-4</v>
          </cell>
          <cell r="W22">
            <v>314</v>
          </cell>
          <cell r="X22">
            <v>310</v>
          </cell>
          <cell r="Y22">
            <v>4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1.2738853503184714E-2</v>
          </cell>
          <cell r="AF22">
            <v>316</v>
          </cell>
          <cell r="AG22">
            <v>311</v>
          </cell>
          <cell r="AH22">
            <v>5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1.5822784810126583E-2</v>
          </cell>
        </row>
        <row r="23">
          <cell r="B23" t="str">
            <v>G0048</v>
          </cell>
          <cell r="C23">
            <v>2025</v>
          </cell>
          <cell r="D23">
            <v>21.24</v>
          </cell>
          <cell r="L23">
            <v>0</v>
          </cell>
          <cell r="M23">
            <v>0</v>
          </cell>
          <cell r="N23">
            <v>315</v>
          </cell>
          <cell r="O23">
            <v>238</v>
          </cell>
          <cell r="Q23">
            <v>77</v>
          </cell>
          <cell r="R23">
            <v>0</v>
          </cell>
          <cell r="S23">
            <v>0</v>
          </cell>
          <cell r="T23">
            <v>0</v>
          </cell>
          <cell r="U23">
            <v>0.24444444444444444</v>
          </cell>
          <cell r="V23">
            <v>7.7601410934744267E-4</v>
          </cell>
          <cell r="W23">
            <v>322</v>
          </cell>
          <cell r="X23">
            <v>317</v>
          </cell>
          <cell r="Y23">
            <v>5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1.5527950310559006E-2</v>
          </cell>
          <cell r="AF23">
            <v>322</v>
          </cell>
          <cell r="AG23">
            <v>318</v>
          </cell>
          <cell r="AH23">
            <v>4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1.2422360248447204E-2</v>
          </cell>
        </row>
        <row r="24">
          <cell r="B24" t="str">
            <v>G0049</v>
          </cell>
          <cell r="C24">
            <v>2025</v>
          </cell>
          <cell r="D24">
            <v>22.69</v>
          </cell>
          <cell r="L24">
            <v>0</v>
          </cell>
          <cell r="M24">
            <v>0</v>
          </cell>
          <cell r="N24">
            <v>318</v>
          </cell>
          <cell r="O24">
            <v>265</v>
          </cell>
          <cell r="P24">
            <v>3</v>
          </cell>
          <cell r="Q24">
            <v>53</v>
          </cell>
          <cell r="R24">
            <v>0</v>
          </cell>
          <cell r="S24">
            <v>0</v>
          </cell>
          <cell r="T24">
            <v>0</v>
          </cell>
          <cell r="U24">
            <v>0.16666666666666666</v>
          </cell>
          <cell r="V24">
            <v>9.9580712788259959E-3</v>
          </cell>
          <cell r="W24">
            <v>322</v>
          </cell>
          <cell r="X24">
            <v>318</v>
          </cell>
          <cell r="Y24">
            <v>4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1.2422360248447204E-2</v>
          </cell>
          <cell r="AF24">
            <v>318</v>
          </cell>
          <cell r="AG24">
            <v>314</v>
          </cell>
          <cell r="AH24">
            <v>4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1.2578616352201259E-2</v>
          </cell>
        </row>
        <row r="25">
          <cell r="B25" t="str">
            <v>G0050</v>
          </cell>
          <cell r="C25">
            <v>2025</v>
          </cell>
          <cell r="D25">
            <v>24.24</v>
          </cell>
          <cell r="L25">
            <v>0</v>
          </cell>
          <cell r="M25">
            <v>0</v>
          </cell>
          <cell r="N25">
            <v>279</v>
          </cell>
          <cell r="O25">
            <v>197</v>
          </cell>
          <cell r="P25">
            <v>12</v>
          </cell>
          <cell r="Q25">
            <v>82</v>
          </cell>
          <cell r="R25">
            <v>0</v>
          </cell>
          <cell r="S25">
            <v>0</v>
          </cell>
          <cell r="T25">
            <v>0</v>
          </cell>
          <cell r="U25">
            <v>0.29390681003584229</v>
          </cell>
          <cell r="V25">
            <v>4.4064182114823811E-2</v>
          </cell>
          <cell r="W25">
            <v>279</v>
          </cell>
          <cell r="X25">
            <v>275</v>
          </cell>
          <cell r="Y25">
            <v>4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1.4336917562724014E-2</v>
          </cell>
          <cell r="AF25">
            <v>279</v>
          </cell>
          <cell r="AG25">
            <v>273</v>
          </cell>
          <cell r="AH25">
            <v>6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2.1505376344086023E-2</v>
          </cell>
        </row>
        <row r="26">
          <cell r="B26" t="str">
            <v>E0042</v>
          </cell>
          <cell r="C26">
            <v>2025</v>
          </cell>
          <cell r="D26">
            <v>27.24</v>
          </cell>
          <cell r="L26">
            <v>0</v>
          </cell>
          <cell r="M26">
            <v>0</v>
          </cell>
          <cell r="N26">
            <v>374</v>
          </cell>
          <cell r="O26">
            <v>232</v>
          </cell>
          <cell r="Q26">
            <v>142</v>
          </cell>
          <cell r="R26">
            <v>0</v>
          </cell>
          <cell r="S26">
            <v>0</v>
          </cell>
          <cell r="T26">
            <v>0</v>
          </cell>
          <cell r="U26">
            <v>0.37967914438502676</v>
          </cell>
          <cell r="V26">
            <v>1.015184878034831E-3</v>
          </cell>
          <cell r="W26">
            <v>374</v>
          </cell>
          <cell r="X26">
            <v>368</v>
          </cell>
          <cell r="Y26">
            <v>6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1.6042780748663103E-2</v>
          </cell>
          <cell r="AF26">
            <v>374</v>
          </cell>
          <cell r="AG26">
            <v>369</v>
          </cell>
          <cell r="AH26">
            <v>5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1.3368983957219251E-2</v>
          </cell>
        </row>
        <row r="27">
          <cell r="B27" t="str">
            <v>F0042</v>
          </cell>
          <cell r="C27">
            <v>2025</v>
          </cell>
          <cell r="D27">
            <v>29.15</v>
          </cell>
          <cell r="L27">
            <v>0</v>
          </cell>
          <cell r="M27">
            <v>0</v>
          </cell>
          <cell r="N27">
            <v>388</v>
          </cell>
          <cell r="O27">
            <v>302</v>
          </cell>
          <cell r="Q27">
            <v>86</v>
          </cell>
          <cell r="R27">
            <v>0</v>
          </cell>
          <cell r="S27">
            <v>0</v>
          </cell>
          <cell r="T27">
            <v>0</v>
          </cell>
          <cell r="U27">
            <v>0.22164948453608246</v>
          </cell>
          <cell r="V27">
            <v>5.7126155808268672E-4</v>
          </cell>
          <cell r="W27">
            <v>388</v>
          </cell>
          <cell r="X27">
            <v>382</v>
          </cell>
          <cell r="Y27">
            <v>6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1.5463917525773196E-2</v>
          </cell>
          <cell r="AF27">
            <v>388</v>
          </cell>
          <cell r="AG27">
            <v>383</v>
          </cell>
          <cell r="AH27">
            <v>5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1.2886597938144329E-2</v>
          </cell>
        </row>
        <row r="28">
          <cell r="B28" t="str">
            <v>G0042</v>
          </cell>
          <cell r="C28">
            <v>2025</v>
          </cell>
          <cell r="D28">
            <v>30.37</v>
          </cell>
          <cell r="L28">
            <v>0</v>
          </cell>
          <cell r="M28">
            <v>0</v>
          </cell>
          <cell r="N28">
            <v>379</v>
          </cell>
          <cell r="O28">
            <v>295</v>
          </cell>
          <cell r="P28">
            <v>10</v>
          </cell>
          <cell r="Q28">
            <v>84</v>
          </cell>
          <cell r="R28">
            <v>0</v>
          </cell>
          <cell r="S28">
            <v>0</v>
          </cell>
          <cell r="T28">
            <v>0</v>
          </cell>
          <cell r="U28">
            <v>0.22163588390501318</v>
          </cell>
          <cell r="V28">
            <v>2.6970015524815337E-2</v>
          </cell>
          <cell r="W28">
            <v>377</v>
          </cell>
          <cell r="X28">
            <v>369</v>
          </cell>
          <cell r="Y28">
            <v>8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2.1220159151193633E-2</v>
          </cell>
          <cell r="AF28">
            <v>377</v>
          </cell>
          <cell r="AG28">
            <v>372</v>
          </cell>
          <cell r="AH28">
            <v>5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1.3262599469496022E-2</v>
          </cell>
        </row>
        <row r="29">
          <cell r="B29" t="str">
            <v>Total</v>
          </cell>
          <cell r="D29">
            <v>293.59000000000003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3753</v>
          </cell>
          <cell r="O29">
            <v>2668</v>
          </cell>
          <cell r="P29">
            <v>35</v>
          </cell>
          <cell r="Q29">
            <v>1085</v>
          </cell>
          <cell r="R29">
            <v>0</v>
          </cell>
          <cell r="S29">
            <v>0</v>
          </cell>
          <cell r="T29">
            <v>0</v>
          </cell>
          <cell r="U29">
            <v>0.28910205169197972</v>
          </cell>
          <cell r="V29">
            <v>9.4029048898726288E-3</v>
          </cell>
          <cell r="W29">
            <v>3835</v>
          </cell>
          <cell r="X29">
            <v>3746</v>
          </cell>
          <cell r="Y29">
            <v>89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2.3207301173402868E-2</v>
          </cell>
          <cell r="AF29">
            <v>3827</v>
          </cell>
          <cell r="AG29">
            <v>3764</v>
          </cell>
          <cell r="AH29">
            <v>63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1.6461980663705252E-2</v>
          </cell>
        </row>
        <row r="30">
          <cell r="B30" t="str">
            <v>C0045</v>
          </cell>
          <cell r="C30">
            <v>2026</v>
          </cell>
          <cell r="D30">
            <v>22.95</v>
          </cell>
          <cell r="N30">
            <v>311</v>
          </cell>
          <cell r="O30">
            <v>300</v>
          </cell>
          <cell r="P30">
            <v>11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3.5369774919614148E-2</v>
          </cell>
          <cell r="W30">
            <v>311</v>
          </cell>
          <cell r="X30">
            <v>310</v>
          </cell>
          <cell r="Y30">
            <v>1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3.2154340836012861E-3</v>
          </cell>
          <cell r="AF30">
            <v>311</v>
          </cell>
          <cell r="AG30">
            <v>310</v>
          </cell>
          <cell r="AH30">
            <v>1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3.2154340836012861E-3</v>
          </cell>
        </row>
        <row r="31">
          <cell r="B31" t="str">
            <v>C0046</v>
          </cell>
          <cell r="C31">
            <v>2026</v>
          </cell>
          <cell r="D31">
            <v>10.119999999999999</v>
          </cell>
          <cell r="N31">
            <v>145</v>
          </cell>
          <cell r="O31">
            <v>142</v>
          </cell>
          <cell r="P31">
            <v>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2.0689655172413793E-2</v>
          </cell>
          <cell r="W31">
            <v>145</v>
          </cell>
          <cell r="X31">
            <v>143</v>
          </cell>
          <cell r="Y31">
            <v>2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1.3793103448275862E-2</v>
          </cell>
          <cell r="AF31">
            <v>145</v>
          </cell>
          <cell r="AG31">
            <v>144</v>
          </cell>
          <cell r="AH31">
            <v>1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6.8965517241379309E-3</v>
          </cell>
        </row>
        <row r="32">
          <cell r="B32" t="str">
            <v>C0043</v>
          </cell>
          <cell r="C32">
            <v>2026</v>
          </cell>
          <cell r="D32">
            <v>38.29</v>
          </cell>
          <cell r="W32">
            <v>524</v>
          </cell>
          <cell r="X32">
            <v>519</v>
          </cell>
          <cell r="Y32">
            <v>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9.5419847328244278E-3</v>
          </cell>
          <cell r="AF32">
            <v>524</v>
          </cell>
          <cell r="AG32">
            <v>520</v>
          </cell>
          <cell r="AH32">
            <v>4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7.6335877862595417E-3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R429"/>
  <sheetViews>
    <sheetView showGridLines="0" zoomScale="90" zoomScaleNormal="90" workbookViewId="0">
      <pane xSplit="5" ySplit="7" topLeftCell="F8" activePane="bottomRight" state="frozen"/>
      <selection activeCell="J8" sqref="J8"/>
      <selection pane="topRight" activeCell="J8" sqref="J8"/>
      <selection pane="bottomLeft" activeCell="J8" sqref="J8"/>
      <selection pane="bottomRight" activeCell="C16" sqref="C16"/>
    </sheetView>
  </sheetViews>
  <sheetFormatPr baseColWidth="10" defaultColWidth="8.83203125" defaultRowHeight="15" x14ac:dyDescent="0.2"/>
  <cols>
    <col min="3" max="3" width="12.33203125" customWidth="1"/>
    <col min="4" max="5" width="9.83203125" customWidth="1"/>
  </cols>
  <sheetData>
    <row r="1" spans="1:18" x14ac:dyDescent="0.2">
      <c r="A1" s="305" t="s">
        <v>0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</row>
    <row r="2" spans="1:18" x14ac:dyDescent="0.2">
      <c r="A2" s="305"/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</row>
    <row r="3" spans="1:18" x14ac:dyDescent="0.2">
      <c r="A3" s="1" t="s">
        <v>1</v>
      </c>
      <c r="B3" s="2" t="s">
        <v>2</v>
      </c>
      <c r="C3" s="2" t="s">
        <v>3</v>
      </c>
      <c r="D3" s="2"/>
      <c r="E3" s="2"/>
      <c r="F3" s="2"/>
      <c r="G3" s="3"/>
      <c r="H3" s="4">
        <v>0</v>
      </c>
      <c r="I3" s="2"/>
      <c r="J3" s="5"/>
      <c r="K3" s="6" t="s">
        <v>441</v>
      </c>
      <c r="M3" s="7"/>
      <c r="N3" s="8" t="s">
        <v>442</v>
      </c>
      <c r="O3" s="2"/>
      <c r="P3" s="9"/>
      <c r="Q3" s="2" t="s">
        <v>4</v>
      </c>
      <c r="R3" s="2"/>
    </row>
    <row r="4" spans="1:1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">
      <c r="A5" s="306" t="s">
        <v>5</v>
      </c>
      <c r="B5" s="306" t="s">
        <v>6</v>
      </c>
      <c r="C5" s="316" t="s">
        <v>7</v>
      </c>
      <c r="D5" s="306" t="s">
        <v>8</v>
      </c>
      <c r="E5" s="307" t="s">
        <v>9</v>
      </c>
      <c r="F5" s="306" t="s">
        <v>10</v>
      </c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</row>
    <row r="6" spans="1:18" x14ac:dyDescent="0.2">
      <c r="A6" s="306"/>
      <c r="B6" s="306"/>
      <c r="C6" s="317"/>
      <c r="D6" s="306"/>
      <c r="E6" s="308"/>
      <c r="F6" s="10">
        <v>2025</v>
      </c>
      <c r="G6" s="306" t="s">
        <v>11</v>
      </c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</row>
    <row r="7" spans="1:18" ht="16" x14ac:dyDescent="0.2">
      <c r="A7" s="306"/>
      <c r="B7" s="306"/>
      <c r="C7" s="318"/>
      <c r="D7" s="306"/>
      <c r="E7" s="309"/>
      <c r="F7" s="11" t="s">
        <v>12</v>
      </c>
      <c r="G7" s="10" t="s">
        <v>13</v>
      </c>
      <c r="H7" s="10" t="s">
        <v>14</v>
      </c>
      <c r="I7" s="10" t="s">
        <v>15</v>
      </c>
      <c r="J7" s="10" t="s">
        <v>16</v>
      </c>
      <c r="K7" s="10" t="s">
        <v>17</v>
      </c>
      <c r="L7" s="10" t="s">
        <v>18</v>
      </c>
      <c r="M7" s="10" t="s">
        <v>19</v>
      </c>
      <c r="N7" s="10" t="s">
        <v>20</v>
      </c>
      <c r="O7" s="10" t="s">
        <v>21</v>
      </c>
      <c r="P7" s="10" t="s">
        <v>22</v>
      </c>
      <c r="Q7" s="10" t="s">
        <v>23</v>
      </c>
      <c r="R7" s="10" t="s">
        <v>24</v>
      </c>
    </row>
    <row r="8" spans="1:18" x14ac:dyDescent="0.2">
      <c r="A8" s="12">
        <v>1</v>
      </c>
      <c r="B8" s="12" t="s">
        <v>25</v>
      </c>
      <c r="C8" s="12" t="s">
        <v>26</v>
      </c>
      <c r="D8" s="129">
        <v>20.149999999999999</v>
      </c>
      <c r="E8" s="12">
        <v>1997</v>
      </c>
      <c r="F8" s="123"/>
      <c r="G8" s="123">
        <v>0</v>
      </c>
      <c r="H8" s="123">
        <v>0</v>
      </c>
      <c r="I8" s="123">
        <v>0</v>
      </c>
      <c r="J8" s="123">
        <v>0</v>
      </c>
      <c r="K8" s="123">
        <v>0</v>
      </c>
      <c r="L8" s="123">
        <v>0</v>
      </c>
      <c r="M8" s="123"/>
      <c r="N8" s="123"/>
      <c r="O8" s="123"/>
      <c r="P8" s="123"/>
      <c r="Q8" s="123"/>
      <c r="R8" s="123"/>
    </row>
    <row r="9" spans="1:18" x14ac:dyDescent="0.2">
      <c r="A9" s="12">
        <v>1</v>
      </c>
      <c r="B9" s="12" t="s">
        <v>27</v>
      </c>
      <c r="C9" s="12" t="s">
        <v>26</v>
      </c>
      <c r="D9" s="129">
        <v>20.65</v>
      </c>
      <c r="E9" s="12">
        <v>1997</v>
      </c>
      <c r="F9" s="123"/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/>
      <c r="N9" s="123"/>
      <c r="O9" s="123"/>
      <c r="P9" s="123"/>
      <c r="Q9" s="123"/>
      <c r="R9" s="123"/>
    </row>
    <row r="10" spans="1:18" x14ac:dyDescent="0.2">
      <c r="A10" s="12">
        <v>1</v>
      </c>
      <c r="B10" s="12" t="s">
        <v>28</v>
      </c>
      <c r="C10" s="12" t="s">
        <v>26</v>
      </c>
      <c r="D10" s="129">
        <v>23.8</v>
      </c>
      <c r="E10" s="12">
        <v>1997</v>
      </c>
      <c r="F10" s="123"/>
      <c r="G10" s="123">
        <v>0</v>
      </c>
      <c r="H10" s="123">
        <v>0</v>
      </c>
      <c r="I10" s="123">
        <v>0</v>
      </c>
      <c r="J10" s="123">
        <v>0</v>
      </c>
      <c r="K10" s="123">
        <v>0</v>
      </c>
      <c r="L10" s="123">
        <v>0</v>
      </c>
      <c r="M10" s="123"/>
      <c r="N10" s="123"/>
      <c r="O10" s="123"/>
      <c r="P10" s="123"/>
      <c r="Q10" s="123"/>
      <c r="R10" s="123"/>
    </row>
    <row r="11" spans="1:18" x14ac:dyDescent="0.2">
      <c r="A11" s="12">
        <v>1</v>
      </c>
      <c r="B11" s="12" t="s">
        <v>29</v>
      </c>
      <c r="C11" s="12" t="s">
        <v>26</v>
      </c>
      <c r="D11" s="129">
        <v>27.64</v>
      </c>
      <c r="E11" s="12">
        <v>2021</v>
      </c>
      <c r="F11" s="123"/>
      <c r="G11" s="123">
        <v>0</v>
      </c>
      <c r="H11" s="129">
        <v>1.2</v>
      </c>
      <c r="I11" s="123">
        <v>0</v>
      </c>
      <c r="J11" s="123">
        <v>0</v>
      </c>
      <c r="K11" s="123">
        <v>0</v>
      </c>
      <c r="L11" s="123">
        <v>0</v>
      </c>
      <c r="M11" s="123"/>
      <c r="N11" s="123"/>
      <c r="O11" s="123"/>
      <c r="P11" s="123"/>
      <c r="Q11" s="123"/>
      <c r="R11" s="123"/>
    </row>
    <row r="12" spans="1:18" x14ac:dyDescent="0.2">
      <c r="A12" s="12">
        <v>1</v>
      </c>
      <c r="B12" s="12" t="s">
        <v>30</v>
      </c>
      <c r="C12" s="12" t="s">
        <v>26</v>
      </c>
      <c r="D12" s="129">
        <v>24.01</v>
      </c>
      <c r="E12" s="12">
        <v>2021</v>
      </c>
      <c r="F12" s="123"/>
      <c r="G12" s="123">
        <v>0</v>
      </c>
      <c r="H12" s="129">
        <v>1.3333333333333333</v>
      </c>
      <c r="I12" s="123">
        <v>0</v>
      </c>
      <c r="J12" s="123">
        <v>0</v>
      </c>
      <c r="K12" s="123">
        <v>0</v>
      </c>
      <c r="L12" s="123">
        <v>0</v>
      </c>
      <c r="M12" s="123"/>
      <c r="N12" s="123"/>
      <c r="O12" s="123"/>
      <c r="P12" s="123"/>
      <c r="Q12" s="123"/>
      <c r="R12" s="123"/>
    </row>
    <row r="13" spans="1:18" x14ac:dyDescent="0.2">
      <c r="A13" s="12">
        <v>1</v>
      </c>
      <c r="B13" s="12" t="s">
        <v>31</v>
      </c>
      <c r="C13" s="12" t="s">
        <v>26</v>
      </c>
      <c r="D13" s="129">
        <v>24</v>
      </c>
      <c r="E13" s="12">
        <v>2021</v>
      </c>
      <c r="F13" s="123"/>
      <c r="G13" s="123">
        <v>0</v>
      </c>
      <c r="H13" s="129">
        <v>0.5</v>
      </c>
      <c r="I13" s="123">
        <v>0</v>
      </c>
      <c r="J13" s="123">
        <v>0</v>
      </c>
      <c r="K13" s="123">
        <v>0</v>
      </c>
      <c r="L13" s="123">
        <v>0</v>
      </c>
      <c r="M13" s="123"/>
      <c r="N13" s="123"/>
      <c r="O13" s="123"/>
      <c r="P13" s="123"/>
      <c r="Q13" s="123"/>
      <c r="R13" s="123"/>
    </row>
    <row r="14" spans="1:18" x14ac:dyDescent="0.2">
      <c r="A14" s="12">
        <v>1</v>
      </c>
      <c r="B14" s="12" t="s">
        <v>32</v>
      </c>
      <c r="C14" s="12" t="s">
        <v>26</v>
      </c>
      <c r="D14" s="129">
        <v>24.9</v>
      </c>
      <c r="E14" s="12">
        <v>2021</v>
      </c>
      <c r="F14" s="123"/>
      <c r="G14" s="123">
        <v>0</v>
      </c>
      <c r="H14" s="129">
        <v>1.5</v>
      </c>
      <c r="I14" s="123">
        <v>0</v>
      </c>
      <c r="J14" s="123">
        <v>0</v>
      </c>
      <c r="K14" s="123">
        <v>0</v>
      </c>
      <c r="L14" s="123">
        <v>0</v>
      </c>
      <c r="M14" s="123"/>
      <c r="N14" s="123"/>
      <c r="O14" s="123"/>
      <c r="P14" s="123"/>
      <c r="Q14" s="123"/>
      <c r="R14" s="123"/>
    </row>
    <row r="15" spans="1:18" x14ac:dyDescent="0.2">
      <c r="A15" s="12">
        <v>1</v>
      </c>
      <c r="B15" s="12" t="s">
        <v>33</v>
      </c>
      <c r="C15" s="12" t="s">
        <v>26</v>
      </c>
      <c r="D15" s="129">
        <v>27.79</v>
      </c>
      <c r="E15" s="12">
        <v>2021</v>
      </c>
      <c r="F15" s="123"/>
      <c r="G15" s="123">
        <v>0</v>
      </c>
      <c r="H15" s="129">
        <v>1.1666666666666667</v>
      </c>
      <c r="I15" s="123">
        <v>0</v>
      </c>
      <c r="J15" s="123">
        <v>0</v>
      </c>
      <c r="K15" s="123">
        <v>0</v>
      </c>
      <c r="L15" s="123">
        <v>0</v>
      </c>
      <c r="M15" s="123"/>
      <c r="N15" s="123"/>
      <c r="O15" s="123"/>
      <c r="P15" s="123"/>
      <c r="Q15" s="123"/>
      <c r="R15" s="123"/>
    </row>
    <row r="16" spans="1:18" x14ac:dyDescent="0.2">
      <c r="A16" s="12">
        <v>1</v>
      </c>
      <c r="B16" s="12" t="s">
        <v>34</v>
      </c>
      <c r="C16" s="12" t="s">
        <v>26</v>
      </c>
      <c r="D16" s="129">
        <v>23.54</v>
      </c>
      <c r="E16" s="12">
        <v>2021</v>
      </c>
      <c r="F16" s="123"/>
      <c r="G16" s="123">
        <v>0</v>
      </c>
      <c r="H16" s="129">
        <v>0.83333333333333337</v>
      </c>
      <c r="I16" s="123">
        <v>0</v>
      </c>
      <c r="J16" s="123">
        <v>0</v>
      </c>
      <c r="K16" s="123">
        <v>0</v>
      </c>
      <c r="L16" s="123">
        <v>0</v>
      </c>
      <c r="M16" s="123"/>
      <c r="N16" s="123"/>
      <c r="O16" s="123"/>
      <c r="P16" s="123"/>
      <c r="Q16" s="123"/>
      <c r="R16" s="123"/>
    </row>
    <row r="17" spans="1:18" x14ac:dyDescent="0.2">
      <c r="A17" s="12">
        <v>1</v>
      </c>
      <c r="B17" s="12" t="s">
        <v>35</v>
      </c>
      <c r="C17" s="12" t="s">
        <v>26</v>
      </c>
      <c r="D17" s="129">
        <v>24.41</v>
      </c>
      <c r="E17" s="12">
        <v>2021</v>
      </c>
      <c r="F17" s="123"/>
      <c r="G17" s="123">
        <v>0</v>
      </c>
      <c r="H17" s="129">
        <v>1.8333333333333333</v>
      </c>
      <c r="I17" s="123">
        <v>0</v>
      </c>
      <c r="J17" s="123">
        <v>0</v>
      </c>
      <c r="K17" s="123">
        <v>0</v>
      </c>
      <c r="L17" s="123">
        <v>0</v>
      </c>
      <c r="M17" s="123"/>
      <c r="N17" s="123"/>
      <c r="O17" s="123"/>
      <c r="P17" s="123"/>
      <c r="Q17" s="123"/>
      <c r="R17" s="123"/>
    </row>
    <row r="18" spans="1:18" x14ac:dyDescent="0.2">
      <c r="A18" s="12">
        <v>1</v>
      </c>
      <c r="B18" s="12" t="s">
        <v>36</v>
      </c>
      <c r="C18" s="12" t="s">
        <v>26</v>
      </c>
      <c r="D18" s="129">
        <v>24.35</v>
      </c>
      <c r="E18" s="12">
        <v>2021</v>
      </c>
      <c r="F18" s="123"/>
      <c r="G18" s="123">
        <v>0</v>
      </c>
      <c r="H18" s="129">
        <v>1.8333333333333333</v>
      </c>
      <c r="I18" s="123">
        <v>0</v>
      </c>
      <c r="J18" s="123">
        <v>0</v>
      </c>
      <c r="K18" s="123">
        <v>0</v>
      </c>
      <c r="L18" s="123">
        <v>0</v>
      </c>
      <c r="M18" s="123"/>
      <c r="N18" s="123"/>
      <c r="O18" s="123"/>
      <c r="P18" s="123"/>
      <c r="Q18" s="123"/>
      <c r="R18" s="123"/>
    </row>
    <row r="19" spans="1:18" x14ac:dyDescent="0.2">
      <c r="A19" s="12">
        <v>1</v>
      </c>
      <c r="B19" s="12" t="s">
        <v>37</v>
      </c>
      <c r="C19" s="12" t="s">
        <v>26</v>
      </c>
      <c r="D19" s="129">
        <v>23.38</v>
      </c>
      <c r="E19" s="12">
        <v>2024</v>
      </c>
      <c r="F19" s="123"/>
      <c r="G19" s="123">
        <v>0</v>
      </c>
      <c r="H19" s="123">
        <v>0</v>
      </c>
      <c r="I19" s="129">
        <v>3.67</v>
      </c>
      <c r="J19" s="123">
        <v>0</v>
      </c>
      <c r="K19" s="123">
        <v>0</v>
      </c>
      <c r="L19" s="123">
        <v>0</v>
      </c>
      <c r="M19" s="123"/>
      <c r="N19" s="123"/>
      <c r="O19" s="123"/>
      <c r="P19" s="123"/>
      <c r="Q19" s="123"/>
      <c r="R19" s="123"/>
    </row>
    <row r="20" spans="1:18" x14ac:dyDescent="0.2">
      <c r="A20" s="12">
        <v>1</v>
      </c>
      <c r="B20" s="12" t="s">
        <v>38</v>
      </c>
      <c r="C20" s="12" t="s">
        <v>26</v>
      </c>
      <c r="D20" s="129">
        <v>34.19</v>
      </c>
      <c r="E20" s="12">
        <v>2024</v>
      </c>
      <c r="F20" s="123"/>
      <c r="G20" s="123">
        <v>0</v>
      </c>
      <c r="H20" s="123">
        <v>0</v>
      </c>
      <c r="I20" s="129">
        <v>2.71</v>
      </c>
      <c r="J20" s="123">
        <v>0</v>
      </c>
      <c r="K20" s="123">
        <v>0</v>
      </c>
      <c r="L20" s="123">
        <v>0</v>
      </c>
      <c r="M20" s="123"/>
      <c r="N20" s="123"/>
      <c r="O20" s="123"/>
      <c r="P20" s="123"/>
      <c r="Q20" s="123"/>
      <c r="R20" s="123"/>
    </row>
    <row r="21" spans="1:18" x14ac:dyDescent="0.2">
      <c r="A21" s="12">
        <v>1</v>
      </c>
      <c r="B21" s="12" t="s">
        <v>39</v>
      </c>
      <c r="C21" s="12" t="s">
        <v>26</v>
      </c>
      <c r="D21" s="129">
        <v>23.26</v>
      </c>
      <c r="E21" s="12">
        <v>2024</v>
      </c>
      <c r="F21" s="123"/>
      <c r="G21" s="123">
        <v>0</v>
      </c>
      <c r="H21" s="123">
        <v>0</v>
      </c>
      <c r="I21" s="129">
        <v>2.4900000000000002</v>
      </c>
      <c r="J21" s="123">
        <v>0</v>
      </c>
      <c r="K21" s="123">
        <v>0</v>
      </c>
      <c r="L21" s="123">
        <v>0</v>
      </c>
      <c r="M21" s="123"/>
      <c r="N21" s="123"/>
      <c r="O21" s="123"/>
      <c r="P21" s="123"/>
      <c r="Q21" s="123"/>
      <c r="R21" s="123"/>
    </row>
    <row r="22" spans="1:18" x14ac:dyDescent="0.2">
      <c r="A22" s="12">
        <v>1</v>
      </c>
      <c r="B22" s="12" t="s">
        <v>40</v>
      </c>
      <c r="C22" s="12" t="s">
        <v>26</v>
      </c>
      <c r="D22" s="129">
        <v>23.42</v>
      </c>
      <c r="E22" s="12">
        <v>2024</v>
      </c>
      <c r="F22" s="123"/>
      <c r="G22" s="123">
        <v>0</v>
      </c>
      <c r="H22" s="123">
        <v>0</v>
      </c>
      <c r="I22" s="123">
        <v>0</v>
      </c>
      <c r="J22" s="123">
        <v>0</v>
      </c>
      <c r="K22" s="123">
        <v>0</v>
      </c>
      <c r="L22" s="123">
        <v>0</v>
      </c>
      <c r="M22" s="123"/>
      <c r="N22" s="123"/>
      <c r="O22" s="123"/>
      <c r="P22" s="123"/>
      <c r="Q22" s="123"/>
      <c r="R22" s="123"/>
    </row>
    <row r="23" spans="1:18" x14ac:dyDescent="0.2">
      <c r="A23" s="12">
        <v>1</v>
      </c>
      <c r="B23" s="12" t="s">
        <v>41</v>
      </c>
      <c r="C23" s="12" t="s">
        <v>26</v>
      </c>
      <c r="D23" s="129">
        <v>22.27</v>
      </c>
      <c r="E23" s="12">
        <v>2024</v>
      </c>
      <c r="F23" s="123"/>
      <c r="G23" s="123">
        <v>0</v>
      </c>
      <c r="H23" s="123">
        <v>0</v>
      </c>
      <c r="I23" s="123">
        <v>0</v>
      </c>
      <c r="J23" s="123">
        <v>0</v>
      </c>
      <c r="K23" s="123">
        <v>0</v>
      </c>
      <c r="L23" s="123">
        <v>0</v>
      </c>
      <c r="M23" s="123"/>
      <c r="N23" s="123"/>
      <c r="O23" s="123"/>
      <c r="P23" s="123"/>
      <c r="Q23" s="123"/>
      <c r="R23" s="123"/>
    </row>
    <row r="24" spans="1:18" x14ac:dyDescent="0.2">
      <c r="A24" s="12">
        <v>1</v>
      </c>
      <c r="B24" s="12" t="s">
        <v>42</v>
      </c>
      <c r="C24" s="12" t="s">
        <v>26</v>
      </c>
      <c r="D24" s="129">
        <v>12.5</v>
      </c>
      <c r="E24" s="12">
        <v>2024</v>
      </c>
      <c r="F24" s="123"/>
      <c r="G24" s="123">
        <v>0</v>
      </c>
      <c r="H24" s="123">
        <v>0</v>
      </c>
      <c r="I24" s="123">
        <v>0</v>
      </c>
      <c r="J24" s="123">
        <v>0</v>
      </c>
      <c r="K24" s="123">
        <v>0</v>
      </c>
      <c r="L24" s="123">
        <v>0</v>
      </c>
      <c r="M24" s="123"/>
      <c r="N24" s="123"/>
      <c r="O24" s="123"/>
      <c r="P24" s="123"/>
      <c r="Q24" s="123"/>
      <c r="R24" s="123"/>
    </row>
    <row r="25" spans="1:18" x14ac:dyDescent="0.2">
      <c r="A25" s="12">
        <v>1</v>
      </c>
      <c r="B25" s="12" t="s">
        <v>43</v>
      </c>
      <c r="C25" s="12" t="s">
        <v>26</v>
      </c>
      <c r="D25" s="129">
        <v>8.42</v>
      </c>
      <c r="E25" s="12">
        <v>2024</v>
      </c>
      <c r="F25" s="123"/>
      <c r="G25" s="123">
        <v>0</v>
      </c>
      <c r="H25" s="123">
        <v>0</v>
      </c>
      <c r="I25" s="123">
        <v>0</v>
      </c>
      <c r="J25" s="123">
        <v>0</v>
      </c>
      <c r="K25" s="123">
        <v>0</v>
      </c>
      <c r="L25" s="123">
        <v>0</v>
      </c>
      <c r="M25" s="123"/>
      <c r="N25" s="123"/>
      <c r="O25" s="123"/>
      <c r="P25" s="123"/>
      <c r="Q25" s="123"/>
      <c r="R25" s="123"/>
    </row>
    <row r="26" spans="1:18" x14ac:dyDescent="0.2">
      <c r="A26" s="12">
        <v>1</v>
      </c>
      <c r="B26" s="12" t="s">
        <v>44</v>
      </c>
      <c r="C26" s="12" t="s">
        <v>26</v>
      </c>
      <c r="D26" s="129">
        <v>30.48</v>
      </c>
      <c r="E26" s="12">
        <v>2024</v>
      </c>
      <c r="F26" s="123"/>
      <c r="G26" s="123">
        <v>0</v>
      </c>
      <c r="H26" s="123">
        <v>0</v>
      </c>
      <c r="I26" s="129">
        <v>3.63</v>
      </c>
      <c r="J26" s="123">
        <v>0</v>
      </c>
      <c r="K26" s="123">
        <v>0</v>
      </c>
      <c r="L26" s="123">
        <v>0</v>
      </c>
      <c r="M26" s="123"/>
      <c r="N26" s="123"/>
      <c r="O26" s="123"/>
      <c r="P26" s="123"/>
      <c r="Q26" s="123"/>
      <c r="R26" s="123"/>
    </row>
    <row r="27" spans="1:18" x14ac:dyDescent="0.2">
      <c r="A27" s="12">
        <v>1</v>
      </c>
      <c r="B27" s="12" t="s">
        <v>45</v>
      </c>
      <c r="C27" s="12" t="s">
        <v>26</v>
      </c>
      <c r="D27" s="129">
        <v>23.7</v>
      </c>
      <c r="E27" s="12">
        <v>2024</v>
      </c>
      <c r="F27" s="123"/>
      <c r="G27" s="123">
        <v>0</v>
      </c>
      <c r="H27" s="123">
        <v>0</v>
      </c>
      <c r="I27" s="129">
        <v>3.71</v>
      </c>
      <c r="J27" s="123">
        <v>0</v>
      </c>
      <c r="K27" s="123">
        <v>0</v>
      </c>
      <c r="L27" s="123">
        <v>0</v>
      </c>
      <c r="M27" s="123"/>
      <c r="N27" s="123"/>
      <c r="O27" s="123"/>
      <c r="P27" s="123"/>
      <c r="Q27" s="123"/>
      <c r="R27" s="123"/>
    </row>
    <row r="28" spans="1:18" x14ac:dyDescent="0.2">
      <c r="A28" s="12">
        <v>1</v>
      </c>
      <c r="B28" s="12" t="s">
        <v>46</v>
      </c>
      <c r="C28" s="12" t="s">
        <v>26</v>
      </c>
      <c r="D28" s="129">
        <v>23.61</v>
      </c>
      <c r="E28" s="12">
        <v>2024</v>
      </c>
      <c r="F28" s="123"/>
      <c r="G28" s="123">
        <v>0</v>
      </c>
      <c r="H28" s="123">
        <v>0</v>
      </c>
      <c r="I28" s="123">
        <v>0</v>
      </c>
      <c r="J28" s="123">
        <v>0</v>
      </c>
      <c r="K28" s="123">
        <v>0</v>
      </c>
      <c r="L28" s="123">
        <v>0</v>
      </c>
      <c r="M28" s="123"/>
      <c r="N28" s="123"/>
      <c r="O28" s="123"/>
      <c r="P28" s="123"/>
      <c r="Q28" s="123"/>
      <c r="R28" s="123"/>
    </row>
    <row r="29" spans="1:18" x14ac:dyDescent="0.2">
      <c r="A29" s="12">
        <v>1</v>
      </c>
      <c r="B29" s="12" t="s">
        <v>47</v>
      </c>
      <c r="C29" s="12" t="s">
        <v>26</v>
      </c>
      <c r="D29" s="129">
        <v>23.48</v>
      </c>
      <c r="E29" s="12">
        <v>2024</v>
      </c>
      <c r="F29" s="123"/>
      <c r="G29" s="123">
        <v>0</v>
      </c>
      <c r="H29" s="123">
        <v>0</v>
      </c>
      <c r="I29" s="123">
        <v>0</v>
      </c>
      <c r="J29" s="123">
        <v>0</v>
      </c>
      <c r="K29" s="123">
        <v>0</v>
      </c>
      <c r="L29" s="123">
        <v>0</v>
      </c>
      <c r="M29" s="123"/>
      <c r="N29" s="123"/>
      <c r="O29" s="123"/>
      <c r="P29" s="123"/>
      <c r="Q29" s="123"/>
      <c r="R29" s="123"/>
    </row>
    <row r="30" spans="1:18" x14ac:dyDescent="0.2">
      <c r="A30" s="12">
        <v>1</v>
      </c>
      <c r="B30" s="12" t="s">
        <v>48</v>
      </c>
      <c r="C30" s="12" t="s">
        <v>26</v>
      </c>
      <c r="D30" s="129">
        <v>5.57</v>
      </c>
      <c r="E30" s="12">
        <v>2026</v>
      </c>
      <c r="F30" s="123"/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/>
      <c r="N30" s="123"/>
      <c r="O30" s="123"/>
      <c r="P30" s="123"/>
      <c r="Q30" s="123"/>
      <c r="R30" s="123"/>
    </row>
    <row r="31" spans="1:18" x14ac:dyDescent="0.2">
      <c r="A31" s="12">
        <v>1</v>
      </c>
      <c r="B31" s="12" t="s">
        <v>49</v>
      </c>
      <c r="C31" s="12" t="s">
        <v>26</v>
      </c>
      <c r="D31" s="129">
        <v>27.24</v>
      </c>
      <c r="E31" s="12">
        <v>2025</v>
      </c>
      <c r="F31" s="123"/>
      <c r="G31" s="123">
        <v>0</v>
      </c>
      <c r="H31" s="123">
        <v>0</v>
      </c>
      <c r="I31" s="129">
        <v>4.26</v>
      </c>
      <c r="J31" s="123">
        <v>0</v>
      </c>
      <c r="K31" s="123">
        <v>0</v>
      </c>
      <c r="L31" s="123">
        <v>0</v>
      </c>
      <c r="M31" s="123"/>
      <c r="N31" s="123"/>
      <c r="O31" s="123"/>
      <c r="P31" s="123"/>
      <c r="Q31" s="123"/>
      <c r="R31" s="123"/>
    </row>
    <row r="32" spans="1:18" x14ac:dyDescent="0.2">
      <c r="A32" s="12">
        <v>1</v>
      </c>
      <c r="B32" s="12" t="s">
        <v>50</v>
      </c>
      <c r="C32" s="12" t="s">
        <v>26</v>
      </c>
      <c r="D32" s="129">
        <v>23.19</v>
      </c>
      <c r="E32" s="12">
        <v>2025</v>
      </c>
      <c r="F32" s="123"/>
      <c r="G32" s="123">
        <v>0</v>
      </c>
      <c r="H32" s="123">
        <v>0</v>
      </c>
      <c r="I32" s="123">
        <v>0</v>
      </c>
      <c r="J32" s="123">
        <v>0</v>
      </c>
      <c r="K32" s="123">
        <v>0</v>
      </c>
      <c r="L32" s="123">
        <v>0</v>
      </c>
      <c r="M32" s="123"/>
      <c r="N32" s="123"/>
      <c r="O32" s="123"/>
      <c r="P32" s="123"/>
      <c r="Q32" s="123"/>
      <c r="R32" s="123"/>
    </row>
    <row r="33" spans="1:18" x14ac:dyDescent="0.2">
      <c r="A33" s="12">
        <v>1</v>
      </c>
      <c r="B33" s="12" t="s">
        <v>51</v>
      </c>
      <c r="C33" s="12" t="s">
        <v>26</v>
      </c>
      <c r="D33" s="129">
        <v>11.87</v>
      </c>
      <c r="E33" s="12">
        <v>2025</v>
      </c>
      <c r="F33" s="123"/>
      <c r="G33" s="123">
        <v>0</v>
      </c>
      <c r="H33" s="123">
        <v>0</v>
      </c>
      <c r="I33" s="123">
        <v>0</v>
      </c>
      <c r="J33" s="123">
        <v>0</v>
      </c>
      <c r="K33" s="123">
        <v>0</v>
      </c>
      <c r="L33" s="123">
        <v>0</v>
      </c>
      <c r="M33" s="123"/>
      <c r="N33" s="123"/>
      <c r="O33" s="123"/>
      <c r="P33" s="123"/>
      <c r="Q33" s="123"/>
      <c r="R33" s="123"/>
    </row>
    <row r="34" spans="1:18" x14ac:dyDescent="0.2">
      <c r="A34" s="12">
        <v>1</v>
      </c>
      <c r="B34" s="12" t="s">
        <v>52</v>
      </c>
      <c r="C34" s="12" t="s">
        <v>26</v>
      </c>
      <c r="D34" s="129">
        <v>29.15</v>
      </c>
      <c r="E34" s="12">
        <v>2025</v>
      </c>
      <c r="F34" s="123"/>
      <c r="G34" s="123">
        <v>0</v>
      </c>
      <c r="H34" s="123">
        <v>0</v>
      </c>
      <c r="I34" s="129">
        <v>4.18</v>
      </c>
      <c r="J34" s="123">
        <v>0</v>
      </c>
      <c r="K34" s="123">
        <v>0</v>
      </c>
      <c r="L34" s="123">
        <v>0</v>
      </c>
      <c r="M34" s="123"/>
      <c r="N34" s="123"/>
      <c r="O34" s="123"/>
      <c r="P34" s="123"/>
      <c r="Q34" s="123"/>
      <c r="R34" s="123"/>
    </row>
    <row r="35" spans="1:18" x14ac:dyDescent="0.2">
      <c r="A35" s="12">
        <v>1</v>
      </c>
      <c r="B35" s="12" t="s">
        <v>53</v>
      </c>
      <c r="C35" s="12" t="s">
        <v>26</v>
      </c>
      <c r="D35" s="129">
        <v>23.47</v>
      </c>
      <c r="E35" s="12">
        <v>2025</v>
      </c>
      <c r="F35" s="123"/>
      <c r="G35" s="123">
        <v>0</v>
      </c>
      <c r="H35" s="123">
        <v>0</v>
      </c>
      <c r="I35" s="123">
        <v>0</v>
      </c>
      <c r="J35" s="123">
        <v>0</v>
      </c>
      <c r="K35" s="123">
        <v>0</v>
      </c>
      <c r="L35" s="123">
        <v>0</v>
      </c>
      <c r="M35" s="123"/>
      <c r="N35" s="123"/>
      <c r="O35" s="123"/>
      <c r="P35" s="123"/>
      <c r="Q35" s="123"/>
      <c r="R35" s="123"/>
    </row>
    <row r="36" spans="1:18" x14ac:dyDescent="0.2">
      <c r="A36" s="12">
        <v>1</v>
      </c>
      <c r="B36" s="12" t="s">
        <v>54</v>
      </c>
      <c r="C36" s="12" t="s">
        <v>26</v>
      </c>
      <c r="D36" s="129">
        <v>25.26</v>
      </c>
      <c r="E36" s="12">
        <v>2025</v>
      </c>
      <c r="F36" s="123"/>
      <c r="G36" s="123">
        <v>0</v>
      </c>
      <c r="H36" s="123">
        <v>0</v>
      </c>
      <c r="I36" s="123">
        <v>0</v>
      </c>
      <c r="J36" s="123">
        <v>0</v>
      </c>
      <c r="K36" s="123">
        <v>0</v>
      </c>
      <c r="L36" s="123">
        <v>0</v>
      </c>
      <c r="M36" s="123"/>
      <c r="N36" s="123"/>
      <c r="O36" s="123"/>
      <c r="P36" s="123"/>
      <c r="Q36" s="123"/>
      <c r="R36" s="123"/>
    </row>
    <row r="37" spans="1:18" x14ac:dyDescent="0.2">
      <c r="A37" s="12">
        <v>1</v>
      </c>
      <c r="B37" s="12" t="s">
        <v>55</v>
      </c>
      <c r="C37" s="12" t="s">
        <v>26</v>
      </c>
      <c r="D37" s="129">
        <v>21.6</v>
      </c>
      <c r="E37" s="12">
        <v>2025</v>
      </c>
      <c r="F37" s="123"/>
      <c r="G37" s="123">
        <v>0</v>
      </c>
      <c r="H37" s="123">
        <v>0</v>
      </c>
      <c r="I37" s="123">
        <v>0</v>
      </c>
      <c r="J37" s="129">
        <v>13.84</v>
      </c>
      <c r="K37" s="123">
        <v>0</v>
      </c>
      <c r="L37" s="123">
        <v>0</v>
      </c>
      <c r="M37" s="123"/>
      <c r="N37" s="123"/>
      <c r="O37" s="123"/>
      <c r="P37" s="123"/>
      <c r="Q37" s="123"/>
      <c r="R37" s="123"/>
    </row>
    <row r="38" spans="1:18" x14ac:dyDescent="0.2">
      <c r="A38" s="12">
        <v>1</v>
      </c>
      <c r="B38" s="12" t="s">
        <v>56</v>
      </c>
      <c r="C38" s="12" t="s">
        <v>26</v>
      </c>
      <c r="D38" s="129">
        <v>8.25</v>
      </c>
      <c r="E38" s="12">
        <v>2025</v>
      </c>
      <c r="F38" s="123"/>
      <c r="G38" s="123">
        <v>0</v>
      </c>
      <c r="H38" s="123">
        <v>0</v>
      </c>
      <c r="I38" s="123">
        <v>0</v>
      </c>
      <c r="J38" s="129">
        <v>18.100000000000001</v>
      </c>
      <c r="K38" s="123">
        <v>0</v>
      </c>
      <c r="L38" s="123">
        <v>0</v>
      </c>
      <c r="M38" s="123"/>
      <c r="N38" s="123"/>
      <c r="O38" s="123"/>
      <c r="P38" s="123"/>
      <c r="Q38" s="123"/>
      <c r="R38" s="123"/>
    </row>
    <row r="39" spans="1:18" x14ac:dyDescent="0.2">
      <c r="A39" s="12">
        <v>1</v>
      </c>
      <c r="B39" s="12" t="s">
        <v>57</v>
      </c>
      <c r="C39" s="12" t="s">
        <v>26</v>
      </c>
      <c r="D39" s="129">
        <v>30.37</v>
      </c>
      <c r="E39" s="12">
        <v>2025</v>
      </c>
      <c r="F39" s="123"/>
      <c r="G39" s="123">
        <v>0</v>
      </c>
      <c r="H39" s="123">
        <v>0</v>
      </c>
      <c r="I39" s="123">
        <v>0</v>
      </c>
      <c r="J39" s="129">
        <v>19.41</v>
      </c>
      <c r="K39" s="123">
        <v>0</v>
      </c>
      <c r="L39" s="123">
        <v>0</v>
      </c>
      <c r="M39" s="123"/>
      <c r="N39" s="123"/>
      <c r="O39" s="123"/>
      <c r="P39" s="123"/>
      <c r="Q39" s="123"/>
      <c r="R39" s="123"/>
    </row>
    <row r="40" spans="1:18" x14ac:dyDescent="0.2">
      <c r="A40" s="12">
        <v>1</v>
      </c>
      <c r="B40" s="12" t="s">
        <v>58</v>
      </c>
      <c r="C40" s="12" t="s">
        <v>26</v>
      </c>
      <c r="D40" s="129">
        <v>25.02</v>
      </c>
      <c r="E40" s="12">
        <v>2025</v>
      </c>
      <c r="F40" s="123"/>
      <c r="G40" s="123">
        <v>0</v>
      </c>
      <c r="H40" s="123">
        <v>0</v>
      </c>
      <c r="I40" s="123">
        <v>0</v>
      </c>
      <c r="J40" s="123">
        <v>0</v>
      </c>
      <c r="K40" s="123">
        <v>0</v>
      </c>
      <c r="L40" s="123">
        <v>0</v>
      </c>
      <c r="M40" s="123"/>
      <c r="N40" s="123"/>
      <c r="O40" s="123"/>
      <c r="P40" s="123"/>
      <c r="Q40" s="123"/>
      <c r="R40" s="123"/>
    </row>
    <row r="41" spans="1:18" x14ac:dyDescent="0.2">
      <c r="A41" s="12">
        <v>1</v>
      </c>
      <c r="B41" s="12" t="s">
        <v>59</v>
      </c>
      <c r="C41" s="12" t="s">
        <v>26</v>
      </c>
      <c r="D41" s="129">
        <v>21.24</v>
      </c>
      <c r="E41" s="12">
        <v>2025</v>
      </c>
      <c r="F41" s="123"/>
      <c r="G41" s="123">
        <v>0</v>
      </c>
      <c r="H41" s="123">
        <v>0</v>
      </c>
      <c r="I41" s="123">
        <v>0</v>
      </c>
      <c r="J41" s="123">
        <v>0</v>
      </c>
      <c r="K41" s="123">
        <v>0</v>
      </c>
      <c r="L41" s="123">
        <v>0</v>
      </c>
      <c r="M41" s="123"/>
      <c r="N41" s="123"/>
      <c r="O41" s="123"/>
      <c r="P41" s="123"/>
      <c r="Q41" s="123"/>
      <c r="R41" s="123"/>
    </row>
    <row r="42" spans="1:18" x14ac:dyDescent="0.2">
      <c r="A42" s="12">
        <v>1</v>
      </c>
      <c r="B42" s="12" t="s">
        <v>60</v>
      </c>
      <c r="C42" s="12" t="s">
        <v>26</v>
      </c>
      <c r="D42" s="129">
        <v>22.69</v>
      </c>
      <c r="E42" s="12">
        <v>2025</v>
      </c>
      <c r="F42" s="123"/>
      <c r="G42" s="123">
        <v>0</v>
      </c>
      <c r="H42" s="123">
        <v>0</v>
      </c>
      <c r="I42" s="123">
        <v>0</v>
      </c>
      <c r="J42" s="129">
        <v>9.3800000000000008</v>
      </c>
      <c r="K42" s="123">
        <v>0</v>
      </c>
      <c r="L42" s="123">
        <v>0</v>
      </c>
      <c r="M42" s="123"/>
      <c r="N42" s="123"/>
      <c r="O42" s="123"/>
      <c r="P42" s="123"/>
      <c r="Q42" s="123"/>
      <c r="R42" s="123"/>
    </row>
    <row r="43" spans="1:18" x14ac:dyDescent="0.2">
      <c r="A43" s="12">
        <v>1</v>
      </c>
      <c r="B43" s="12" t="s">
        <v>61</v>
      </c>
      <c r="C43" s="12" t="s">
        <v>26</v>
      </c>
      <c r="D43" s="129">
        <v>24.24</v>
      </c>
      <c r="E43" s="12">
        <v>2025</v>
      </c>
      <c r="F43" s="123"/>
      <c r="G43" s="123">
        <v>0</v>
      </c>
      <c r="H43" s="123">
        <v>0</v>
      </c>
      <c r="I43" s="123">
        <v>0</v>
      </c>
      <c r="J43" s="129">
        <v>6.72</v>
      </c>
      <c r="K43" s="123">
        <v>0</v>
      </c>
      <c r="L43" s="123">
        <v>0</v>
      </c>
      <c r="M43" s="123"/>
      <c r="N43" s="123"/>
      <c r="O43" s="123"/>
      <c r="P43" s="123"/>
      <c r="Q43" s="123"/>
      <c r="R43" s="123"/>
    </row>
    <row r="44" spans="1:18" x14ac:dyDescent="0.2">
      <c r="A44" s="12">
        <v>1</v>
      </c>
      <c r="B44" s="12" t="s">
        <v>62</v>
      </c>
      <c r="C44" s="12" t="s">
        <v>26</v>
      </c>
      <c r="D44" s="129">
        <v>17.47</v>
      </c>
      <c r="E44" s="12">
        <v>2026</v>
      </c>
      <c r="F44" s="123"/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23"/>
      <c r="N44" s="123"/>
      <c r="O44" s="123"/>
      <c r="P44" s="123"/>
      <c r="Q44" s="123"/>
      <c r="R44" s="123"/>
    </row>
    <row r="45" spans="1:18" x14ac:dyDescent="0.2">
      <c r="A45" s="12">
        <v>1</v>
      </c>
      <c r="B45" s="12" t="s">
        <v>63</v>
      </c>
      <c r="C45" s="12" t="s">
        <v>26</v>
      </c>
      <c r="D45" s="129">
        <v>48.83</v>
      </c>
      <c r="E45" s="12">
        <v>2026</v>
      </c>
      <c r="F45" s="123"/>
      <c r="G45" s="123">
        <v>0</v>
      </c>
      <c r="H45" s="123">
        <v>0</v>
      </c>
      <c r="I45" s="123">
        <v>0</v>
      </c>
      <c r="J45" s="123">
        <v>0</v>
      </c>
      <c r="K45" s="123">
        <v>0</v>
      </c>
      <c r="L45" s="123">
        <v>0</v>
      </c>
      <c r="M45" s="123"/>
      <c r="N45" s="123"/>
      <c r="O45" s="123"/>
      <c r="P45" s="123"/>
      <c r="Q45" s="123"/>
      <c r="R45" s="123"/>
    </row>
    <row r="46" spans="1:18" x14ac:dyDescent="0.2">
      <c r="A46" s="12">
        <v>1</v>
      </c>
      <c r="B46" s="12" t="s">
        <v>64</v>
      </c>
      <c r="C46" s="12" t="s">
        <v>26</v>
      </c>
      <c r="D46" s="129">
        <v>28.89</v>
      </c>
      <c r="E46" s="12">
        <v>2026</v>
      </c>
      <c r="F46" s="123"/>
      <c r="G46" s="123">
        <v>0</v>
      </c>
      <c r="H46" s="123">
        <v>0</v>
      </c>
      <c r="I46" s="123">
        <v>0</v>
      </c>
      <c r="J46" s="123">
        <v>0</v>
      </c>
      <c r="K46" s="123">
        <v>0</v>
      </c>
      <c r="L46" s="123">
        <v>0</v>
      </c>
      <c r="M46" s="123"/>
      <c r="N46" s="123"/>
      <c r="O46" s="123"/>
      <c r="P46" s="123"/>
      <c r="Q46" s="123"/>
      <c r="R46" s="123"/>
    </row>
    <row r="47" spans="1:18" x14ac:dyDescent="0.2">
      <c r="A47" s="12">
        <v>1</v>
      </c>
      <c r="B47" s="12" t="s">
        <v>65</v>
      </c>
      <c r="C47" s="12" t="s">
        <v>26</v>
      </c>
      <c r="D47" s="129">
        <v>28.34</v>
      </c>
      <c r="E47" s="12">
        <v>2026</v>
      </c>
      <c r="F47" s="123"/>
      <c r="G47" s="123">
        <v>0</v>
      </c>
      <c r="H47" s="123">
        <v>0</v>
      </c>
      <c r="I47" s="123">
        <v>0</v>
      </c>
      <c r="J47" s="123">
        <v>0</v>
      </c>
      <c r="K47" s="123">
        <v>0</v>
      </c>
      <c r="L47" s="123">
        <v>0</v>
      </c>
      <c r="M47" s="123"/>
      <c r="N47" s="123"/>
      <c r="O47" s="123"/>
      <c r="P47" s="123"/>
      <c r="Q47" s="123"/>
      <c r="R47" s="123"/>
    </row>
    <row r="48" spans="1:18" x14ac:dyDescent="0.2">
      <c r="A48" s="12">
        <v>1</v>
      </c>
      <c r="B48" s="12" t="s">
        <v>66</v>
      </c>
      <c r="C48" s="12" t="s">
        <v>26</v>
      </c>
      <c r="D48" s="129">
        <v>24.73</v>
      </c>
      <c r="E48" s="12">
        <v>2026</v>
      </c>
      <c r="F48" s="123"/>
      <c r="G48" s="123">
        <v>0</v>
      </c>
      <c r="H48" s="123">
        <v>0</v>
      </c>
      <c r="I48" s="123">
        <v>0</v>
      </c>
      <c r="J48" s="123">
        <v>0</v>
      </c>
      <c r="K48" s="123">
        <v>0</v>
      </c>
      <c r="L48" s="123">
        <v>0</v>
      </c>
      <c r="M48" s="123"/>
      <c r="N48" s="123"/>
      <c r="O48" s="123"/>
      <c r="P48" s="123"/>
      <c r="Q48" s="123"/>
      <c r="R48" s="123"/>
    </row>
    <row r="49" spans="1:18" x14ac:dyDescent="0.2">
      <c r="A49" s="12">
        <v>1</v>
      </c>
      <c r="B49" s="12" t="s">
        <v>67</v>
      </c>
      <c r="C49" s="12" t="s">
        <v>26</v>
      </c>
      <c r="D49" s="129">
        <v>14.35</v>
      </c>
      <c r="E49" s="12">
        <v>2026</v>
      </c>
      <c r="F49" s="123"/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/>
      <c r="N49" s="123"/>
      <c r="O49" s="123"/>
      <c r="P49" s="123"/>
      <c r="Q49" s="123"/>
      <c r="R49" s="123"/>
    </row>
    <row r="50" spans="1:18" x14ac:dyDescent="0.2">
      <c r="A50" s="12">
        <v>1</v>
      </c>
      <c r="B50" s="12" t="s">
        <v>68</v>
      </c>
      <c r="C50" s="12" t="s">
        <v>26</v>
      </c>
      <c r="D50" s="129">
        <v>38.29</v>
      </c>
      <c r="E50" s="12">
        <v>2026</v>
      </c>
      <c r="F50" s="123"/>
      <c r="G50" s="123">
        <v>0</v>
      </c>
      <c r="H50" s="123">
        <v>0</v>
      </c>
      <c r="I50" s="123">
        <v>0</v>
      </c>
      <c r="J50" s="123">
        <v>0</v>
      </c>
      <c r="K50" s="123">
        <v>0</v>
      </c>
      <c r="L50" s="123">
        <v>0</v>
      </c>
      <c r="M50" s="123"/>
      <c r="N50" s="123"/>
      <c r="O50" s="123"/>
      <c r="P50" s="123"/>
      <c r="Q50" s="123"/>
      <c r="R50" s="123"/>
    </row>
    <row r="51" spans="1:18" x14ac:dyDescent="0.2">
      <c r="A51" s="12">
        <v>1</v>
      </c>
      <c r="B51" s="12" t="s">
        <v>69</v>
      </c>
      <c r="C51" s="12" t="s">
        <v>26</v>
      </c>
      <c r="D51" s="129">
        <v>22.95</v>
      </c>
      <c r="E51" s="12">
        <v>2026</v>
      </c>
      <c r="F51" s="123"/>
      <c r="G51" s="123">
        <v>0</v>
      </c>
      <c r="H51" s="123">
        <v>0</v>
      </c>
      <c r="I51" s="123">
        <v>0</v>
      </c>
      <c r="J51" s="123">
        <v>0</v>
      </c>
      <c r="K51" s="123">
        <v>0</v>
      </c>
      <c r="L51" s="123">
        <v>0</v>
      </c>
      <c r="M51" s="123"/>
      <c r="N51" s="123"/>
      <c r="O51" s="123"/>
      <c r="P51" s="123"/>
      <c r="Q51" s="123"/>
      <c r="R51" s="123"/>
    </row>
    <row r="52" spans="1:18" x14ac:dyDescent="0.2">
      <c r="A52" s="12">
        <v>1</v>
      </c>
      <c r="B52" s="12" t="s">
        <v>70</v>
      </c>
      <c r="C52" s="12" t="s">
        <v>26</v>
      </c>
      <c r="D52" s="129">
        <v>10.119999999999999</v>
      </c>
      <c r="E52" s="12">
        <v>2026</v>
      </c>
      <c r="F52" s="123"/>
      <c r="G52" s="123">
        <v>0</v>
      </c>
      <c r="H52" s="123">
        <v>0</v>
      </c>
      <c r="I52" s="123">
        <v>0</v>
      </c>
      <c r="J52" s="123">
        <v>0</v>
      </c>
      <c r="K52" s="123">
        <v>0</v>
      </c>
      <c r="L52" s="123">
        <v>0</v>
      </c>
      <c r="M52" s="123"/>
      <c r="N52" s="123"/>
      <c r="O52" s="123"/>
      <c r="P52" s="123"/>
      <c r="Q52" s="123"/>
      <c r="R52" s="123"/>
    </row>
    <row r="53" spans="1:18" x14ac:dyDescent="0.2">
      <c r="A53" s="313" t="s">
        <v>71</v>
      </c>
      <c r="B53" s="314"/>
      <c r="C53" s="315"/>
      <c r="D53" s="150">
        <f>SUM(D8:D52)</f>
        <v>1047.0800000000002</v>
      </c>
      <c r="E53" s="125"/>
      <c r="F53" s="126"/>
      <c r="G53" s="123"/>
      <c r="H53" s="126"/>
      <c r="I53" s="126"/>
      <c r="J53" s="126"/>
      <c r="K53" s="126"/>
      <c r="L53" s="123"/>
      <c r="M53" s="126"/>
      <c r="N53" s="126"/>
      <c r="O53" s="126"/>
      <c r="P53" s="126"/>
      <c r="Q53" s="126"/>
      <c r="R53" s="126"/>
    </row>
    <row r="54" spans="1:18" x14ac:dyDescent="0.2">
      <c r="A54" s="12">
        <v>2</v>
      </c>
      <c r="B54" s="12" t="s">
        <v>72</v>
      </c>
      <c r="C54" s="12" t="s">
        <v>26</v>
      </c>
      <c r="D54" s="129">
        <v>2.83</v>
      </c>
      <c r="E54" s="12">
        <v>1997</v>
      </c>
      <c r="F54" s="123"/>
      <c r="G54" s="123">
        <v>0</v>
      </c>
      <c r="H54" s="123">
        <v>0</v>
      </c>
      <c r="I54" s="123">
        <v>0</v>
      </c>
      <c r="J54" s="123">
        <v>0</v>
      </c>
      <c r="K54" s="123">
        <v>0</v>
      </c>
      <c r="L54" s="123">
        <v>0</v>
      </c>
      <c r="M54" s="123"/>
      <c r="N54" s="123"/>
      <c r="O54" s="123"/>
      <c r="P54" s="123"/>
      <c r="Q54" s="123"/>
      <c r="R54" s="123"/>
    </row>
    <row r="55" spans="1:18" x14ac:dyDescent="0.2">
      <c r="A55" s="12">
        <v>2</v>
      </c>
      <c r="B55" s="12" t="s">
        <v>73</v>
      </c>
      <c r="C55" s="12" t="s">
        <v>26</v>
      </c>
      <c r="D55" s="129">
        <v>13.72</v>
      </c>
      <c r="E55" s="12">
        <v>1997</v>
      </c>
      <c r="F55" s="123"/>
      <c r="G55" s="123">
        <v>0</v>
      </c>
      <c r="H55" s="123">
        <v>0</v>
      </c>
      <c r="I55" s="123">
        <v>0</v>
      </c>
      <c r="J55" s="123">
        <v>0</v>
      </c>
      <c r="K55" s="123">
        <v>0</v>
      </c>
      <c r="L55" s="123">
        <v>0</v>
      </c>
      <c r="M55" s="123"/>
      <c r="N55" s="123"/>
      <c r="O55" s="123"/>
      <c r="P55" s="123"/>
      <c r="Q55" s="123"/>
      <c r="R55" s="123"/>
    </row>
    <row r="56" spans="1:18" x14ac:dyDescent="0.2">
      <c r="A56" s="12">
        <v>2</v>
      </c>
      <c r="B56" s="12" t="s">
        <v>74</v>
      </c>
      <c r="C56" s="12" t="s">
        <v>26</v>
      </c>
      <c r="D56" s="129">
        <v>25.5</v>
      </c>
      <c r="E56" s="12">
        <v>1997</v>
      </c>
      <c r="F56" s="123"/>
      <c r="G56" s="123">
        <v>0</v>
      </c>
      <c r="H56" s="123">
        <v>0</v>
      </c>
      <c r="I56" s="123">
        <v>0</v>
      </c>
      <c r="J56" s="123">
        <v>0</v>
      </c>
      <c r="K56" s="123">
        <v>0</v>
      </c>
      <c r="L56" s="123">
        <v>0</v>
      </c>
      <c r="M56" s="123"/>
      <c r="N56" s="123"/>
      <c r="O56" s="123"/>
      <c r="P56" s="123"/>
      <c r="Q56" s="123"/>
      <c r="R56" s="123"/>
    </row>
    <row r="57" spans="1:18" x14ac:dyDescent="0.2">
      <c r="A57" s="12">
        <v>2</v>
      </c>
      <c r="B57" s="12" t="s">
        <v>75</v>
      </c>
      <c r="C57" s="12" t="s">
        <v>26</v>
      </c>
      <c r="D57" s="129">
        <v>33.6</v>
      </c>
      <c r="E57" s="12">
        <v>1997</v>
      </c>
      <c r="F57" s="123"/>
      <c r="G57" s="123">
        <v>0</v>
      </c>
      <c r="H57" s="123">
        <v>0</v>
      </c>
      <c r="I57" s="123">
        <v>0</v>
      </c>
      <c r="J57" s="123">
        <v>0</v>
      </c>
      <c r="K57" s="123">
        <v>0</v>
      </c>
      <c r="L57" s="123">
        <v>0</v>
      </c>
      <c r="M57" s="123"/>
      <c r="N57" s="123"/>
      <c r="O57" s="123"/>
      <c r="P57" s="123"/>
      <c r="Q57" s="123"/>
      <c r="R57" s="123"/>
    </row>
    <row r="58" spans="1:18" x14ac:dyDescent="0.2">
      <c r="A58" s="12">
        <v>2</v>
      </c>
      <c r="B58" s="12" t="s">
        <v>76</v>
      </c>
      <c r="C58" s="12" t="s">
        <v>26</v>
      </c>
      <c r="D58" s="129">
        <v>32.25</v>
      </c>
      <c r="E58" s="12">
        <v>1997</v>
      </c>
      <c r="F58" s="123"/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/>
      <c r="N58" s="123"/>
      <c r="O58" s="123"/>
      <c r="P58" s="123"/>
      <c r="Q58" s="123"/>
      <c r="R58" s="123"/>
    </row>
    <row r="59" spans="1:18" x14ac:dyDescent="0.2">
      <c r="A59" s="12">
        <v>2</v>
      </c>
      <c r="B59" s="12" t="s">
        <v>77</v>
      </c>
      <c r="C59" s="12" t="s">
        <v>26</v>
      </c>
      <c r="D59" s="129">
        <v>35.94</v>
      </c>
      <c r="E59" s="12">
        <v>1996</v>
      </c>
      <c r="F59" s="123"/>
      <c r="G59" s="123">
        <v>0</v>
      </c>
      <c r="H59" s="123">
        <v>0</v>
      </c>
      <c r="I59" s="123">
        <v>0</v>
      </c>
      <c r="J59" s="123">
        <v>0</v>
      </c>
      <c r="K59" s="123">
        <v>0</v>
      </c>
      <c r="L59" s="123">
        <v>0</v>
      </c>
      <c r="M59" s="123"/>
      <c r="N59" s="123"/>
      <c r="O59" s="123"/>
      <c r="P59" s="123"/>
      <c r="Q59" s="123"/>
      <c r="R59" s="123"/>
    </row>
    <row r="60" spans="1:18" x14ac:dyDescent="0.2">
      <c r="A60" s="12">
        <v>2</v>
      </c>
      <c r="B60" s="12" t="s">
        <v>78</v>
      </c>
      <c r="C60" s="12" t="s">
        <v>26</v>
      </c>
      <c r="D60" s="129">
        <v>32.69</v>
      </c>
      <c r="E60" s="12">
        <v>1997</v>
      </c>
      <c r="F60" s="123"/>
      <c r="G60" s="123">
        <v>0</v>
      </c>
      <c r="H60" s="123">
        <v>0</v>
      </c>
      <c r="I60" s="123">
        <v>0</v>
      </c>
      <c r="J60" s="123">
        <v>0</v>
      </c>
      <c r="K60" s="123">
        <v>0</v>
      </c>
      <c r="L60" s="123">
        <v>0</v>
      </c>
      <c r="M60" s="123"/>
      <c r="N60" s="123"/>
      <c r="O60" s="123"/>
      <c r="P60" s="123"/>
      <c r="Q60" s="123"/>
      <c r="R60" s="123"/>
    </row>
    <row r="61" spans="1:18" x14ac:dyDescent="0.2">
      <c r="A61" s="12">
        <v>2</v>
      </c>
      <c r="B61" s="12" t="s">
        <v>79</v>
      </c>
      <c r="C61" s="12" t="s">
        <v>26</v>
      </c>
      <c r="D61" s="129">
        <v>36.6</v>
      </c>
      <c r="E61" s="12">
        <v>1996</v>
      </c>
      <c r="F61" s="123"/>
      <c r="G61" s="123">
        <v>0</v>
      </c>
      <c r="H61" s="123">
        <v>0</v>
      </c>
      <c r="I61" s="123">
        <v>0</v>
      </c>
      <c r="J61" s="123">
        <v>0</v>
      </c>
      <c r="K61" s="123">
        <v>0</v>
      </c>
      <c r="L61" s="123">
        <v>0</v>
      </c>
      <c r="M61" s="123"/>
      <c r="N61" s="123"/>
      <c r="O61" s="123"/>
      <c r="P61" s="123"/>
      <c r="Q61" s="123"/>
      <c r="R61" s="123"/>
    </row>
    <row r="62" spans="1:18" x14ac:dyDescent="0.2">
      <c r="A62" s="12">
        <v>2</v>
      </c>
      <c r="B62" s="12" t="s">
        <v>80</v>
      </c>
      <c r="C62" s="12" t="s">
        <v>26</v>
      </c>
      <c r="D62" s="129">
        <v>33.03</v>
      </c>
      <c r="E62" s="12">
        <v>1996</v>
      </c>
      <c r="F62" s="123"/>
      <c r="G62" s="123">
        <v>0</v>
      </c>
      <c r="H62" s="123">
        <v>0</v>
      </c>
      <c r="I62" s="123">
        <v>0</v>
      </c>
      <c r="J62" s="123">
        <v>0</v>
      </c>
      <c r="K62" s="123">
        <v>0</v>
      </c>
      <c r="L62" s="123">
        <v>0</v>
      </c>
      <c r="M62" s="123"/>
      <c r="N62" s="123"/>
      <c r="O62" s="123"/>
      <c r="P62" s="123"/>
      <c r="Q62" s="123"/>
      <c r="R62" s="123"/>
    </row>
    <row r="63" spans="1:18" x14ac:dyDescent="0.2">
      <c r="A63" s="12">
        <v>2</v>
      </c>
      <c r="B63" s="12" t="s">
        <v>81</v>
      </c>
      <c r="C63" s="12" t="s">
        <v>26</v>
      </c>
      <c r="D63" s="129">
        <v>33.15</v>
      </c>
      <c r="E63" s="12">
        <v>1996</v>
      </c>
      <c r="F63" s="123"/>
      <c r="G63" s="123">
        <v>0</v>
      </c>
      <c r="H63" s="123">
        <v>0</v>
      </c>
      <c r="I63" s="123">
        <v>0</v>
      </c>
      <c r="J63" s="123">
        <v>0</v>
      </c>
      <c r="K63" s="123">
        <v>0</v>
      </c>
      <c r="L63" s="123">
        <v>0</v>
      </c>
      <c r="M63" s="123"/>
      <c r="N63" s="123"/>
      <c r="O63" s="123"/>
      <c r="P63" s="123"/>
      <c r="Q63" s="123"/>
      <c r="R63" s="123"/>
    </row>
    <row r="64" spans="1:18" x14ac:dyDescent="0.2">
      <c r="A64" s="12">
        <v>2</v>
      </c>
      <c r="B64" s="12" t="s">
        <v>82</v>
      </c>
      <c r="C64" s="12" t="s">
        <v>26</v>
      </c>
      <c r="D64" s="129">
        <v>35.58</v>
      </c>
      <c r="E64" s="12">
        <v>1997</v>
      </c>
      <c r="F64" s="123"/>
      <c r="G64" s="123">
        <v>0</v>
      </c>
      <c r="H64" s="123">
        <v>0</v>
      </c>
      <c r="I64" s="129">
        <v>1.4</v>
      </c>
      <c r="J64" s="123">
        <v>0</v>
      </c>
      <c r="K64" s="123">
        <v>0</v>
      </c>
      <c r="L64" s="123">
        <v>0</v>
      </c>
      <c r="M64" s="123"/>
      <c r="N64" s="123"/>
      <c r="O64" s="123"/>
      <c r="P64" s="123"/>
      <c r="Q64" s="123"/>
      <c r="R64" s="123"/>
    </row>
    <row r="65" spans="1:18" x14ac:dyDescent="0.2">
      <c r="A65" s="12">
        <v>2</v>
      </c>
      <c r="B65" s="12" t="s">
        <v>83</v>
      </c>
      <c r="C65" s="12" t="s">
        <v>26</v>
      </c>
      <c r="D65" s="129">
        <v>36.58</v>
      </c>
      <c r="E65" s="12">
        <v>1997</v>
      </c>
      <c r="F65" s="123"/>
      <c r="G65" s="123">
        <v>0</v>
      </c>
      <c r="H65" s="123">
        <v>0</v>
      </c>
      <c r="I65" s="129">
        <v>2.6</v>
      </c>
      <c r="J65" s="123">
        <v>0</v>
      </c>
      <c r="K65" s="123">
        <v>0</v>
      </c>
      <c r="L65" s="123">
        <v>0</v>
      </c>
      <c r="M65" s="123"/>
      <c r="N65" s="123"/>
      <c r="O65" s="123"/>
      <c r="P65" s="123"/>
      <c r="Q65" s="123"/>
      <c r="R65" s="123"/>
    </row>
    <row r="66" spans="1:18" x14ac:dyDescent="0.2">
      <c r="A66" s="12">
        <v>2</v>
      </c>
      <c r="B66" s="12" t="s">
        <v>84</v>
      </c>
      <c r="C66" s="12" t="s">
        <v>26</v>
      </c>
      <c r="D66" s="129">
        <v>22.62</v>
      </c>
      <c r="E66" s="12">
        <v>1997</v>
      </c>
      <c r="F66" s="123"/>
      <c r="G66" s="123">
        <v>0</v>
      </c>
      <c r="H66" s="123">
        <v>0</v>
      </c>
      <c r="I66" s="123">
        <v>0</v>
      </c>
      <c r="J66" s="123">
        <v>0</v>
      </c>
      <c r="K66" s="123">
        <v>0</v>
      </c>
      <c r="L66" s="123">
        <v>0</v>
      </c>
      <c r="M66" s="123"/>
      <c r="N66" s="123"/>
      <c r="O66" s="123"/>
      <c r="P66" s="123"/>
      <c r="Q66" s="123"/>
      <c r="R66" s="123"/>
    </row>
    <row r="67" spans="1:18" x14ac:dyDescent="0.2">
      <c r="A67" s="12">
        <v>2</v>
      </c>
      <c r="B67" s="12" t="s">
        <v>85</v>
      </c>
      <c r="C67" s="12" t="s">
        <v>26</v>
      </c>
      <c r="D67" s="129">
        <v>30.83</v>
      </c>
      <c r="E67" s="12">
        <v>1997</v>
      </c>
      <c r="F67" s="123"/>
      <c r="G67" s="123">
        <v>0</v>
      </c>
      <c r="H67" s="123">
        <v>0</v>
      </c>
      <c r="I67" s="123">
        <v>0</v>
      </c>
      <c r="J67" s="123">
        <v>0</v>
      </c>
      <c r="K67" s="123">
        <v>0</v>
      </c>
      <c r="L67" s="123">
        <v>0</v>
      </c>
      <c r="M67" s="123"/>
      <c r="N67" s="123"/>
      <c r="O67" s="123"/>
      <c r="P67" s="123"/>
      <c r="Q67" s="123"/>
      <c r="R67" s="123"/>
    </row>
    <row r="68" spans="1:18" x14ac:dyDescent="0.2">
      <c r="A68" s="12">
        <v>2</v>
      </c>
      <c r="B68" s="12" t="s">
        <v>86</v>
      </c>
      <c r="C68" s="12" t="s">
        <v>26</v>
      </c>
      <c r="D68" s="129">
        <v>29.14</v>
      </c>
      <c r="E68" s="12">
        <v>1997</v>
      </c>
      <c r="F68" s="123"/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/>
      <c r="N68" s="123"/>
      <c r="O68" s="123"/>
      <c r="P68" s="123"/>
      <c r="Q68" s="123"/>
      <c r="R68" s="123"/>
    </row>
    <row r="69" spans="1:18" x14ac:dyDescent="0.2">
      <c r="A69" s="12">
        <v>2</v>
      </c>
      <c r="B69" s="12" t="s">
        <v>87</v>
      </c>
      <c r="C69" s="12" t="s">
        <v>26</v>
      </c>
      <c r="D69" s="129">
        <v>32.36</v>
      </c>
      <c r="E69" s="12">
        <v>1997</v>
      </c>
      <c r="F69" s="123"/>
      <c r="G69" s="123">
        <v>0</v>
      </c>
      <c r="H69" s="123">
        <v>0</v>
      </c>
      <c r="I69" s="123">
        <v>0</v>
      </c>
      <c r="J69" s="123">
        <v>0</v>
      </c>
      <c r="K69" s="123">
        <v>0</v>
      </c>
      <c r="L69" s="123">
        <v>0</v>
      </c>
      <c r="M69" s="123"/>
      <c r="N69" s="123"/>
      <c r="O69" s="123"/>
      <c r="P69" s="123"/>
      <c r="Q69" s="123"/>
      <c r="R69" s="123"/>
    </row>
    <row r="70" spans="1:18" x14ac:dyDescent="0.2">
      <c r="A70" s="12">
        <v>2</v>
      </c>
      <c r="B70" s="12" t="s">
        <v>88</v>
      </c>
      <c r="C70" s="12" t="s">
        <v>26</v>
      </c>
      <c r="D70" s="129">
        <v>32.520000000000003</v>
      </c>
      <c r="E70" s="12">
        <v>1997</v>
      </c>
      <c r="F70" s="123"/>
      <c r="G70" s="123">
        <v>0</v>
      </c>
      <c r="H70" s="123">
        <v>0</v>
      </c>
      <c r="I70" s="123">
        <v>0</v>
      </c>
      <c r="J70" s="123">
        <v>0</v>
      </c>
      <c r="K70" s="123">
        <v>0</v>
      </c>
      <c r="L70" s="123">
        <v>0</v>
      </c>
      <c r="M70" s="123"/>
      <c r="N70" s="123"/>
      <c r="O70" s="123"/>
      <c r="P70" s="123"/>
      <c r="Q70" s="123"/>
      <c r="R70" s="123"/>
    </row>
    <row r="71" spans="1:18" x14ac:dyDescent="0.2">
      <c r="A71" s="12">
        <v>2</v>
      </c>
      <c r="B71" s="12" t="s">
        <v>89</v>
      </c>
      <c r="C71" s="12" t="s">
        <v>26</v>
      </c>
      <c r="D71" s="129">
        <v>31.73</v>
      </c>
      <c r="E71" s="12">
        <v>1997</v>
      </c>
      <c r="F71" s="123"/>
      <c r="G71" s="123">
        <v>0</v>
      </c>
      <c r="H71" s="123">
        <v>0</v>
      </c>
      <c r="I71" s="123">
        <v>0</v>
      </c>
      <c r="J71" s="123">
        <v>0</v>
      </c>
      <c r="K71" s="123">
        <v>0</v>
      </c>
      <c r="L71" s="123">
        <v>0</v>
      </c>
      <c r="M71" s="123"/>
      <c r="N71" s="123"/>
      <c r="O71" s="123"/>
      <c r="P71" s="123"/>
      <c r="Q71" s="123"/>
      <c r="R71" s="123"/>
    </row>
    <row r="72" spans="1:18" x14ac:dyDescent="0.2">
      <c r="A72" s="12">
        <v>2</v>
      </c>
      <c r="B72" s="12" t="s">
        <v>90</v>
      </c>
      <c r="C72" s="12" t="s">
        <v>26</v>
      </c>
      <c r="D72" s="129">
        <v>33.07</v>
      </c>
      <c r="E72" s="12">
        <v>1996</v>
      </c>
      <c r="F72" s="123"/>
      <c r="G72" s="123">
        <v>0</v>
      </c>
      <c r="H72" s="123">
        <v>0</v>
      </c>
      <c r="I72" s="123">
        <v>0</v>
      </c>
      <c r="J72" s="123">
        <v>0</v>
      </c>
      <c r="K72" s="123">
        <v>0</v>
      </c>
      <c r="L72" s="123">
        <v>0</v>
      </c>
      <c r="M72" s="123"/>
      <c r="N72" s="123"/>
      <c r="O72" s="123"/>
      <c r="P72" s="123"/>
      <c r="Q72" s="123"/>
      <c r="R72" s="123"/>
    </row>
    <row r="73" spans="1:18" x14ac:dyDescent="0.2">
      <c r="A73" s="12">
        <v>2</v>
      </c>
      <c r="B73" s="12" t="s">
        <v>91</v>
      </c>
      <c r="C73" s="12" t="s">
        <v>26</v>
      </c>
      <c r="D73" s="129">
        <v>31.59</v>
      </c>
      <c r="E73" s="12">
        <v>1996</v>
      </c>
      <c r="F73" s="123"/>
      <c r="G73" s="123">
        <v>0</v>
      </c>
      <c r="H73" s="123">
        <v>0</v>
      </c>
      <c r="I73" s="123">
        <v>0</v>
      </c>
      <c r="J73" s="123">
        <v>0</v>
      </c>
      <c r="K73" s="123">
        <v>0</v>
      </c>
      <c r="L73" s="123">
        <v>0</v>
      </c>
      <c r="M73" s="123"/>
      <c r="N73" s="123"/>
      <c r="O73" s="123"/>
      <c r="P73" s="123"/>
      <c r="Q73" s="123"/>
      <c r="R73" s="123"/>
    </row>
    <row r="74" spans="1:18" x14ac:dyDescent="0.2">
      <c r="A74" s="12">
        <v>2</v>
      </c>
      <c r="B74" s="12" t="s">
        <v>92</v>
      </c>
      <c r="C74" s="12" t="s">
        <v>26</v>
      </c>
      <c r="D74" s="129">
        <v>33.049999999999997</v>
      </c>
      <c r="E74" s="12">
        <v>1996</v>
      </c>
      <c r="F74" s="123"/>
      <c r="G74" s="123">
        <v>0</v>
      </c>
      <c r="H74" s="123">
        <v>0</v>
      </c>
      <c r="I74" s="123">
        <v>0</v>
      </c>
      <c r="J74" s="123">
        <v>0</v>
      </c>
      <c r="K74" s="123">
        <v>0</v>
      </c>
      <c r="L74" s="123">
        <v>0</v>
      </c>
      <c r="M74" s="123"/>
      <c r="N74" s="123"/>
      <c r="O74" s="123"/>
      <c r="P74" s="123"/>
      <c r="Q74" s="123"/>
      <c r="R74" s="123"/>
    </row>
    <row r="75" spans="1:18" x14ac:dyDescent="0.2">
      <c r="A75" s="12">
        <v>2</v>
      </c>
      <c r="B75" s="12" t="s">
        <v>93</v>
      </c>
      <c r="C75" s="12" t="s">
        <v>26</v>
      </c>
      <c r="D75" s="129">
        <v>30.13</v>
      </c>
      <c r="E75" s="12">
        <v>1996</v>
      </c>
      <c r="F75" s="123"/>
      <c r="G75" s="123">
        <v>0</v>
      </c>
      <c r="H75" s="123">
        <v>0</v>
      </c>
      <c r="I75" s="123">
        <v>0</v>
      </c>
      <c r="J75" s="123">
        <v>0</v>
      </c>
      <c r="K75" s="123">
        <v>0</v>
      </c>
      <c r="L75" s="123">
        <v>0</v>
      </c>
      <c r="M75" s="123"/>
      <c r="N75" s="123"/>
      <c r="O75" s="123"/>
      <c r="P75" s="123"/>
      <c r="Q75" s="123"/>
      <c r="R75" s="123"/>
    </row>
    <row r="76" spans="1:18" x14ac:dyDescent="0.2">
      <c r="A76" s="12">
        <v>2</v>
      </c>
      <c r="B76" s="12" t="s">
        <v>94</v>
      </c>
      <c r="C76" s="12" t="s">
        <v>26</v>
      </c>
      <c r="D76" s="129">
        <v>30.41</v>
      </c>
      <c r="E76" s="12">
        <v>1996</v>
      </c>
      <c r="F76" s="123"/>
      <c r="G76" s="123">
        <v>0</v>
      </c>
      <c r="H76" s="123">
        <v>0</v>
      </c>
      <c r="I76" s="123">
        <v>0</v>
      </c>
      <c r="J76" s="123">
        <v>0</v>
      </c>
      <c r="K76" s="123">
        <v>0</v>
      </c>
      <c r="L76" s="123">
        <v>0</v>
      </c>
      <c r="M76" s="123"/>
      <c r="N76" s="123"/>
      <c r="O76" s="123"/>
      <c r="P76" s="123"/>
      <c r="Q76" s="123"/>
      <c r="R76" s="123"/>
    </row>
    <row r="77" spans="1:18" x14ac:dyDescent="0.2">
      <c r="A77" s="12">
        <v>2</v>
      </c>
      <c r="B77" s="12" t="s">
        <v>95</v>
      </c>
      <c r="C77" s="12" t="s">
        <v>26</v>
      </c>
      <c r="D77" s="129">
        <v>30.58</v>
      </c>
      <c r="E77" s="12">
        <v>1996</v>
      </c>
      <c r="F77" s="123"/>
      <c r="G77" s="123">
        <v>0</v>
      </c>
      <c r="H77" s="123">
        <v>0</v>
      </c>
      <c r="I77" s="129">
        <v>0.4</v>
      </c>
      <c r="J77" s="123">
        <v>0</v>
      </c>
      <c r="K77" s="123">
        <v>0</v>
      </c>
      <c r="L77" s="123">
        <v>0</v>
      </c>
      <c r="M77" s="123"/>
      <c r="N77" s="123"/>
      <c r="O77" s="123"/>
      <c r="P77" s="123"/>
      <c r="Q77" s="123"/>
      <c r="R77" s="123"/>
    </row>
    <row r="78" spans="1:18" x14ac:dyDescent="0.2">
      <c r="A78" s="12">
        <v>2</v>
      </c>
      <c r="B78" s="12" t="s">
        <v>96</v>
      </c>
      <c r="C78" s="12" t="s">
        <v>26</v>
      </c>
      <c r="D78" s="129">
        <v>29.91</v>
      </c>
      <c r="E78" s="12">
        <v>1996</v>
      </c>
      <c r="F78" s="123"/>
      <c r="G78" s="123">
        <v>0</v>
      </c>
      <c r="H78" s="123">
        <v>0</v>
      </c>
      <c r="I78" s="129">
        <v>1</v>
      </c>
      <c r="J78" s="123">
        <v>0</v>
      </c>
      <c r="K78" s="123">
        <v>0</v>
      </c>
      <c r="L78" s="123">
        <v>0</v>
      </c>
      <c r="M78" s="123"/>
      <c r="N78" s="123"/>
      <c r="O78" s="123"/>
      <c r="P78" s="123"/>
      <c r="Q78" s="123"/>
      <c r="R78" s="123"/>
    </row>
    <row r="79" spans="1:18" x14ac:dyDescent="0.2">
      <c r="A79" s="12">
        <v>2</v>
      </c>
      <c r="B79" s="12" t="s">
        <v>97</v>
      </c>
      <c r="C79" s="12" t="s">
        <v>26</v>
      </c>
      <c r="D79" s="129">
        <v>30.33</v>
      </c>
      <c r="E79" s="12">
        <v>1997</v>
      </c>
      <c r="F79" s="123"/>
      <c r="G79" s="123">
        <v>0</v>
      </c>
      <c r="H79" s="123">
        <v>0</v>
      </c>
      <c r="I79" s="123">
        <v>0</v>
      </c>
      <c r="J79" s="123">
        <v>0</v>
      </c>
      <c r="K79" s="123">
        <v>0</v>
      </c>
      <c r="L79" s="123">
        <v>0</v>
      </c>
      <c r="M79" s="123"/>
      <c r="N79" s="123"/>
      <c r="O79" s="123"/>
      <c r="P79" s="123"/>
      <c r="Q79" s="123"/>
      <c r="R79" s="123"/>
    </row>
    <row r="80" spans="1:18" x14ac:dyDescent="0.2">
      <c r="A80" s="12">
        <v>2</v>
      </c>
      <c r="B80" s="12" t="s">
        <v>98</v>
      </c>
      <c r="C80" s="12" t="s">
        <v>26</v>
      </c>
      <c r="D80" s="129">
        <v>30.55</v>
      </c>
      <c r="E80" s="12">
        <v>1997</v>
      </c>
      <c r="F80" s="123"/>
      <c r="G80" s="123">
        <v>0</v>
      </c>
      <c r="H80" s="123">
        <v>0</v>
      </c>
      <c r="I80" s="123">
        <v>0</v>
      </c>
      <c r="J80" s="123">
        <v>0</v>
      </c>
      <c r="K80" s="123">
        <v>0</v>
      </c>
      <c r="L80" s="123">
        <v>0</v>
      </c>
      <c r="M80" s="123"/>
      <c r="N80" s="123"/>
      <c r="O80" s="123"/>
      <c r="P80" s="123"/>
      <c r="Q80" s="123"/>
      <c r="R80" s="123"/>
    </row>
    <row r="81" spans="1:18" x14ac:dyDescent="0.2">
      <c r="A81" s="12">
        <v>2</v>
      </c>
      <c r="B81" s="12" t="s">
        <v>99</v>
      </c>
      <c r="C81" s="12" t="s">
        <v>26</v>
      </c>
      <c r="D81" s="129">
        <v>29.63</v>
      </c>
      <c r="E81" s="12">
        <v>1997</v>
      </c>
      <c r="F81" s="123"/>
      <c r="G81" s="123">
        <v>0</v>
      </c>
      <c r="H81" s="123">
        <v>0</v>
      </c>
      <c r="I81" s="123">
        <v>0</v>
      </c>
      <c r="J81" s="123">
        <v>0</v>
      </c>
      <c r="K81" s="123">
        <v>0</v>
      </c>
      <c r="L81" s="123">
        <v>0</v>
      </c>
      <c r="M81" s="123"/>
      <c r="N81" s="123"/>
      <c r="O81" s="123"/>
      <c r="P81" s="123"/>
      <c r="Q81" s="123"/>
      <c r="R81" s="123"/>
    </row>
    <row r="82" spans="1:18" x14ac:dyDescent="0.2">
      <c r="A82" s="12">
        <v>2</v>
      </c>
      <c r="B82" s="12" t="s">
        <v>100</v>
      </c>
      <c r="C82" s="12" t="s">
        <v>26</v>
      </c>
      <c r="D82" s="129">
        <v>27.82</v>
      </c>
      <c r="E82" s="12">
        <v>1996</v>
      </c>
      <c r="F82" s="123"/>
      <c r="G82" s="123">
        <v>0</v>
      </c>
      <c r="H82" s="123">
        <v>0</v>
      </c>
      <c r="I82" s="123">
        <v>0</v>
      </c>
      <c r="J82" s="123">
        <v>0</v>
      </c>
      <c r="K82" s="123">
        <v>0</v>
      </c>
      <c r="L82" s="123">
        <v>0</v>
      </c>
      <c r="M82" s="123"/>
      <c r="N82" s="123"/>
      <c r="O82" s="123"/>
      <c r="P82" s="123"/>
      <c r="Q82" s="123"/>
      <c r="R82" s="123"/>
    </row>
    <row r="83" spans="1:18" x14ac:dyDescent="0.2">
      <c r="A83" s="12">
        <v>2</v>
      </c>
      <c r="B83" s="12" t="s">
        <v>101</v>
      </c>
      <c r="C83" s="12" t="s">
        <v>26</v>
      </c>
      <c r="D83" s="129">
        <v>27.68</v>
      </c>
      <c r="E83" s="12">
        <v>1996</v>
      </c>
      <c r="F83" s="123"/>
      <c r="G83" s="123">
        <v>0</v>
      </c>
      <c r="H83" s="123">
        <v>0</v>
      </c>
      <c r="I83" s="123">
        <v>0</v>
      </c>
      <c r="J83" s="123">
        <v>0</v>
      </c>
      <c r="K83" s="123">
        <v>0</v>
      </c>
      <c r="L83" s="123">
        <v>0</v>
      </c>
      <c r="M83" s="123"/>
      <c r="N83" s="123"/>
      <c r="O83" s="123"/>
      <c r="P83" s="123"/>
      <c r="Q83" s="123"/>
      <c r="R83" s="123"/>
    </row>
    <row r="84" spans="1:18" x14ac:dyDescent="0.2">
      <c r="A84" s="12">
        <v>2</v>
      </c>
      <c r="B84" s="12" t="s">
        <v>102</v>
      </c>
      <c r="C84" s="12" t="s">
        <v>26</v>
      </c>
      <c r="D84" s="129">
        <v>27.83</v>
      </c>
      <c r="E84" s="12">
        <v>1996</v>
      </c>
      <c r="F84" s="123"/>
      <c r="G84" s="123">
        <v>0</v>
      </c>
      <c r="H84" s="123">
        <v>0</v>
      </c>
      <c r="I84" s="123">
        <v>0</v>
      </c>
      <c r="J84" s="123">
        <v>0</v>
      </c>
      <c r="K84" s="123">
        <v>0</v>
      </c>
      <c r="L84" s="123">
        <v>0</v>
      </c>
      <c r="M84" s="123"/>
      <c r="N84" s="123"/>
      <c r="O84" s="123"/>
      <c r="P84" s="123"/>
      <c r="Q84" s="123"/>
      <c r="R84" s="123"/>
    </row>
    <row r="85" spans="1:18" x14ac:dyDescent="0.2">
      <c r="A85" s="12">
        <v>2</v>
      </c>
      <c r="B85" s="12" t="s">
        <v>103</v>
      </c>
      <c r="C85" s="12" t="s">
        <v>26</v>
      </c>
      <c r="D85" s="129">
        <v>27.51</v>
      </c>
      <c r="E85" s="12">
        <v>1996</v>
      </c>
      <c r="F85" s="123"/>
      <c r="G85" s="123">
        <v>0</v>
      </c>
      <c r="H85" s="123">
        <v>0</v>
      </c>
      <c r="I85" s="123">
        <v>0</v>
      </c>
      <c r="J85" s="123">
        <v>0</v>
      </c>
      <c r="K85" s="123">
        <v>0</v>
      </c>
      <c r="L85" s="123">
        <v>0</v>
      </c>
      <c r="M85" s="123"/>
      <c r="N85" s="123"/>
      <c r="O85" s="123"/>
      <c r="P85" s="123"/>
      <c r="Q85" s="123"/>
      <c r="R85" s="123"/>
    </row>
    <row r="86" spans="1:18" x14ac:dyDescent="0.2">
      <c r="A86" s="12">
        <v>2</v>
      </c>
      <c r="B86" s="12" t="s">
        <v>104</v>
      </c>
      <c r="C86" s="12" t="s">
        <v>26</v>
      </c>
      <c r="D86" s="129">
        <v>26.43</v>
      </c>
      <c r="E86" s="12">
        <v>1997</v>
      </c>
      <c r="F86" s="123"/>
      <c r="G86" s="123">
        <v>0</v>
      </c>
      <c r="H86" s="123">
        <v>0</v>
      </c>
      <c r="I86" s="123">
        <v>0</v>
      </c>
      <c r="J86" s="123">
        <v>0</v>
      </c>
      <c r="K86" s="123">
        <v>0</v>
      </c>
      <c r="L86" s="123">
        <v>0</v>
      </c>
      <c r="M86" s="123"/>
      <c r="N86" s="123"/>
      <c r="O86" s="123"/>
      <c r="P86" s="123"/>
      <c r="Q86" s="123"/>
      <c r="R86" s="123"/>
    </row>
    <row r="87" spans="1:18" x14ac:dyDescent="0.2">
      <c r="A87" s="12">
        <v>2</v>
      </c>
      <c r="B87" s="12" t="s">
        <v>105</v>
      </c>
      <c r="C87" s="12" t="s">
        <v>26</v>
      </c>
      <c r="D87" s="129">
        <v>28.92</v>
      </c>
      <c r="E87" s="12">
        <v>1996</v>
      </c>
      <c r="F87" s="123"/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/>
      <c r="N87" s="123"/>
      <c r="O87" s="123"/>
      <c r="P87" s="123"/>
      <c r="Q87" s="123"/>
      <c r="R87" s="123"/>
    </row>
    <row r="88" spans="1:18" x14ac:dyDescent="0.2">
      <c r="A88" s="12">
        <v>2</v>
      </c>
      <c r="B88" s="12" t="s">
        <v>106</v>
      </c>
      <c r="C88" s="12" t="s">
        <v>26</v>
      </c>
      <c r="D88" s="129">
        <v>28.55</v>
      </c>
      <c r="E88" s="12">
        <v>1996</v>
      </c>
      <c r="F88" s="123"/>
      <c r="G88" s="123">
        <v>0</v>
      </c>
      <c r="H88" s="123">
        <v>0</v>
      </c>
      <c r="I88" s="123">
        <v>0</v>
      </c>
      <c r="J88" s="123">
        <v>0</v>
      </c>
      <c r="K88" s="123">
        <v>0</v>
      </c>
      <c r="L88" s="123">
        <v>0</v>
      </c>
      <c r="M88" s="123"/>
      <c r="N88" s="123"/>
      <c r="O88" s="123"/>
      <c r="P88" s="123"/>
      <c r="Q88" s="123"/>
      <c r="R88" s="123"/>
    </row>
    <row r="89" spans="1:18" x14ac:dyDescent="0.2">
      <c r="A89" s="12">
        <v>2</v>
      </c>
      <c r="B89" s="12" t="s">
        <v>107</v>
      </c>
      <c r="C89" s="12" t="s">
        <v>26</v>
      </c>
      <c r="D89" s="129">
        <v>28.47</v>
      </c>
      <c r="E89" s="12">
        <v>1996</v>
      </c>
      <c r="F89" s="123"/>
      <c r="G89" s="123">
        <v>0</v>
      </c>
      <c r="H89" s="123">
        <v>0</v>
      </c>
      <c r="I89" s="123">
        <v>0</v>
      </c>
      <c r="J89" s="123">
        <v>0</v>
      </c>
      <c r="K89" s="123">
        <v>0</v>
      </c>
      <c r="L89" s="123">
        <v>0</v>
      </c>
      <c r="M89" s="123"/>
      <c r="N89" s="123"/>
      <c r="O89" s="123"/>
      <c r="P89" s="123"/>
      <c r="Q89" s="123"/>
      <c r="R89" s="123"/>
    </row>
    <row r="90" spans="1:18" x14ac:dyDescent="0.2">
      <c r="A90" s="12">
        <v>2</v>
      </c>
      <c r="B90" s="12" t="s">
        <v>108</v>
      </c>
      <c r="C90" s="12" t="s">
        <v>26</v>
      </c>
      <c r="D90" s="129">
        <v>29.95</v>
      </c>
      <c r="E90" s="12">
        <v>1996</v>
      </c>
      <c r="F90" s="123"/>
      <c r="G90" s="123">
        <v>0</v>
      </c>
      <c r="H90" s="123">
        <v>0</v>
      </c>
      <c r="I90" s="123">
        <v>0</v>
      </c>
      <c r="J90" s="123">
        <v>0</v>
      </c>
      <c r="K90" s="123">
        <v>0</v>
      </c>
      <c r="L90" s="123">
        <v>0</v>
      </c>
      <c r="M90" s="123"/>
      <c r="N90" s="123"/>
      <c r="O90" s="123"/>
      <c r="P90" s="123"/>
      <c r="Q90" s="123"/>
      <c r="R90" s="123"/>
    </row>
    <row r="91" spans="1:18" x14ac:dyDescent="0.2">
      <c r="A91" s="12">
        <v>2</v>
      </c>
      <c r="B91" s="12" t="s">
        <v>109</v>
      </c>
      <c r="C91" s="12" t="s">
        <v>26</v>
      </c>
      <c r="D91" s="129">
        <v>28.23</v>
      </c>
      <c r="E91" s="12">
        <v>1996</v>
      </c>
      <c r="F91" s="123"/>
      <c r="G91" s="123">
        <v>0</v>
      </c>
      <c r="H91" s="123">
        <v>0</v>
      </c>
      <c r="I91" s="123">
        <v>0</v>
      </c>
      <c r="J91" s="123">
        <v>0</v>
      </c>
      <c r="K91" s="123">
        <v>0</v>
      </c>
      <c r="L91" s="123">
        <v>0</v>
      </c>
      <c r="M91" s="123"/>
      <c r="N91" s="123"/>
      <c r="O91" s="123"/>
      <c r="P91" s="123"/>
      <c r="Q91" s="123"/>
      <c r="R91" s="123"/>
    </row>
    <row r="92" spans="1:18" x14ac:dyDescent="0.2">
      <c r="A92" s="313" t="s">
        <v>71</v>
      </c>
      <c r="B92" s="314"/>
      <c r="C92" s="315"/>
      <c r="D92" s="150">
        <f>SUM(D54:D91)</f>
        <v>1121.31</v>
      </c>
      <c r="E92" s="125"/>
      <c r="F92" s="126"/>
      <c r="G92" s="123"/>
      <c r="H92" s="126"/>
      <c r="I92" s="126"/>
      <c r="J92" s="126"/>
      <c r="K92" s="126"/>
      <c r="L92" s="123"/>
      <c r="M92" s="126"/>
      <c r="N92" s="126"/>
      <c r="O92" s="126"/>
      <c r="P92" s="126"/>
      <c r="Q92" s="126"/>
      <c r="R92" s="126"/>
    </row>
    <row r="93" spans="1:18" x14ac:dyDescent="0.2">
      <c r="A93" s="12">
        <v>3</v>
      </c>
      <c r="B93" s="12" t="s">
        <v>110</v>
      </c>
      <c r="C93" s="12" t="s">
        <v>26</v>
      </c>
      <c r="D93" s="129">
        <v>27.66</v>
      </c>
      <c r="E93" s="12">
        <v>1997</v>
      </c>
      <c r="F93" s="123"/>
      <c r="G93" s="123">
        <v>0</v>
      </c>
      <c r="H93" s="123">
        <v>0</v>
      </c>
      <c r="I93" s="123">
        <v>0</v>
      </c>
      <c r="J93" s="123">
        <v>0</v>
      </c>
      <c r="K93" s="123">
        <v>0</v>
      </c>
      <c r="L93" s="123">
        <v>0</v>
      </c>
      <c r="M93" s="123"/>
      <c r="N93" s="123"/>
      <c r="O93" s="123"/>
      <c r="P93" s="123"/>
      <c r="Q93" s="123"/>
      <c r="R93" s="123"/>
    </row>
    <row r="94" spans="1:18" x14ac:dyDescent="0.2">
      <c r="A94" s="12">
        <v>3</v>
      </c>
      <c r="B94" s="12" t="s">
        <v>111</v>
      </c>
      <c r="C94" s="12" t="s">
        <v>26</v>
      </c>
      <c r="D94" s="129">
        <v>28.78</v>
      </c>
      <c r="E94" s="12">
        <v>1997</v>
      </c>
      <c r="F94" s="123"/>
      <c r="G94" s="123">
        <v>0</v>
      </c>
      <c r="H94" s="123">
        <v>0</v>
      </c>
      <c r="I94" s="123">
        <v>0</v>
      </c>
      <c r="J94" s="123">
        <v>0</v>
      </c>
      <c r="K94" s="123">
        <v>0</v>
      </c>
      <c r="L94" s="123">
        <v>0</v>
      </c>
      <c r="M94" s="123"/>
      <c r="N94" s="123"/>
      <c r="O94" s="123"/>
      <c r="P94" s="123"/>
      <c r="Q94" s="123"/>
      <c r="R94" s="123"/>
    </row>
    <row r="95" spans="1:18" x14ac:dyDescent="0.2">
      <c r="A95" s="12">
        <v>3</v>
      </c>
      <c r="B95" s="12" t="s">
        <v>112</v>
      </c>
      <c r="C95" s="12" t="s">
        <v>26</v>
      </c>
      <c r="D95" s="129">
        <v>29.35</v>
      </c>
      <c r="E95" s="12">
        <v>1997</v>
      </c>
      <c r="F95" s="123"/>
      <c r="G95" s="123">
        <v>0</v>
      </c>
      <c r="H95" s="123">
        <v>0</v>
      </c>
      <c r="I95" s="123">
        <v>0</v>
      </c>
      <c r="J95" s="123">
        <v>0</v>
      </c>
      <c r="K95" s="123">
        <v>0</v>
      </c>
      <c r="L95" s="123">
        <v>0</v>
      </c>
      <c r="M95" s="123"/>
      <c r="N95" s="123"/>
      <c r="O95" s="123"/>
      <c r="P95" s="123"/>
      <c r="Q95" s="123"/>
      <c r="R95" s="123"/>
    </row>
    <row r="96" spans="1:18" x14ac:dyDescent="0.2">
      <c r="A96" s="12">
        <v>3</v>
      </c>
      <c r="B96" s="12" t="s">
        <v>113</v>
      </c>
      <c r="C96" s="12" t="s">
        <v>26</v>
      </c>
      <c r="D96" s="129">
        <v>28.38</v>
      </c>
      <c r="E96" s="12">
        <v>1996</v>
      </c>
      <c r="F96" s="123"/>
      <c r="G96" s="123">
        <v>0</v>
      </c>
      <c r="H96" s="123">
        <v>0</v>
      </c>
      <c r="I96" s="123">
        <v>0</v>
      </c>
      <c r="J96" s="123">
        <v>0</v>
      </c>
      <c r="K96" s="123">
        <v>0</v>
      </c>
      <c r="L96" s="123">
        <v>0</v>
      </c>
      <c r="M96" s="123"/>
      <c r="N96" s="123"/>
      <c r="O96" s="123"/>
      <c r="P96" s="123"/>
      <c r="Q96" s="123"/>
      <c r="R96" s="123"/>
    </row>
    <row r="97" spans="1:18" x14ac:dyDescent="0.2">
      <c r="A97" s="12">
        <v>3</v>
      </c>
      <c r="B97" s="12" t="s">
        <v>114</v>
      </c>
      <c r="C97" s="12" t="s">
        <v>26</v>
      </c>
      <c r="D97" s="129">
        <v>30.21</v>
      </c>
      <c r="E97" s="12">
        <v>1996</v>
      </c>
      <c r="F97" s="123"/>
      <c r="G97" s="123">
        <v>0</v>
      </c>
      <c r="H97" s="123">
        <v>0</v>
      </c>
      <c r="I97" s="123">
        <v>0</v>
      </c>
      <c r="J97" s="123">
        <v>0</v>
      </c>
      <c r="K97" s="123">
        <v>0</v>
      </c>
      <c r="L97" s="123">
        <v>0</v>
      </c>
      <c r="M97" s="123"/>
      <c r="N97" s="123"/>
      <c r="O97" s="123"/>
      <c r="P97" s="123"/>
      <c r="Q97" s="123"/>
      <c r="R97" s="123"/>
    </row>
    <row r="98" spans="1:18" x14ac:dyDescent="0.2">
      <c r="A98" s="12">
        <v>3</v>
      </c>
      <c r="B98" s="12" t="s">
        <v>115</v>
      </c>
      <c r="C98" s="12" t="s">
        <v>26</v>
      </c>
      <c r="D98" s="129">
        <v>29.59</v>
      </c>
      <c r="E98" s="12">
        <v>1996</v>
      </c>
      <c r="F98" s="123"/>
      <c r="G98" s="123">
        <v>0</v>
      </c>
      <c r="H98" s="123">
        <v>0</v>
      </c>
      <c r="I98" s="123">
        <v>0</v>
      </c>
      <c r="J98" s="123">
        <v>0</v>
      </c>
      <c r="K98" s="123">
        <v>0</v>
      </c>
      <c r="L98" s="123">
        <v>0</v>
      </c>
      <c r="M98" s="123"/>
      <c r="N98" s="123"/>
      <c r="O98" s="123"/>
      <c r="P98" s="123"/>
      <c r="Q98" s="123"/>
      <c r="R98" s="123"/>
    </row>
    <row r="99" spans="1:18" x14ac:dyDescent="0.2">
      <c r="A99" s="12">
        <v>3</v>
      </c>
      <c r="B99" s="12" t="s">
        <v>116</v>
      </c>
      <c r="C99" s="12" t="s">
        <v>26</v>
      </c>
      <c r="D99" s="129">
        <v>29.73</v>
      </c>
      <c r="E99" s="12">
        <v>1996</v>
      </c>
      <c r="F99" s="123"/>
      <c r="G99" s="123">
        <v>0</v>
      </c>
      <c r="H99" s="123">
        <v>0</v>
      </c>
      <c r="I99" s="123">
        <v>0</v>
      </c>
      <c r="J99" s="123">
        <v>0</v>
      </c>
      <c r="K99" s="123">
        <v>0</v>
      </c>
      <c r="L99" s="123">
        <v>0</v>
      </c>
      <c r="M99" s="123"/>
      <c r="N99" s="123"/>
      <c r="O99" s="123"/>
      <c r="P99" s="123"/>
      <c r="Q99" s="123"/>
      <c r="R99" s="123"/>
    </row>
    <row r="100" spans="1:18" x14ac:dyDescent="0.2">
      <c r="A100" s="12">
        <v>3</v>
      </c>
      <c r="B100" s="12" t="s">
        <v>117</v>
      </c>
      <c r="C100" s="12" t="s">
        <v>26</v>
      </c>
      <c r="D100" s="129">
        <v>29.87</v>
      </c>
      <c r="E100" s="12">
        <v>1997</v>
      </c>
      <c r="F100" s="123"/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/>
      <c r="N100" s="123"/>
      <c r="O100" s="123"/>
      <c r="P100" s="123"/>
      <c r="Q100" s="123"/>
      <c r="R100" s="123"/>
    </row>
    <row r="101" spans="1:18" x14ac:dyDescent="0.2">
      <c r="A101" s="12">
        <v>3</v>
      </c>
      <c r="B101" s="12" t="s">
        <v>118</v>
      </c>
      <c r="C101" s="12" t="s">
        <v>26</v>
      </c>
      <c r="D101" s="12">
        <v>30.01</v>
      </c>
      <c r="E101" s="12">
        <v>1996</v>
      </c>
      <c r="F101" s="123"/>
      <c r="G101" s="129">
        <v>0.44</v>
      </c>
      <c r="H101" s="123">
        <v>0</v>
      </c>
      <c r="I101" s="123">
        <v>0</v>
      </c>
      <c r="J101" s="123">
        <v>0</v>
      </c>
      <c r="K101" s="123">
        <v>0</v>
      </c>
      <c r="L101" s="123">
        <v>0</v>
      </c>
      <c r="M101" s="123"/>
      <c r="N101" s="123"/>
      <c r="O101" s="123"/>
      <c r="P101" s="123"/>
      <c r="Q101" s="123"/>
      <c r="R101" s="123"/>
    </row>
    <row r="102" spans="1:18" x14ac:dyDescent="0.2">
      <c r="A102" s="12">
        <v>3</v>
      </c>
      <c r="B102" s="12" t="s">
        <v>119</v>
      </c>
      <c r="C102" s="12" t="s">
        <v>26</v>
      </c>
      <c r="D102" s="129">
        <v>29.74</v>
      </c>
      <c r="E102" s="12">
        <v>1997</v>
      </c>
      <c r="F102" s="123"/>
      <c r="G102" s="123">
        <v>0</v>
      </c>
      <c r="H102" s="129">
        <v>0.22</v>
      </c>
      <c r="I102" s="123">
        <v>0</v>
      </c>
      <c r="J102" s="123">
        <v>0</v>
      </c>
      <c r="K102" s="123">
        <v>0</v>
      </c>
      <c r="L102" s="123">
        <v>0</v>
      </c>
      <c r="M102" s="123"/>
      <c r="N102" s="123"/>
      <c r="O102" s="123"/>
      <c r="P102" s="123"/>
      <c r="Q102" s="123"/>
      <c r="R102" s="123"/>
    </row>
    <row r="103" spans="1:18" x14ac:dyDescent="0.2">
      <c r="A103" s="12">
        <v>3</v>
      </c>
      <c r="B103" s="12" t="s">
        <v>120</v>
      </c>
      <c r="C103" s="12" t="s">
        <v>26</v>
      </c>
      <c r="D103" s="129">
        <v>30.38</v>
      </c>
      <c r="E103" s="12">
        <v>1996</v>
      </c>
      <c r="F103" s="123"/>
      <c r="G103" s="129">
        <v>0.11</v>
      </c>
      <c r="H103" s="129">
        <v>0.5</v>
      </c>
      <c r="I103" s="123">
        <v>0</v>
      </c>
      <c r="J103" s="123">
        <v>0</v>
      </c>
      <c r="K103" s="123">
        <v>0</v>
      </c>
      <c r="L103" s="123">
        <v>0</v>
      </c>
      <c r="M103" s="123"/>
      <c r="N103" s="123"/>
      <c r="O103" s="123"/>
      <c r="P103" s="123"/>
      <c r="Q103" s="123"/>
      <c r="R103" s="123"/>
    </row>
    <row r="104" spans="1:18" x14ac:dyDescent="0.2">
      <c r="A104" s="12">
        <v>3</v>
      </c>
      <c r="B104" s="12" t="s">
        <v>121</v>
      </c>
      <c r="C104" s="12" t="s">
        <v>26</v>
      </c>
      <c r="D104" s="129">
        <v>30.61</v>
      </c>
      <c r="E104" s="12">
        <v>1996</v>
      </c>
      <c r="F104" s="123"/>
      <c r="G104" s="123">
        <v>0</v>
      </c>
      <c r="H104" s="123">
        <v>0</v>
      </c>
      <c r="I104" s="123">
        <v>0</v>
      </c>
      <c r="J104" s="123">
        <v>0</v>
      </c>
      <c r="K104" s="123">
        <v>0</v>
      </c>
      <c r="L104" s="123">
        <v>0</v>
      </c>
      <c r="M104" s="123"/>
      <c r="N104" s="123"/>
      <c r="O104" s="123"/>
      <c r="P104" s="123"/>
      <c r="Q104" s="123"/>
      <c r="R104" s="123"/>
    </row>
    <row r="105" spans="1:18" x14ac:dyDescent="0.2">
      <c r="A105" s="12">
        <v>3</v>
      </c>
      <c r="B105" s="12" t="s">
        <v>122</v>
      </c>
      <c r="C105" s="12" t="s">
        <v>26</v>
      </c>
      <c r="D105" s="12">
        <v>29.7</v>
      </c>
      <c r="E105" s="12">
        <v>1996</v>
      </c>
      <c r="F105" s="123"/>
      <c r="G105" s="129">
        <v>0.11</v>
      </c>
      <c r="H105" s="123">
        <v>0</v>
      </c>
      <c r="I105" s="123">
        <v>0</v>
      </c>
      <c r="J105" s="123">
        <v>0</v>
      </c>
      <c r="K105" s="123">
        <v>0</v>
      </c>
      <c r="L105" s="123">
        <v>0</v>
      </c>
      <c r="M105" s="123"/>
      <c r="N105" s="123"/>
      <c r="O105" s="123"/>
      <c r="P105" s="123"/>
      <c r="Q105" s="123"/>
      <c r="R105" s="123"/>
    </row>
    <row r="106" spans="1:18" x14ac:dyDescent="0.2">
      <c r="A106" s="12">
        <v>3</v>
      </c>
      <c r="B106" s="12" t="s">
        <v>123</v>
      </c>
      <c r="C106" s="12" t="s">
        <v>26</v>
      </c>
      <c r="D106" s="129">
        <v>28.71</v>
      </c>
      <c r="E106" s="12">
        <v>1997</v>
      </c>
      <c r="F106" s="123"/>
      <c r="G106" s="123">
        <v>0</v>
      </c>
      <c r="H106" s="123">
        <v>0</v>
      </c>
      <c r="I106" s="123">
        <v>0</v>
      </c>
      <c r="J106" s="123">
        <v>0</v>
      </c>
      <c r="K106" s="123">
        <v>0</v>
      </c>
      <c r="L106" s="123">
        <v>0</v>
      </c>
      <c r="M106" s="123"/>
      <c r="N106" s="123"/>
      <c r="O106" s="123"/>
      <c r="P106" s="123"/>
      <c r="Q106" s="123"/>
      <c r="R106" s="123"/>
    </row>
    <row r="107" spans="1:18" x14ac:dyDescent="0.2">
      <c r="A107" s="12">
        <v>3</v>
      </c>
      <c r="B107" s="12" t="s">
        <v>124</v>
      </c>
      <c r="C107" s="12" t="s">
        <v>26</v>
      </c>
      <c r="D107" s="129">
        <v>30.04</v>
      </c>
      <c r="E107" s="12">
        <v>1997</v>
      </c>
      <c r="F107" s="123"/>
      <c r="G107" s="123">
        <v>0</v>
      </c>
      <c r="H107" s="123">
        <v>0</v>
      </c>
      <c r="I107" s="123">
        <v>0</v>
      </c>
      <c r="J107" s="123">
        <v>0</v>
      </c>
      <c r="K107" s="123">
        <v>0</v>
      </c>
      <c r="L107" s="123">
        <v>0</v>
      </c>
      <c r="M107" s="123"/>
      <c r="N107" s="123"/>
      <c r="O107" s="123"/>
      <c r="P107" s="123"/>
      <c r="Q107" s="123"/>
      <c r="R107" s="123"/>
    </row>
    <row r="108" spans="1:18" x14ac:dyDescent="0.2">
      <c r="A108" s="12">
        <v>3</v>
      </c>
      <c r="B108" s="12" t="s">
        <v>125</v>
      </c>
      <c r="C108" s="12" t="s">
        <v>26</v>
      </c>
      <c r="D108" s="129">
        <v>30.11</v>
      </c>
      <c r="E108" s="12">
        <v>1997</v>
      </c>
      <c r="F108" s="123"/>
      <c r="G108" s="123">
        <v>0</v>
      </c>
      <c r="H108" s="123">
        <v>0</v>
      </c>
      <c r="I108" s="123">
        <v>0</v>
      </c>
      <c r="J108" s="123">
        <v>0</v>
      </c>
      <c r="K108" s="123">
        <v>0</v>
      </c>
      <c r="L108" s="123">
        <v>0</v>
      </c>
      <c r="M108" s="123"/>
      <c r="N108" s="123"/>
      <c r="O108" s="123"/>
      <c r="P108" s="123"/>
      <c r="Q108" s="123"/>
      <c r="R108" s="123"/>
    </row>
    <row r="109" spans="1:18" x14ac:dyDescent="0.2">
      <c r="A109" s="12">
        <v>3</v>
      </c>
      <c r="B109" s="12" t="s">
        <v>126</v>
      </c>
      <c r="C109" s="12" t="s">
        <v>26</v>
      </c>
      <c r="D109" s="129">
        <v>30.46</v>
      </c>
      <c r="E109" s="12">
        <v>1997</v>
      </c>
      <c r="F109" s="123"/>
      <c r="G109" s="123">
        <v>0</v>
      </c>
      <c r="H109" s="123">
        <v>0</v>
      </c>
      <c r="I109" s="123">
        <v>0</v>
      </c>
      <c r="J109" s="123">
        <v>0</v>
      </c>
      <c r="K109" s="123">
        <v>0</v>
      </c>
      <c r="L109" s="123">
        <v>0</v>
      </c>
      <c r="M109" s="123"/>
      <c r="N109" s="123"/>
      <c r="O109" s="123"/>
      <c r="P109" s="123"/>
      <c r="Q109" s="123"/>
      <c r="R109" s="123"/>
    </row>
    <row r="110" spans="1:18" x14ac:dyDescent="0.2">
      <c r="A110" s="12">
        <v>3</v>
      </c>
      <c r="B110" s="12" t="s">
        <v>127</v>
      </c>
      <c r="C110" s="12" t="s">
        <v>26</v>
      </c>
      <c r="D110" s="129">
        <v>30.31</v>
      </c>
      <c r="E110" s="12">
        <v>1997</v>
      </c>
      <c r="F110" s="123"/>
      <c r="G110" s="123">
        <v>0</v>
      </c>
      <c r="H110" s="123">
        <v>0</v>
      </c>
      <c r="I110" s="123">
        <v>0</v>
      </c>
      <c r="J110" s="123">
        <v>0</v>
      </c>
      <c r="K110" s="123">
        <v>0</v>
      </c>
      <c r="L110" s="123">
        <v>0</v>
      </c>
      <c r="M110" s="123"/>
      <c r="N110" s="123"/>
      <c r="O110" s="123"/>
      <c r="P110" s="123"/>
      <c r="Q110" s="123"/>
      <c r="R110" s="123"/>
    </row>
    <row r="111" spans="1:18" x14ac:dyDescent="0.2">
      <c r="A111" s="12">
        <v>3</v>
      </c>
      <c r="B111" s="12" t="s">
        <v>128</v>
      </c>
      <c r="C111" s="12" t="s">
        <v>26</v>
      </c>
      <c r="D111" s="12">
        <v>31.15</v>
      </c>
      <c r="E111" s="12">
        <v>1996</v>
      </c>
      <c r="F111" s="123"/>
      <c r="G111" s="129">
        <v>0.44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/>
      <c r="N111" s="123"/>
      <c r="O111" s="123"/>
      <c r="P111" s="123"/>
      <c r="Q111" s="123"/>
      <c r="R111" s="123"/>
    </row>
    <row r="112" spans="1:18" x14ac:dyDescent="0.2">
      <c r="A112" s="12">
        <v>3</v>
      </c>
      <c r="B112" s="12" t="s">
        <v>129</v>
      </c>
      <c r="C112" s="12" t="s">
        <v>26</v>
      </c>
      <c r="D112" s="129">
        <v>30.26</v>
      </c>
      <c r="E112" s="12">
        <v>1996</v>
      </c>
      <c r="F112" s="123"/>
      <c r="G112" s="129">
        <v>1.33</v>
      </c>
      <c r="H112" s="129">
        <v>0.44444444444444442</v>
      </c>
      <c r="I112" s="123">
        <v>0</v>
      </c>
      <c r="J112" s="123">
        <v>0</v>
      </c>
      <c r="K112" s="123">
        <v>0</v>
      </c>
      <c r="L112" s="123">
        <v>0</v>
      </c>
      <c r="M112" s="123"/>
      <c r="N112" s="123"/>
      <c r="O112" s="123"/>
      <c r="P112" s="123"/>
      <c r="Q112" s="123"/>
      <c r="R112" s="123"/>
    </row>
    <row r="113" spans="1:18" x14ac:dyDescent="0.2">
      <c r="A113" s="12">
        <v>3</v>
      </c>
      <c r="B113" s="12" t="s">
        <v>130</v>
      </c>
      <c r="C113" s="12" t="s">
        <v>26</v>
      </c>
      <c r="D113" s="129">
        <v>30.35</v>
      </c>
      <c r="E113" s="12">
        <v>1996</v>
      </c>
      <c r="F113" s="123"/>
      <c r="G113" s="129">
        <v>1.78</v>
      </c>
      <c r="H113" s="129">
        <v>0.44444444444444442</v>
      </c>
      <c r="I113" s="123">
        <v>0</v>
      </c>
      <c r="J113" s="123">
        <v>0</v>
      </c>
      <c r="K113" s="123">
        <v>0</v>
      </c>
      <c r="L113" s="123">
        <v>0</v>
      </c>
      <c r="M113" s="123"/>
      <c r="N113" s="123"/>
      <c r="O113" s="123"/>
      <c r="P113" s="123"/>
      <c r="Q113" s="123"/>
      <c r="R113" s="123"/>
    </row>
    <row r="114" spans="1:18" x14ac:dyDescent="0.2">
      <c r="A114" s="12">
        <v>3</v>
      </c>
      <c r="B114" s="12" t="s">
        <v>131</v>
      </c>
      <c r="C114" s="12" t="s">
        <v>26</v>
      </c>
      <c r="D114" s="129">
        <v>30.17</v>
      </c>
      <c r="E114" s="12">
        <v>1996</v>
      </c>
      <c r="F114" s="123"/>
      <c r="G114" s="123">
        <v>0</v>
      </c>
      <c r="H114" s="129">
        <v>0.11</v>
      </c>
      <c r="I114" s="123">
        <v>0</v>
      </c>
      <c r="J114" s="123">
        <v>0</v>
      </c>
      <c r="K114" s="123">
        <v>0</v>
      </c>
      <c r="L114" s="123">
        <v>0</v>
      </c>
      <c r="M114" s="123"/>
      <c r="N114" s="123"/>
      <c r="O114" s="123"/>
      <c r="P114" s="123"/>
      <c r="Q114" s="123"/>
      <c r="R114" s="123"/>
    </row>
    <row r="115" spans="1:18" x14ac:dyDescent="0.2">
      <c r="A115" s="12">
        <v>3</v>
      </c>
      <c r="B115" s="12" t="s">
        <v>132</v>
      </c>
      <c r="C115" s="12" t="s">
        <v>26</v>
      </c>
      <c r="D115" s="129">
        <v>29.46</v>
      </c>
      <c r="E115" s="12">
        <v>1996</v>
      </c>
      <c r="F115" s="123"/>
      <c r="G115" s="123">
        <v>0</v>
      </c>
      <c r="H115" s="123">
        <v>0</v>
      </c>
      <c r="I115" s="123">
        <v>0</v>
      </c>
      <c r="J115" s="123">
        <v>0</v>
      </c>
      <c r="K115" s="123">
        <v>0</v>
      </c>
      <c r="L115" s="123">
        <v>0</v>
      </c>
      <c r="M115" s="123"/>
      <c r="N115" s="123"/>
      <c r="O115" s="123"/>
      <c r="P115" s="123"/>
      <c r="Q115" s="123"/>
      <c r="R115" s="123"/>
    </row>
    <row r="116" spans="1:18" x14ac:dyDescent="0.2">
      <c r="A116" s="12">
        <v>3</v>
      </c>
      <c r="B116" s="12" t="s">
        <v>133</v>
      </c>
      <c r="C116" s="12" t="s">
        <v>26</v>
      </c>
      <c r="D116" s="129">
        <v>30.44</v>
      </c>
      <c r="E116" s="12">
        <v>1996</v>
      </c>
      <c r="F116" s="123"/>
      <c r="G116" s="123">
        <v>0</v>
      </c>
      <c r="H116" s="129">
        <v>0.89</v>
      </c>
      <c r="I116" s="129">
        <v>0.11</v>
      </c>
      <c r="J116" s="123">
        <v>0</v>
      </c>
      <c r="K116" s="123">
        <v>0</v>
      </c>
      <c r="L116" s="123">
        <v>0</v>
      </c>
      <c r="M116" s="123"/>
      <c r="N116" s="123"/>
      <c r="O116" s="123"/>
      <c r="P116" s="123"/>
      <c r="Q116" s="123"/>
      <c r="R116" s="123"/>
    </row>
    <row r="117" spans="1:18" x14ac:dyDescent="0.2">
      <c r="A117" s="12">
        <v>3</v>
      </c>
      <c r="B117" s="12" t="s">
        <v>134</v>
      </c>
      <c r="C117" s="12" t="s">
        <v>26</v>
      </c>
      <c r="D117" s="129">
        <v>29.85</v>
      </c>
      <c r="E117" s="12">
        <v>1996</v>
      </c>
      <c r="F117" s="123"/>
      <c r="G117" s="123">
        <v>0</v>
      </c>
      <c r="H117" s="129">
        <v>1.33</v>
      </c>
      <c r="I117" s="123">
        <v>0</v>
      </c>
      <c r="J117" s="123">
        <v>0</v>
      </c>
      <c r="K117" s="123">
        <v>0</v>
      </c>
      <c r="L117" s="123">
        <v>0</v>
      </c>
      <c r="M117" s="123"/>
      <c r="N117" s="123"/>
      <c r="O117" s="123"/>
      <c r="P117" s="123"/>
      <c r="Q117" s="123"/>
      <c r="R117" s="123"/>
    </row>
    <row r="118" spans="1:18" x14ac:dyDescent="0.2">
      <c r="A118" s="12">
        <v>3</v>
      </c>
      <c r="B118" s="12" t="s">
        <v>135</v>
      </c>
      <c r="C118" s="12" t="s">
        <v>26</v>
      </c>
      <c r="D118" s="129">
        <v>29.45</v>
      </c>
      <c r="E118" s="12">
        <v>1996</v>
      </c>
      <c r="F118" s="123"/>
      <c r="G118" s="123">
        <v>0</v>
      </c>
      <c r="H118" s="123">
        <v>0</v>
      </c>
      <c r="I118" s="123">
        <v>0</v>
      </c>
      <c r="J118" s="123">
        <v>0</v>
      </c>
      <c r="K118" s="123">
        <v>0</v>
      </c>
      <c r="L118" s="123">
        <v>0</v>
      </c>
      <c r="M118" s="123"/>
      <c r="N118" s="123"/>
      <c r="O118" s="123"/>
      <c r="P118" s="123"/>
      <c r="Q118" s="123"/>
      <c r="R118" s="123"/>
    </row>
    <row r="119" spans="1:18" x14ac:dyDescent="0.2">
      <c r="A119" s="12">
        <v>3</v>
      </c>
      <c r="B119" s="12" t="s">
        <v>136</v>
      </c>
      <c r="C119" s="12" t="s">
        <v>26</v>
      </c>
      <c r="D119" s="129">
        <v>32.07</v>
      </c>
      <c r="E119" s="12">
        <v>1997</v>
      </c>
      <c r="F119" s="123"/>
      <c r="G119" s="123">
        <v>0</v>
      </c>
      <c r="H119" s="123">
        <v>0</v>
      </c>
      <c r="I119" s="123">
        <v>0</v>
      </c>
      <c r="J119" s="123">
        <v>0</v>
      </c>
      <c r="K119" s="123">
        <v>0</v>
      </c>
      <c r="L119" s="123">
        <v>0</v>
      </c>
      <c r="M119" s="123"/>
      <c r="N119" s="123"/>
      <c r="O119" s="123"/>
      <c r="P119" s="123"/>
      <c r="Q119" s="123"/>
      <c r="R119" s="123"/>
    </row>
    <row r="120" spans="1:18" x14ac:dyDescent="0.2">
      <c r="A120" s="12">
        <v>3</v>
      </c>
      <c r="B120" s="12" t="s">
        <v>137</v>
      </c>
      <c r="C120" s="12" t="s">
        <v>26</v>
      </c>
      <c r="D120" s="129">
        <v>28.24</v>
      </c>
      <c r="E120" s="12">
        <v>1997</v>
      </c>
      <c r="F120" s="123"/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/>
      <c r="N120" s="123"/>
      <c r="O120" s="123"/>
      <c r="P120" s="123"/>
      <c r="Q120" s="123"/>
      <c r="R120" s="123"/>
    </row>
    <row r="121" spans="1:18" x14ac:dyDescent="0.2">
      <c r="A121" s="12">
        <v>3</v>
      </c>
      <c r="B121" s="12" t="s">
        <v>138</v>
      </c>
      <c r="C121" s="12" t="s">
        <v>26</v>
      </c>
      <c r="D121" s="129">
        <v>28.72</v>
      </c>
      <c r="E121" s="12">
        <v>1997</v>
      </c>
      <c r="F121" s="123"/>
      <c r="G121" s="123">
        <v>0</v>
      </c>
      <c r="H121" s="123">
        <v>0</v>
      </c>
      <c r="I121" s="123">
        <v>0</v>
      </c>
      <c r="J121" s="123">
        <v>0</v>
      </c>
      <c r="K121" s="123">
        <v>0</v>
      </c>
      <c r="L121" s="123">
        <v>0</v>
      </c>
      <c r="M121" s="123"/>
      <c r="N121" s="123"/>
      <c r="O121" s="123"/>
      <c r="P121" s="123"/>
      <c r="Q121" s="123"/>
      <c r="R121" s="123"/>
    </row>
    <row r="122" spans="1:18" x14ac:dyDescent="0.2">
      <c r="A122" s="12">
        <v>3</v>
      </c>
      <c r="B122" s="12" t="s">
        <v>139</v>
      </c>
      <c r="C122" s="12" t="s">
        <v>26</v>
      </c>
      <c r="D122" s="129">
        <v>31.29</v>
      </c>
      <c r="E122" s="12">
        <v>1997</v>
      </c>
      <c r="F122" s="123"/>
      <c r="G122" s="123">
        <v>0</v>
      </c>
      <c r="H122" s="123">
        <v>0</v>
      </c>
      <c r="I122" s="123">
        <v>0</v>
      </c>
      <c r="J122" s="123">
        <v>0</v>
      </c>
      <c r="K122" s="123">
        <v>0</v>
      </c>
      <c r="L122" s="123">
        <v>0</v>
      </c>
      <c r="M122" s="123"/>
      <c r="N122" s="123"/>
      <c r="O122" s="123"/>
      <c r="P122" s="123"/>
      <c r="Q122" s="123"/>
      <c r="R122" s="123"/>
    </row>
    <row r="123" spans="1:18" x14ac:dyDescent="0.2">
      <c r="A123" s="12">
        <v>3</v>
      </c>
      <c r="B123" s="12" t="s">
        <v>140</v>
      </c>
      <c r="C123" s="12" t="s">
        <v>26</v>
      </c>
      <c r="D123" s="129">
        <v>29.26</v>
      </c>
      <c r="E123" s="12">
        <v>1997</v>
      </c>
      <c r="F123" s="123"/>
      <c r="G123" s="123">
        <v>0</v>
      </c>
      <c r="H123" s="123">
        <v>0</v>
      </c>
      <c r="I123" s="129">
        <v>3.25</v>
      </c>
      <c r="J123" s="123">
        <v>0</v>
      </c>
      <c r="K123" s="123">
        <v>0</v>
      </c>
      <c r="L123" s="123">
        <v>0</v>
      </c>
      <c r="M123" s="123"/>
      <c r="N123" s="123"/>
      <c r="O123" s="123"/>
      <c r="P123" s="123"/>
      <c r="Q123" s="123"/>
      <c r="R123" s="123"/>
    </row>
    <row r="124" spans="1:18" x14ac:dyDescent="0.2">
      <c r="A124" s="12">
        <v>3</v>
      </c>
      <c r="B124" s="12" t="s">
        <v>141</v>
      </c>
      <c r="C124" s="12" t="s">
        <v>26</v>
      </c>
      <c r="D124" s="129">
        <v>31.14</v>
      </c>
      <c r="E124" s="12">
        <v>1996</v>
      </c>
      <c r="F124" s="123"/>
      <c r="G124" s="123">
        <v>0</v>
      </c>
      <c r="H124" s="123">
        <v>0</v>
      </c>
      <c r="I124" s="129">
        <v>2</v>
      </c>
      <c r="J124" s="123">
        <v>0</v>
      </c>
      <c r="K124" s="123">
        <v>0</v>
      </c>
      <c r="L124" s="123">
        <v>0</v>
      </c>
      <c r="M124" s="123"/>
      <c r="N124" s="123"/>
      <c r="O124" s="123"/>
      <c r="P124" s="123"/>
      <c r="Q124" s="123"/>
      <c r="R124" s="123"/>
    </row>
    <row r="125" spans="1:18" x14ac:dyDescent="0.2">
      <c r="A125" s="12">
        <v>3</v>
      </c>
      <c r="B125" s="12" t="s">
        <v>142</v>
      </c>
      <c r="C125" s="12" t="s">
        <v>26</v>
      </c>
      <c r="D125" s="129">
        <v>30.04</v>
      </c>
      <c r="E125" s="12">
        <v>1997</v>
      </c>
      <c r="F125" s="123"/>
      <c r="G125" s="123">
        <v>0</v>
      </c>
      <c r="H125" s="123">
        <v>0</v>
      </c>
      <c r="I125" s="129">
        <v>2.3333333333333335</v>
      </c>
      <c r="J125" s="123">
        <v>0</v>
      </c>
      <c r="K125" s="123">
        <v>0</v>
      </c>
      <c r="L125" s="123">
        <v>0</v>
      </c>
      <c r="M125" s="123"/>
      <c r="N125" s="123"/>
      <c r="O125" s="123"/>
      <c r="P125" s="123"/>
      <c r="Q125" s="123"/>
      <c r="R125" s="123"/>
    </row>
    <row r="126" spans="1:18" x14ac:dyDescent="0.2">
      <c r="A126" s="12">
        <v>3</v>
      </c>
      <c r="B126" s="12" t="s">
        <v>143</v>
      </c>
      <c r="C126" s="12" t="s">
        <v>26</v>
      </c>
      <c r="D126" s="129">
        <v>29.36</v>
      </c>
      <c r="E126" s="12">
        <v>1997</v>
      </c>
      <c r="F126" s="123"/>
      <c r="G126" s="123">
        <v>0</v>
      </c>
      <c r="H126" s="123">
        <v>0</v>
      </c>
      <c r="I126" s="123">
        <v>0</v>
      </c>
      <c r="J126" s="123">
        <v>0</v>
      </c>
      <c r="K126" s="123">
        <v>0</v>
      </c>
      <c r="L126" s="123">
        <v>0</v>
      </c>
      <c r="M126" s="123"/>
      <c r="N126" s="123"/>
      <c r="O126" s="123"/>
      <c r="P126" s="123"/>
      <c r="Q126" s="123"/>
      <c r="R126" s="123"/>
    </row>
    <row r="127" spans="1:18" x14ac:dyDescent="0.2">
      <c r="A127" s="12">
        <v>3</v>
      </c>
      <c r="B127" s="12" t="s">
        <v>144</v>
      </c>
      <c r="C127" s="12" t="s">
        <v>26</v>
      </c>
      <c r="D127" s="129">
        <v>30.39</v>
      </c>
      <c r="E127" s="12">
        <v>1997</v>
      </c>
      <c r="F127" s="123"/>
      <c r="G127" s="123">
        <v>0</v>
      </c>
      <c r="H127" s="123">
        <v>0</v>
      </c>
      <c r="I127" s="123">
        <v>0</v>
      </c>
      <c r="J127" s="123">
        <v>0</v>
      </c>
      <c r="K127" s="123">
        <v>0</v>
      </c>
      <c r="L127" s="123">
        <v>0</v>
      </c>
      <c r="M127" s="123"/>
      <c r="N127" s="123"/>
      <c r="O127" s="123"/>
      <c r="P127" s="123"/>
      <c r="Q127" s="123"/>
      <c r="R127" s="123"/>
    </row>
    <row r="128" spans="1:18" x14ac:dyDescent="0.2">
      <c r="A128" s="12">
        <v>3</v>
      </c>
      <c r="B128" s="12" t="s">
        <v>145</v>
      </c>
      <c r="C128" s="12" t="s">
        <v>26</v>
      </c>
      <c r="D128" s="129">
        <v>29.62</v>
      </c>
      <c r="E128" s="12">
        <v>1996</v>
      </c>
      <c r="F128" s="123"/>
      <c r="G128" s="123">
        <v>0</v>
      </c>
      <c r="H128" s="123">
        <v>0</v>
      </c>
      <c r="I128" s="123">
        <v>0</v>
      </c>
      <c r="J128" s="123">
        <v>0</v>
      </c>
      <c r="K128" s="123">
        <v>0</v>
      </c>
      <c r="L128" s="123">
        <v>0</v>
      </c>
      <c r="M128" s="123"/>
      <c r="N128" s="123"/>
      <c r="O128" s="123"/>
      <c r="P128" s="123"/>
      <c r="Q128" s="123"/>
      <c r="R128" s="123"/>
    </row>
    <row r="129" spans="1:18" x14ac:dyDescent="0.2">
      <c r="A129" s="12">
        <v>3</v>
      </c>
      <c r="B129" s="12" t="s">
        <v>146</v>
      </c>
      <c r="C129" s="12" t="s">
        <v>26</v>
      </c>
      <c r="D129" s="129">
        <v>30.55</v>
      </c>
      <c r="E129" s="12">
        <v>1996</v>
      </c>
      <c r="F129" s="123"/>
      <c r="G129" s="123">
        <v>0</v>
      </c>
      <c r="H129" s="123">
        <v>0</v>
      </c>
      <c r="I129" s="123">
        <v>0</v>
      </c>
      <c r="J129" s="123">
        <v>0</v>
      </c>
      <c r="K129" s="123">
        <v>0</v>
      </c>
      <c r="L129" s="123">
        <v>0</v>
      </c>
      <c r="M129" s="123"/>
      <c r="N129" s="123"/>
      <c r="O129" s="123"/>
      <c r="P129" s="123"/>
      <c r="Q129" s="123"/>
      <c r="R129" s="123"/>
    </row>
    <row r="130" spans="1:18" x14ac:dyDescent="0.2">
      <c r="A130" s="12">
        <v>3</v>
      </c>
      <c r="B130" s="12" t="s">
        <v>147</v>
      </c>
      <c r="C130" s="12" t="s">
        <v>26</v>
      </c>
      <c r="D130" s="129">
        <v>30.89</v>
      </c>
      <c r="E130" s="12">
        <v>1996</v>
      </c>
      <c r="F130" s="123"/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/>
      <c r="N130" s="123"/>
      <c r="O130" s="123"/>
      <c r="P130" s="123"/>
      <c r="Q130" s="123"/>
      <c r="R130" s="123"/>
    </row>
    <row r="131" spans="1:18" x14ac:dyDescent="0.2">
      <c r="A131" s="12">
        <v>3</v>
      </c>
      <c r="B131" s="12" t="s">
        <v>148</v>
      </c>
      <c r="C131" s="12" t="s">
        <v>26</v>
      </c>
      <c r="D131" s="129">
        <v>31.76</v>
      </c>
      <c r="E131" s="12">
        <v>1996</v>
      </c>
      <c r="F131" s="123"/>
      <c r="G131" s="123">
        <v>0</v>
      </c>
      <c r="H131" s="123">
        <v>0</v>
      </c>
      <c r="I131" s="123">
        <v>0</v>
      </c>
      <c r="J131" s="123">
        <v>0</v>
      </c>
      <c r="K131" s="123">
        <v>0</v>
      </c>
      <c r="L131" s="123">
        <v>0</v>
      </c>
      <c r="M131" s="123"/>
      <c r="N131" s="123"/>
      <c r="O131" s="123"/>
      <c r="P131" s="123"/>
      <c r="Q131" s="123"/>
      <c r="R131" s="123"/>
    </row>
    <row r="132" spans="1:18" x14ac:dyDescent="0.2">
      <c r="A132" s="313" t="s">
        <v>71</v>
      </c>
      <c r="B132" s="314"/>
      <c r="C132" s="315"/>
      <c r="D132" s="150">
        <f>SUM(D93:D131)</f>
        <v>1168.1000000000001</v>
      </c>
      <c r="E132" s="125"/>
      <c r="F132" s="126"/>
      <c r="G132" s="123"/>
      <c r="H132" s="126"/>
      <c r="I132" s="126"/>
      <c r="J132" s="126"/>
      <c r="K132" s="126"/>
      <c r="L132" s="123"/>
      <c r="M132" s="126"/>
      <c r="N132" s="126"/>
      <c r="O132" s="126"/>
      <c r="P132" s="126"/>
      <c r="Q132" s="126"/>
      <c r="R132" s="126"/>
    </row>
    <row r="133" spans="1:18" x14ac:dyDescent="0.2">
      <c r="A133" s="12">
        <v>4</v>
      </c>
      <c r="B133" s="12" t="s">
        <v>149</v>
      </c>
      <c r="C133" s="12" t="s">
        <v>26</v>
      </c>
      <c r="D133" s="129">
        <v>0.99</v>
      </c>
      <c r="E133" s="12">
        <v>1997</v>
      </c>
      <c r="F133" s="123"/>
      <c r="G133" s="123">
        <v>0</v>
      </c>
      <c r="H133" s="123">
        <v>0</v>
      </c>
      <c r="I133" s="123">
        <v>0</v>
      </c>
      <c r="J133" s="123">
        <v>0</v>
      </c>
      <c r="K133" s="123">
        <v>0</v>
      </c>
      <c r="L133" s="123">
        <v>0</v>
      </c>
      <c r="M133" s="123"/>
      <c r="N133" s="123"/>
      <c r="O133" s="123"/>
      <c r="P133" s="123"/>
      <c r="Q133" s="123"/>
      <c r="R133" s="123"/>
    </row>
    <row r="134" spans="1:18" x14ac:dyDescent="0.2">
      <c r="A134" s="12">
        <v>4</v>
      </c>
      <c r="B134" s="12" t="s">
        <v>150</v>
      </c>
      <c r="C134" s="12" t="s">
        <v>26</v>
      </c>
      <c r="D134" s="129">
        <v>10.15</v>
      </c>
      <c r="E134" s="12">
        <v>1997</v>
      </c>
      <c r="F134" s="123"/>
      <c r="G134" s="123">
        <v>0</v>
      </c>
      <c r="H134" s="123">
        <v>0</v>
      </c>
      <c r="I134" s="123">
        <v>0</v>
      </c>
      <c r="J134" s="123">
        <v>0</v>
      </c>
      <c r="K134" s="123">
        <v>0</v>
      </c>
      <c r="L134" s="123">
        <v>0</v>
      </c>
      <c r="M134" s="123"/>
      <c r="N134" s="123"/>
      <c r="O134" s="123"/>
      <c r="P134" s="123"/>
      <c r="Q134" s="123"/>
      <c r="R134" s="123"/>
    </row>
    <row r="135" spans="1:18" x14ac:dyDescent="0.2">
      <c r="A135" s="12">
        <v>4</v>
      </c>
      <c r="B135" s="12" t="s">
        <v>151</v>
      </c>
      <c r="C135" s="12" t="s">
        <v>26</v>
      </c>
      <c r="D135" s="129">
        <v>1.9</v>
      </c>
      <c r="E135" s="12">
        <v>1997</v>
      </c>
      <c r="F135" s="123"/>
      <c r="G135" s="123">
        <v>0</v>
      </c>
      <c r="H135" s="123">
        <v>0</v>
      </c>
      <c r="I135" s="123">
        <v>0</v>
      </c>
      <c r="J135" s="123">
        <v>0</v>
      </c>
      <c r="K135" s="123">
        <v>0</v>
      </c>
      <c r="L135" s="123">
        <v>0</v>
      </c>
      <c r="M135" s="123"/>
      <c r="N135" s="123"/>
      <c r="O135" s="123"/>
      <c r="P135" s="123"/>
      <c r="Q135" s="123"/>
      <c r="R135" s="123"/>
    </row>
    <row r="136" spans="1:18" x14ac:dyDescent="0.2">
      <c r="A136" s="12">
        <v>4</v>
      </c>
      <c r="B136" s="12" t="s">
        <v>152</v>
      </c>
      <c r="C136" s="12" t="s">
        <v>26</v>
      </c>
      <c r="D136" s="129">
        <v>14.17</v>
      </c>
      <c r="E136" s="12">
        <v>1997</v>
      </c>
      <c r="F136" s="123"/>
      <c r="G136" s="123">
        <v>0</v>
      </c>
      <c r="H136" s="123">
        <v>0</v>
      </c>
      <c r="I136" s="123">
        <v>0</v>
      </c>
      <c r="J136" s="123">
        <v>0</v>
      </c>
      <c r="K136" s="123">
        <v>0</v>
      </c>
      <c r="L136" s="123">
        <v>0</v>
      </c>
      <c r="M136" s="123"/>
      <c r="N136" s="123"/>
      <c r="O136" s="123"/>
      <c r="P136" s="123"/>
      <c r="Q136" s="123"/>
      <c r="R136" s="123"/>
    </row>
    <row r="137" spans="1:18" x14ac:dyDescent="0.2">
      <c r="A137" s="12">
        <v>4</v>
      </c>
      <c r="B137" s="12" t="s">
        <v>153</v>
      </c>
      <c r="C137" s="12" t="s">
        <v>26</v>
      </c>
      <c r="D137" s="129">
        <v>27.74</v>
      </c>
      <c r="E137" s="12">
        <v>1997</v>
      </c>
      <c r="F137" s="123"/>
      <c r="G137" s="123">
        <v>0</v>
      </c>
      <c r="H137" s="123">
        <v>0</v>
      </c>
      <c r="I137" s="123">
        <v>0</v>
      </c>
      <c r="J137" s="123">
        <v>0</v>
      </c>
      <c r="K137" s="123">
        <v>0</v>
      </c>
      <c r="L137" s="123">
        <v>0</v>
      </c>
      <c r="M137" s="123"/>
      <c r="N137" s="123"/>
      <c r="O137" s="123"/>
      <c r="P137" s="123"/>
      <c r="Q137" s="123"/>
      <c r="R137" s="123"/>
    </row>
    <row r="138" spans="1:18" x14ac:dyDescent="0.2">
      <c r="A138" s="12">
        <v>4</v>
      </c>
      <c r="B138" s="12" t="s">
        <v>154</v>
      </c>
      <c r="C138" s="12" t="s">
        <v>26</v>
      </c>
      <c r="D138" s="129">
        <v>29.3</v>
      </c>
      <c r="E138" s="12">
        <v>1997</v>
      </c>
      <c r="F138" s="123"/>
      <c r="G138" s="123">
        <v>0</v>
      </c>
      <c r="H138" s="123">
        <v>0</v>
      </c>
      <c r="I138" s="123">
        <v>0</v>
      </c>
      <c r="J138" s="123">
        <v>0</v>
      </c>
      <c r="K138" s="123">
        <v>0</v>
      </c>
      <c r="L138" s="123">
        <v>0</v>
      </c>
      <c r="M138" s="123"/>
      <c r="N138" s="123"/>
      <c r="O138" s="123"/>
      <c r="P138" s="123"/>
      <c r="Q138" s="123"/>
      <c r="R138" s="123"/>
    </row>
    <row r="139" spans="1:18" x14ac:dyDescent="0.2">
      <c r="A139" s="12">
        <v>4</v>
      </c>
      <c r="B139" s="12" t="s">
        <v>155</v>
      </c>
      <c r="C139" s="12" t="s">
        <v>26</v>
      </c>
      <c r="D139" s="129">
        <v>1.48</v>
      </c>
      <c r="E139" s="12">
        <v>1997</v>
      </c>
      <c r="F139" s="123"/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/>
      <c r="N139" s="123"/>
      <c r="O139" s="123"/>
      <c r="P139" s="123"/>
      <c r="Q139" s="123"/>
      <c r="R139" s="123"/>
    </row>
    <row r="140" spans="1:18" x14ac:dyDescent="0.2">
      <c r="A140" s="12">
        <v>4</v>
      </c>
      <c r="B140" s="12" t="s">
        <v>156</v>
      </c>
      <c r="C140" s="12" t="s">
        <v>26</v>
      </c>
      <c r="D140" s="129">
        <v>13.88</v>
      </c>
      <c r="E140" s="12">
        <v>1997</v>
      </c>
      <c r="F140" s="123"/>
      <c r="G140" s="123">
        <v>0</v>
      </c>
      <c r="H140" s="123">
        <v>0</v>
      </c>
      <c r="I140" s="123">
        <v>0</v>
      </c>
      <c r="J140" s="123">
        <v>0</v>
      </c>
      <c r="K140" s="123">
        <v>0</v>
      </c>
      <c r="L140" s="123">
        <v>0</v>
      </c>
      <c r="M140" s="123"/>
      <c r="N140" s="123"/>
      <c r="O140" s="123"/>
      <c r="P140" s="123"/>
      <c r="Q140" s="123"/>
      <c r="R140" s="123"/>
    </row>
    <row r="141" spans="1:18" x14ac:dyDescent="0.2">
      <c r="A141" s="12">
        <v>4</v>
      </c>
      <c r="B141" s="12" t="s">
        <v>157</v>
      </c>
      <c r="C141" s="12" t="s">
        <v>26</v>
      </c>
      <c r="D141" s="129">
        <v>27.64</v>
      </c>
      <c r="E141" s="12">
        <v>1997</v>
      </c>
      <c r="F141" s="123"/>
      <c r="G141" s="123">
        <v>0</v>
      </c>
      <c r="H141" s="123">
        <v>0</v>
      </c>
      <c r="I141" s="123">
        <v>0</v>
      </c>
      <c r="J141" s="123">
        <v>0</v>
      </c>
      <c r="K141" s="123">
        <v>0</v>
      </c>
      <c r="L141" s="123">
        <v>0</v>
      </c>
      <c r="M141" s="123"/>
      <c r="N141" s="123"/>
      <c r="O141" s="123"/>
      <c r="P141" s="123"/>
      <c r="Q141" s="123"/>
      <c r="R141" s="123"/>
    </row>
    <row r="142" spans="1:18" x14ac:dyDescent="0.2">
      <c r="A142" s="12">
        <v>4</v>
      </c>
      <c r="B142" s="12" t="s">
        <v>158</v>
      </c>
      <c r="C142" s="12" t="s">
        <v>26</v>
      </c>
      <c r="D142" s="129">
        <v>28.08</v>
      </c>
      <c r="E142" s="12">
        <v>1997</v>
      </c>
      <c r="F142" s="123"/>
      <c r="G142" s="123">
        <v>0</v>
      </c>
      <c r="H142" s="123">
        <v>0</v>
      </c>
      <c r="I142" s="123">
        <v>0</v>
      </c>
      <c r="J142" s="123">
        <v>0</v>
      </c>
      <c r="K142" s="123">
        <v>0</v>
      </c>
      <c r="L142" s="123">
        <v>0</v>
      </c>
      <c r="M142" s="123"/>
      <c r="N142" s="123"/>
      <c r="O142" s="123"/>
      <c r="P142" s="123"/>
      <c r="Q142" s="123"/>
      <c r="R142" s="123"/>
    </row>
    <row r="143" spans="1:18" x14ac:dyDescent="0.2">
      <c r="A143" s="12">
        <v>4</v>
      </c>
      <c r="B143" s="12" t="s">
        <v>159</v>
      </c>
      <c r="C143" s="12" t="s">
        <v>26</v>
      </c>
      <c r="D143" s="129">
        <v>28.21</v>
      </c>
      <c r="E143" s="12">
        <v>1997</v>
      </c>
      <c r="F143" s="123"/>
      <c r="G143" s="123">
        <v>0</v>
      </c>
      <c r="H143" s="123">
        <v>0</v>
      </c>
      <c r="I143" s="123">
        <v>0</v>
      </c>
      <c r="J143" s="123">
        <v>0</v>
      </c>
      <c r="K143" s="123">
        <v>0</v>
      </c>
      <c r="L143" s="123">
        <v>0</v>
      </c>
      <c r="M143" s="123"/>
      <c r="N143" s="123"/>
      <c r="O143" s="123"/>
      <c r="P143" s="123"/>
      <c r="Q143" s="123"/>
      <c r="R143" s="123"/>
    </row>
    <row r="144" spans="1:18" x14ac:dyDescent="0.2">
      <c r="A144" s="12">
        <v>4</v>
      </c>
      <c r="B144" s="12" t="s">
        <v>160</v>
      </c>
      <c r="C144" s="12" t="s">
        <v>26</v>
      </c>
      <c r="D144" s="129">
        <v>27.4</v>
      </c>
      <c r="E144" s="12">
        <v>1997</v>
      </c>
      <c r="F144" s="123"/>
      <c r="G144" s="123">
        <v>0</v>
      </c>
      <c r="H144" s="123">
        <v>0</v>
      </c>
      <c r="I144" s="123">
        <v>0</v>
      </c>
      <c r="J144" s="123">
        <v>0</v>
      </c>
      <c r="K144" s="123">
        <v>0</v>
      </c>
      <c r="L144" s="123">
        <v>0</v>
      </c>
      <c r="M144" s="123"/>
      <c r="N144" s="123"/>
      <c r="O144" s="123"/>
      <c r="P144" s="123"/>
      <c r="Q144" s="123"/>
      <c r="R144" s="123"/>
    </row>
    <row r="145" spans="1:18" x14ac:dyDescent="0.2">
      <c r="A145" s="12">
        <v>4</v>
      </c>
      <c r="B145" s="12" t="s">
        <v>161</v>
      </c>
      <c r="C145" s="12" t="s">
        <v>26</v>
      </c>
      <c r="D145" s="129">
        <v>3.92</v>
      </c>
      <c r="E145" s="12">
        <v>1997</v>
      </c>
      <c r="F145" s="123"/>
      <c r="G145" s="123">
        <v>0</v>
      </c>
      <c r="H145" s="123">
        <v>0</v>
      </c>
      <c r="I145" s="123">
        <v>0</v>
      </c>
      <c r="J145" s="123">
        <v>0</v>
      </c>
      <c r="K145" s="123">
        <v>0</v>
      </c>
      <c r="L145" s="123">
        <v>0</v>
      </c>
      <c r="M145" s="123"/>
      <c r="N145" s="123"/>
      <c r="O145" s="123"/>
      <c r="P145" s="123"/>
      <c r="Q145" s="123"/>
      <c r="R145" s="123"/>
    </row>
    <row r="146" spans="1:18" x14ac:dyDescent="0.2">
      <c r="A146" s="12">
        <v>4</v>
      </c>
      <c r="B146" s="12" t="s">
        <v>162</v>
      </c>
      <c r="C146" s="12" t="s">
        <v>26</v>
      </c>
      <c r="D146" s="129">
        <v>16.7</v>
      </c>
      <c r="E146" s="12">
        <v>1997</v>
      </c>
      <c r="F146" s="123"/>
      <c r="G146" s="123">
        <v>0</v>
      </c>
      <c r="H146" s="123">
        <v>0</v>
      </c>
      <c r="I146" s="123">
        <v>0</v>
      </c>
      <c r="J146" s="123">
        <v>0</v>
      </c>
      <c r="K146" s="123">
        <v>0</v>
      </c>
      <c r="L146" s="123">
        <v>0</v>
      </c>
      <c r="M146" s="123"/>
      <c r="N146" s="123"/>
      <c r="O146" s="123"/>
      <c r="P146" s="123"/>
      <c r="Q146" s="123"/>
      <c r="R146" s="123"/>
    </row>
    <row r="147" spans="1:18" x14ac:dyDescent="0.2">
      <c r="A147" s="12">
        <v>4</v>
      </c>
      <c r="B147" s="12" t="s">
        <v>163</v>
      </c>
      <c r="C147" s="12" t="s">
        <v>26</v>
      </c>
      <c r="D147" s="129">
        <v>29.13</v>
      </c>
      <c r="E147" s="12">
        <v>1997</v>
      </c>
      <c r="F147" s="123"/>
      <c r="G147" s="123">
        <v>0</v>
      </c>
      <c r="H147" s="123">
        <v>0</v>
      </c>
      <c r="I147" s="123">
        <v>0</v>
      </c>
      <c r="J147" s="123">
        <v>0</v>
      </c>
      <c r="K147" s="123">
        <v>0</v>
      </c>
      <c r="L147" s="123">
        <v>0</v>
      </c>
      <c r="M147" s="123"/>
      <c r="N147" s="123"/>
      <c r="O147" s="123"/>
      <c r="P147" s="123"/>
      <c r="Q147" s="123"/>
      <c r="R147" s="123"/>
    </row>
    <row r="148" spans="1:18" x14ac:dyDescent="0.2">
      <c r="A148" s="12">
        <v>4</v>
      </c>
      <c r="B148" s="12" t="s">
        <v>164</v>
      </c>
      <c r="C148" s="12" t="s">
        <v>26</v>
      </c>
      <c r="D148" s="129">
        <v>31.27</v>
      </c>
      <c r="E148" s="12">
        <v>1997</v>
      </c>
      <c r="F148" s="123"/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/>
      <c r="N148" s="123"/>
      <c r="O148" s="123"/>
      <c r="P148" s="123"/>
      <c r="Q148" s="123"/>
      <c r="R148" s="123"/>
    </row>
    <row r="149" spans="1:18" x14ac:dyDescent="0.2">
      <c r="A149" s="12">
        <v>4</v>
      </c>
      <c r="B149" s="12" t="s">
        <v>165</v>
      </c>
      <c r="C149" s="12" t="s">
        <v>26</v>
      </c>
      <c r="D149" s="129">
        <v>31.22</v>
      </c>
      <c r="E149" s="12">
        <v>1997</v>
      </c>
      <c r="F149" s="123"/>
      <c r="G149" s="123">
        <v>0</v>
      </c>
      <c r="H149" s="123">
        <v>0</v>
      </c>
      <c r="I149" s="123">
        <v>0</v>
      </c>
      <c r="J149" s="123">
        <v>0</v>
      </c>
      <c r="K149" s="123">
        <v>0</v>
      </c>
      <c r="L149" s="123">
        <v>0</v>
      </c>
      <c r="M149" s="123"/>
      <c r="N149" s="123"/>
      <c r="O149" s="123"/>
      <c r="P149" s="123"/>
      <c r="Q149" s="123"/>
      <c r="R149" s="123"/>
    </row>
    <row r="150" spans="1:18" x14ac:dyDescent="0.2">
      <c r="A150" s="12">
        <v>4</v>
      </c>
      <c r="B150" s="12" t="s">
        <v>166</v>
      </c>
      <c r="C150" s="12" t="s">
        <v>26</v>
      </c>
      <c r="D150" s="129">
        <v>31.24</v>
      </c>
      <c r="E150" s="12">
        <v>1997</v>
      </c>
      <c r="F150" s="123"/>
      <c r="G150" s="123">
        <v>0</v>
      </c>
      <c r="H150" s="123">
        <v>0</v>
      </c>
      <c r="I150" s="123">
        <v>0</v>
      </c>
      <c r="J150" s="123">
        <v>0</v>
      </c>
      <c r="K150" s="123">
        <v>0</v>
      </c>
      <c r="L150" s="123">
        <v>0</v>
      </c>
      <c r="M150" s="123"/>
      <c r="N150" s="123"/>
      <c r="O150" s="123"/>
      <c r="P150" s="123"/>
      <c r="Q150" s="123"/>
      <c r="R150" s="123"/>
    </row>
    <row r="151" spans="1:18" x14ac:dyDescent="0.2">
      <c r="A151" s="12">
        <v>4</v>
      </c>
      <c r="B151" s="12" t="s">
        <v>167</v>
      </c>
      <c r="C151" s="12" t="s">
        <v>26</v>
      </c>
      <c r="D151" s="129">
        <v>30.91</v>
      </c>
      <c r="E151" s="12">
        <v>1997</v>
      </c>
      <c r="F151" s="123"/>
      <c r="G151" s="123">
        <v>0</v>
      </c>
      <c r="H151" s="123">
        <v>0</v>
      </c>
      <c r="I151" s="123">
        <v>0</v>
      </c>
      <c r="J151" s="123">
        <v>0</v>
      </c>
      <c r="K151" s="123">
        <v>0</v>
      </c>
      <c r="L151" s="123">
        <v>0</v>
      </c>
      <c r="M151" s="123"/>
      <c r="N151" s="123"/>
      <c r="O151" s="123"/>
      <c r="P151" s="123"/>
      <c r="Q151" s="123"/>
      <c r="R151" s="123"/>
    </row>
    <row r="152" spans="1:18" x14ac:dyDescent="0.2">
      <c r="A152" s="12">
        <v>4</v>
      </c>
      <c r="B152" s="12" t="s">
        <v>168</v>
      </c>
      <c r="C152" s="12" t="s">
        <v>26</v>
      </c>
      <c r="D152" s="129">
        <v>30.15</v>
      </c>
      <c r="E152" s="12">
        <v>1997</v>
      </c>
      <c r="F152" s="123"/>
      <c r="G152" s="123">
        <v>0</v>
      </c>
      <c r="H152" s="123">
        <v>0</v>
      </c>
      <c r="I152" s="123">
        <v>0</v>
      </c>
      <c r="J152" s="123">
        <v>0</v>
      </c>
      <c r="K152" s="123">
        <v>0</v>
      </c>
      <c r="L152" s="123">
        <v>0</v>
      </c>
      <c r="M152" s="123"/>
      <c r="N152" s="123"/>
      <c r="O152" s="123"/>
      <c r="P152" s="123"/>
      <c r="Q152" s="123"/>
      <c r="R152" s="123"/>
    </row>
    <row r="153" spans="1:18" x14ac:dyDescent="0.2">
      <c r="A153" s="12">
        <v>4</v>
      </c>
      <c r="B153" s="12" t="s">
        <v>169</v>
      </c>
      <c r="C153" s="12" t="s">
        <v>26</v>
      </c>
      <c r="D153" s="129">
        <v>33.74</v>
      </c>
      <c r="E153" s="12">
        <v>1997</v>
      </c>
      <c r="F153" s="123"/>
      <c r="G153" s="123">
        <v>0</v>
      </c>
      <c r="H153" s="123">
        <v>0</v>
      </c>
      <c r="I153" s="123">
        <v>0</v>
      </c>
      <c r="J153" s="123">
        <v>0</v>
      </c>
      <c r="K153" s="123">
        <v>0</v>
      </c>
      <c r="L153" s="123">
        <v>0</v>
      </c>
      <c r="M153" s="123"/>
      <c r="N153" s="123"/>
      <c r="O153" s="123"/>
      <c r="P153" s="123"/>
      <c r="Q153" s="123"/>
      <c r="R153" s="123"/>
    </row>
    <row r="154" spans="1:18" x14ac:dyDescent="0.2">
      <c r="A154" s="12">
        <v>4</v>
      </c>
      <c r="B154" s="12" t="s">
        <v>170</v>
      </c>
      <c r="C154" s="12" t="s">
        <v>26</v>
      </c>
      <c r="D154" s="129">
        <v>31.46</v>
      </c>
      <c r="E154" s="12">
        <v>1997</v>
      </c>
      <c r="F154" s="123"/>
      <c r="G154" s="123">
        <v>0</v>
      </c>
      <c r="H154" s="123">
        <v>0</v>
      </c>
      <c r="I154" s="123">
        <v>0</v>
      </c>
      <c r="J154" s="123">
        <v>0</v>
      </c>
      <c r="K154" s="123">
        <v>0</v>
      </c>
      <c r="L154" s="123">
        <v>0</v>
      </c>
      <c r="M154" s="123"/>
      <c r="N154" s="123"/>
      <c r="O154" s="123"/>
      <c r="P154" s="123"/>
      <c r="Q154" s="123"/>
      <c r="R154" s="123"/>
    </row>
    <row r="155" spans="1:18" x14ac:dyDescent="0.2">
      <c r="A155" s="12">
        <v>4</v>
      </c>
      <c r="B155" s="12" t="s">
        <v>171</v>
      </c>
      <c r="C155" s="12" t="s">
        <v>26</v>
      </c>
      <c r="D155" s="129">
        <v>34.21</v>
      </c>
      <c r="E155" s="12">
        <v>1997</v>
      </c>
      <c r="F155" s="123"/>
      <c r="G155" s="123">
        <v>0</v>
      </c>
      <c r="H155" s="123">
        <v>0</v>
      </c>
      <c r="I155" s="123">
        <v>0</v>
      </c>
      <c r="J155" s="123">
        <v>0</v>
      </c>
      <c r="K155" s="123">
        <v>0</v>
      </c>
      <c r="L155" s="123">
        <v>0</v>
      </c>
      <c r="M155" s="123"/>
      <c r="N155" s="123"/>
      <c r="O155" s="123"/>
      <c r="P155" s="123"/>
      <c r="Q155" s="123"/>
      <c r="R155" s="123"/>
    </row>
    <row r="156" spans="1:18" x14ac:dyDescent="0.2">
      <c r="A156" s="12">
        <v>4</v>
      </c>
      <c r="B156" s="12" t="s">
        <v>172</v>
      </c>
      <c r="C156" s="12" t="s">
        <v>26</v>
      </c>
      <c r="D156" s="129">
        <v>33.81</v>
      </c>
      <c r="E156" s="12">
        <v>1997</v>
      </c>
      <c r="F156" s="123"/>
      <c r="G156" s="123">
        <v>0</v>
      </c>
      <c r="H156" s="123">
        <v>0</v>
      </c>
      <c r="I156" s="123">
        <v>0</v>
      </c>
      <c r="J156" s="123">
        <v>0</v>
      </c>
      <c r="K156" s="123">
        <v>0</v>
      </c>
      <c r="L156" s="123">
        <v>0</v>
      </c>
      <c r="M156" s="123"/>
      <c r="N156" s="123"/>
      <c r="O156" s="123"/>
      <c r="P156" s="123"/>
      <c r="Q156" s="123"/>
      <c r="R156" s="123"/>
    </row>
    <row r="157" spans="1:18" x14ac:dyDescent="0.2">
      <c r="A157" s="12">
        <v>4</v>
      </c>
      <c r="B157" s="12" t="s">
        <v>173</v>
      </c>
      <c r="C157" s="12" t="s">
        <v>26</v>
      </c>
      <c r="D157" s="129">
        <v>31.48</v>
      </c>
      <c r="E157" s="12">
        <v>1997</v>
      </c>
      <c r="F157" s="123"/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/>
      <c r="N157" s="123"/>
      <c r="O157" s="123"/>
      <c r="P157" s="123"/>
      <c r="Q157" s="123"/>
      <c r="R157" s="123"/>
    </row>
    <row r="158" spans="1:18" x14ac:dyDescent="0.2">
      <c r="A158" s="12">
        <v>4</v>
      </c>
      <c r="B158" s="12" t="s">
        <v>174</v>
      </c>
      <c r="C158" s="12" t="s">
        <v>26</v>
      </c>
      <c r="D158" s="129">
        <v>30.7</v>
      </c>
      <c r="E158" s="12">
        <v>1997</v>
      </c>
      <c r="F158" s="123"/>
      <c r="G158" s="123">
        <v>0</v>
      </c>
      <c r="H158" s="123">
        <v>0</v>
      </c>
      <c r="I158" s="123">
        <v>0</v>
      </c>
      <c r="J158" s="123">
        <v>0</v>
      </c>
      <c r="K158" s="123">
        <v>0</v>
      </c>
      <c r="L158" s="123">
        <v>0</v>
      </c>
      <c r="M158" s="123"/>
      <c r="N158" s="123"/>
      <c r="O158" s="123"/>
      <c r="P158" s="123"/>
      <c r="Q158" s="123"/>
      <c r="R158" s="123"/>
    </row>
    <row r="159" spans="1:18" x14ac:dyDescent="0.2">
      <c r="A159" s="12">
        <v>4</v>
      </c>
      <c r="B159" s="12" t="s">
        <v>175</v>
      </c>
      <c r="C159" s="12" t="s">
        <v>26</v>
      </c>
      <c r="D159" s="129">
        <v>31.98</v>
      </c>
      <c r="E159" s="12">
        <v>1997</v>
      </c>
      <c r="F159" s="123"/>
      <c r="G159" s="123">
        <v>0</v>
      </c>
      <c r="H159" s="123">
        <v>0</v>
      </c>
      <c r="I159" s="123">
        <v>0</v>
      </c>
      <c r="J159" s="123">
        <v>0</v>
      </c>
      <c r="K159" s="123">
        <v>0</v>
      </c>
      <c r="L159" s="123">
        <v>0</v>
      </c>
      <c r="M159" s="123"/>
      <c r="N159" s="123"/>
      <c r="O159" s="123"/>
      <c r="P159" s="123"/>
      <c r="Q159" s="123"/>
      <c r="R159" s="123"/>
    </row>
    <row r="160" spans="1:18" x14ac:dyDescent="0.2">
      <c r="A160" s="12">
        <v>4</v>
      </c>
      <c r="B160" s="12" t="s">
        <v>176</v>
      </c>
      <c r="C160" s="12" t="s">
        <v>26</v>
      </c>
      <c r="D160" s="129">
        <v>31.15</v>
      </c>
      <c r="E160" s="12">
        <v>1997</v>
      </c>
      <c r="F160" s="123"/>
      <c r="G160" s="123">
        <v>0</v>
      </c>
      <c r="H160" s="123">
        <v>0</v>
      </c>
      <c r="I160" s="123">
        <v>0</v>
      </c>
      <c r="J160" s="123">
        <v>0</v>
      </c>
      <c r="K160" s="123">
        <v>0</v>
      </c>
      <c r="L160" s="123">
        <v>0</v>
      </c>
      <c r="M160" s="123"/>
      <c r="N160" s="123"/>
      <c r="O160" s="123"/>
      <c r="P160" s="123"/>
      <c r="Q160" s="123"/>
      <c r="R160" s="123"/>
    </row>
    <row r="161" spans="1:18" x14ac:dyDescent="0.2">
      <c r="A161" s="12">
        <v>4</v>
      </c>
      <c r="B161" s="12" t="s">
        <v>177</v>
      </c>
      <c r="C161" s="12" t="s">
        <v>26</v>
      </c>
      <c r="D161" s="129">
        <v>31.97</v>
      </c>
      <c r="E161" s="12">
        <v>1997</v>
      </c>
      <c r="F161" s="123"/>
      <c r="G161" s="123">
        <v>0</v>
      </c>
      <c r="H161" s="123">
        <v>0</v>
      </c>
      <c r="I161" s="123">
        <v>0</v>
      </c>
      <c r="J161" s="123">
        <v>0</v>
      </c>
      <c r="K161" s="123">
        <v>0</v>
      </c>
      <c r="L161" s="123">
        <v>0</v>
      </c>
      <c r="M161" s="123"/>
      <c r="N161" s="123"/>
      <c r="O161" s="123"/>
      <c r="P161" s="123"/>
      <c r="Q161" s="123"/>
      <c r="R161" s="123"/>
    </row>
    <row r="162" spans="1:18" x14ac:dyDescent="0.2">
      <c r="A162" s="12">
        <v>4</v>
      </c>
      <c r="B162" s="12" t="s">
        <v>178</v>
      </c>
      <c r="C162" s="12" t="s">
        <v>26</v>
      </c>
      <c r="D162" s="129">
        <v>30.79</v>
      </c>
      <c r="E162" s="12">
        <v>1997</v>
      </c>
      <c r="F162" s="123"/>
      <c r="G162" s="123">
        <v>0</v>
      </c>
      <c r="H162" s="123">
        <v>0</v>
      </c>
      <c r="I162" s="123">
        <v>0</v>
      </c>
      <c r="J162" s="123">
        <v>0</v>
      </c>
      <c r="K162" s="123">
        <v>0</v>
      </c>
      <c r="L162" s="123">
        <v>0</v>
      </c>
      <c r="M162" s="123"/>
      <c r="N162" s="123"/>
      <c r="O162" s="123"/>
      <c r="P162" s="123"/>
      <c r="Q162" s="123"/>
      <c r="R162" s="123"/>
    </row>
    <row r="163" spans="1:18" x14ac:dyDescent="0.2">
      <c r="A163" s="12">
        <v>4</v>
      </c>
      <c r="B163" s="12" t="s">
        <v>179</v>
      </c>
      <c r="C163" s="12" t="s">
        <v>26</v>
      </c>
      <c r="D163" s="129">
        <v>29.13</v>
      </c>
      <c r="E163" s="12">
        <v>1997</v>
      </c>
      <c r="F163" s="123"/>
      <c r="G163" s="123">
        <v>0</v>
      </c>
      <c r="H163" s="123">
        <v>0</v>
      </c>
      <c r="I163" s="123">
        <v>0</v>
      </c>
      <c r="J163" s="123">
        <v>0</v>
      </c>
      <c r="K163" s="123">
        <v>0</v>
      </c>
      <c r="L163" s="123">
        <v>0</v>
      </c>
      <c r="M163" s="123"/>
      <c r="N163" s="123"/>
      <c r="O163" s="123"/>
      <c r="P163" s="123"/>
      <c r="Q163" s="123"/>
      <c r="R163" s="123"/>
    </row>
    <row r="164" spans="1:18" x14ac:dyDescent="0.2">
      <c r="A164" s="12">
        <v>4</v>
      </c>
      <c r="B164" s="12" t="s">
        <v>180</v>
      </c>
      <c r="C164" s="12" t="s">
        <v>26</v>
      </c>
      <c r="D164" s="129">
        <v>28.99</v>
      </c>
      <c r="E164" s="12">
        <v>1997</v>
      </c>
      <c r="F164" s="123"/>
      <c r="G164" s="123">
        <v>0</v>
      </c>
      <c r="H164" s="123">
        <v>0</v>
      </c>
      <c r="I164" s="123">
        <v>0</v>
      </c>
      <c r="J164" s="123">
        <v>0</v>
      </c>
      <c r="K164" s="123">
        <v>0</v>
      </c>
      <c r="L164" s="123">
        <v>0</v>
      </c>
      <c r="M164" s="123"/>
      <c r="N164" s="123"/>
      <c r="O164" s="123"/>
      <c r="P164" s="123"/>
      <c r="Q164" s="123"/>
      <c r="R164" s="123"/>
    </row>
    <row r="165" spans="1:18" x14ac:dyDescent="0.2">
      <c r="A165" s="12">
        <v>4</v>
      </c>
      <c r="B165" s="12" t="s">
        <v>181</v>
      </c>
      <c r="C165" s="12" t="s">
        <v>26</v>
      </c>
      <c r="D165" s="129">
        <v>29.09</v>
      </c>
      <c r="E165" s="12">
        <v>1997</v>
      </c>
      <c r="F165" s="123"/>
      <c r="G165" s="123">
        <v>0</v>
      </c>
      <c r="H165" s="123">
        <v>0</v>
      </c>
      <c r="I165" s="123">
        <v>0</v>
      </c>
      <c r="J165" s="123">
        <v>0</v>
      </c>
      <c r="K165" s="123">
        <v>0</v>
      </c>
      <c r="L165" s="123">
        <v>0</v>
      </c>
      <c r="M165" s="123"/>
      <c r="N165" s="123"/>
      <c r="O165" s="123"/>
      <c r="P165" s="123"/>
      <c r="Q165" s="123"/>
      <c r="R165" s="123"/>
    </row>
    <row r="166" spans="1:18" x14ac:dyDescent="0.2">
      <c r="A166" s="12">
        <v>4</v>
      </c>
      <c r="B166" s="12" t="s">
        <v>182</v>
      </c>
      <c r="C166" s="12" t="s">
        <v>26</v>
      </c>
      <c r="D166" s="129">
        <v>29.76</v>
      </c>
      <c r="E166" s="12">
        <v>1997</v>
      </c>
      <c r="F166" s="123"/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/>
      <c r="N166" s="123"/>
      <c r="O166" s="123"/>
      <c r="P166" s="123"/>
      <c r="Q166" s="123"/>
      <c r="R166" s="123"/>
    </row>
    <row r="167" spans="1:18" x14ac:dyDescent="0.2">
      <c r="A167" s="12">
        <v>4</v>
      </c>
      <c r="B167" s="12" t="s">
        <v>183</v>
      </c>
      <c r="C167" s="12" t="s">
        <v>26</v>
      </c>
      <c r="D167" s="129">
        <v>29.74</v>
      </c>
      <c r="E167" s="12">
        <v>1997</v>
      </c>
      <c r="F167" s="123"/>
      <c r="G167" s="123">
        <v>0</v>
      </c>
      <c r="H167" s="123">
        <v>0</v>
      </c>
      <c r="I167" s="123">
        <v>0</v>
      </c>
      <c r="J167" s="123">
        <v>0</v>
      </c>
      <c r="K167" s="123">
        <v>0</v>
      </c>
      <c r="L167" s="123">
        <v>0</v>
      </c>
      <c r="M167" s="123"/>
      <c r="N167" s="123"/>
      <c r="O167" s="123"/>
      <c r="P167" s="123"/>
      <c r="Q167" s="123"/>
      <c r="R167" s="123"/>
    </row>
    <row r="168" spans="1:18" x14ac:dyDescent="0.2">
      <c r="A168" s="12">
        <v>4</v>
      </c>
      <c r="B168" s="12" t="s">
        <v>184</v>
      </c>
      <c r="C168" s="12" t="s">
        <v>26</v>
      </c>
      <c r="D168" s="129">
        <v>29.93</v>
      </c>
      <c r="E168" s="12">
        <v>1997</v>
      </c>
      <c r="F168" s="123"/>
      <c r="G168" s="123">
        <v>0</v>
      </c>
      <c r="H168" s="123">
        <v>0</v>
      </c>
      <c r="I168" s="123">
        <v>0</v>
      </c>
      <c r="J168" s="123">
        <v>0</v>
      </c>
      <c r="K168" s="123">
        <v>0</v>
      </c>
      <c r="L168" s="123">
        <v>0</v>
      </c>
      <c r="M168" s="123"/>
      <c r="N168" s="123"/>
      <c r="O168" s="123"/>
      <c r="P168" s="123"/>
      <c r="Q168" s="123"/>
      <c r="R168" s="123"/>
    </row>
    <row r="169" spans="1:18" x14ac:dyDescent="0.2">
      <c r="A169" s="12">
        <v>4</v>
      </c>
      <c r="B169" s="12" t="s">
        <v>185</v>
      </c>
      <c r="C169" s="12" t="s">
        <v>26</v>
      </c>
      <c r="D169" s="129">
        <v>27.65</v>
      </c>
      <c r="E169" s="12">
        <v>1997</v>
      </c>
      <c r="F169" s="123"/>
      <c r="G169" s="123">
        <v>0</v>
      </c>
      <c r="H169" s="123">
        <v>0</v>
      </c>
      <c r="I169" s="123">
        <v>0</v>
      </c>
      <c r="J169" s="123">
        <v>0</v>
      </c>
      <c r="K169" s="123">
        <v>0</v>
      </c>
      <c r="L169" s="123">
        <v>0</v>
      </c>
      <c r="M169" s="123"/>
      <c r="N169" s="123"/>
      <c r="O169" s="123"/>
      <c r="P169" s="123"/>
      <c r="Q169" s="123"/>
      <c r="R169" s="123"/>
    </row>
    <row r="170" spans="1:18" x14ac:dyDescent="0.2">
      <c r="A170" s="12">
        <v>4</v>
      </c>
      <c r="B170" s="12" t="s">
        <v>186</v>
      </c>
      <c r="C170" s="12" t="s">
        <v>26</v>
      </c>
      <c r="D170" s="129">
        <v>30.55</v>
      </c>
      <c r="E170" s="12">
        <v>1997</v>
      </c>
      <c r="F170" s="123"/>
      <c r="G170" s="123">
        <v>0</v>
      </c>
      <c r="H170" s="123">
        <v>0</v>
      </c>
      <c r="I170" s="123">
        <v>0</v>
      </c>
      <c r="J170" s="123">
        <v>0</v>
      </c>
      <c r="K170" s="123">
        <v>0</v>
      </c>
      <c r="L170" s="123">
        <v>0</v>
      </c>
      <c r="M170" s="123"/>
      <c r="N170" s="123"/>
      <c r="O170" s="123"/>
      <c r="P170" s="123"/>
      <c r="Q170" s="123"/>
      <c r="R170" s="123"/>
    </row>
    <row r="171" spans="1:18" x14ac:dyDescent="0.2">
      <c r="A171" s="12">
        <v>4</v>
      </c>
      <c r="B171" s="12" t="s">
        <v>187</v>
      </c>
      <c r="C171" s="12" t="s">
        <v>26</v>
      </c>
      <c r="D171" s="129">
        <v>31.22</v>
      </c>
      <c r="E171" s="12">
        <v>1997</v>
      </c>
      <c r="F171" s="123"/>
      <c r="G171" s="123">
        <v>0</v>
      </c>
      <c r="H171" s="123">
        <v>0</v>
      </c>
      <c r="I171" s="123">
        <v>0</v>
      </c>
      <c r="J171" s="123">
        <v>0</v>
      </c>
      <c r="K171" s="123">
        <v>0</v>
      </c>
      <c r="L171" s="123">
        <v>0</v>
      </c>
      <c r="M171" s="123"/>
      <c r="N171" s="123"/>
      <c r="O171" s="123"/>
      <c r="P171" s="123"/>
      <c r="Q171" s="123"/>
      <c r="R171" s="123"/>
    </row>
    <row r="172" spans="1:18" x14ac:dyDescent="0.2">
      <c r="A172" s="12">
        <v>4</v>
      </c>
      <c r="B172" s="12" t="s">
        <v>188</v>
      </c>
      <c r="C172" s="12" t="s">
        <v>26</v>
      </c>
      <c r="D172" s="129">
        <v>28.55</v>
      </c>
      <c r="E172" s="12">
        <v>1997</v>
      </c>
      <c r="F172" s="123"/>
      <c r="G172" s="123">
        <v>0</v>
      </c>
      <c r="H172" s="123">
        <v>0</v>
      </c>
      <c r="I172" s="123">
        <v>0</v>
      </c>
      <c r="J172" s="123">
        <v>0</v>
      </c>
      <c r="K172" s="123">
        <v>0</v>
      </c>
      <c r="L172" s="123">
        <v>0</v>
      </c>
      <c r="M172" s="123"/>
      <c r="N172" s="123"/>
      <c r="O172" s="123"/>
      <c r="P172" s="123"/>
      <c r="Q172" s="123"/>
      <c r="R172" s="123"/>
    </row>
    <row r="173" spans="1:18" x14ac:dyDescent="0.2">
      <c r="A173" s="12">
        <v>4</v>
      </c>
      <c r="B173" s="12" t="s">
        <v>189</v>
      </c>
      <c r="C173" s="12" t="s">
        <v>26</v>
      </c>
      <c r="D173" s="129">
        <v>26.15</v>
      </c>
      <c r="E173" s="12">
        <v>1997</v>
      </c>
      <c r="F173" s="123"/>
      <c r="G173" s="123">
        <v>0</v>
      </c>
      <c r="H173" s="123">
        <v>0</v>
      </c>
      <c r="I173" s="123">
        <v>0</v>
      </c>
      <c r="J173" s="123">
        <v>0</v>
      </c>
      <c r="K173" s="123">
        <v>0</v>
      </c>
      <c r="L173" s="123">
        <v>0</v>
      </c>
      <c r="M173" s="123"/>
      <c r="N173" s="123"/>
      <c r="O173" s="123"/>
      <c r="P173" s="123"/>
      <c r="Q173" s="123"/>
      <c r="R173" s="123"/>
    </row>
    <row r="174" spans="1:18" x14ac:dyDescent="0.2">
      <c r="A174" s="12">
        <v>4</v>
      </c>
      <c r="B174" s="12" t="s">
        <v>190</v>
      </c>
      <c r="C174" s="12" t="s">
        <v>26</v>
      </c>
      <c r="D174" s="129">
        <v>25.94</v>
      </c>
      <c r="E174" s="12">
        <v>1997</v>
      </c>
      <c r="F174" s="123"/>
      <c r="G174" s="123">
        <v>0</v>
      </c>
      <c r="H174" s="123">
        <v>0</v>
      </c>
      <c r="I174" s="123">
        <v>0</v>
      </c>
      <c r="J174" s="123">
        <v>0</v>
      </c>
      <c r="K174" s="123">
        <v>0</v>
      </c>
      <c r="L174" s="123">
        <v>0</v>
      </c>
      <c r="M174" s="123"/>
      <c r="N174" s="123"/>
      <c r="O174" s="123"/>
      <c r="P174" s="123"/>
      <c r="Q174" s="123"/>
      <c r="R174" s="123"/>
    </row>
    <row r="175" spans="1:18" x14ac:dyDescent="0.2">
      <c r="A175" s="313" t="s">
        <v>71</v>
      </c>
      <c r="B175" s="314"/>
      <c r="C175" s="315"/>
      <c r="D175" s="150">
        <f>SUM(D133:D174)</f>
        <v>1083.4700000000003</v>
      </c>
      <c r="E175" s="125"/>
      <c r="F175" s="126"/>
      <c r="G175" s="123"/>
      <c r="H175" s="126"/>
      <c r="I175" s="126"/>
      <c r="J175" s="126"/>
      <c r="K175" s="126"/>
      <c r="L175" s="123"/>
      <c r="M175" s="126"/>
      <c r="N175" s="126"/>
      <c r="O175" s="126"/>
      <c r="P175" s="126"/>
      <c r="Q175" s="126"/>
      <c r="R175" s="126"/>
    </row>
    <row r="176" spans="1:18" x14ac:dyDescent="0.2">
      <c r="A176" s="12">
        <v>5</v>
      </c>
      <c r="B176" s="12" t="s">
        <v>191</v>
      </c>
      <c r="C176" s="12" t="s">
        <v>26</v>
      </c>
      <c r="D176" s="129">
        <v>29.8</v>
      </c>
      <c r="E176" s="12">
        <v>1997</v>
      </c>
      <c r="F176" s="123"/>
      <c r="G176" s="123">
        <v>0</v>
      </c>
      <c r="H176" s="123">
        <v>0</v>
      </c>
      <c r="I176" s="123">
        <v>0</v>
      </c>
      <c r="J176" s="123">
        <v>0</v>
      </c>
      <c r="K176" s="123">
        <f>IFERROR(VLOOKUP($B176,'[1]Ulat Api'!$C$11:$U$51,'[1]Ulat Api'!$U$132,0),0)</f>
        <v>0</v>
      </c>
      <c r="L176" s="123">
        <v>0</v>
      </c>
      <c r="M176" s="123"/>
      <c r="N176" s="123"/>
      <c r="O176" s="123"/>
      <c r="P176" s="123"/>
      <c r="Q176" s="123"/>
      <c r="R176" s="123"/>
    </row>
    <row r="177" spans="1:18" x14ac:dyDescent="0.2">
      <c r="A177" s="12">
        <v>5</v>
      </c>
      <c r="B177" s="12" t="s">
        <v>192</v>
      </c>
      <c r="C177" s="12" t="s">
        <v>26</v>
      </c>
      <c r="D177" s="129">
        <v>33.049999999999997</v>
      </c>
      <c r="E177" s="12">
        <v>1997</v>
      </c>
      <c r="F177" s="123"/>
      <c r="G177" s="123">
        <v>0</v>
      </c>
      <c r="H177" s="123">
        <v>0</v>
      </c>
      <c r="I177" s="123">
        <v>0</v>
      </c>
      <c r="J177" s="123">
        <v>0</v>
      </c>
      <c r="K177" s="123">
        <f>IFERROR(VLOOKUP($B177,'[1]Ulat Api'!$C$11:$U$51,'[1]Ulat Api'!$U$132,0),0)</f>
        <v>0</v>
      </c>
      <c r="L177" s="123">
        <v>0</v>
      </c>
      <c r="M177" s="123"/>
      <c r="N177" s="123"/>
      <c r="O177" s="123"/>
      <c r="P177" s="123"/>
      <c r="Q177" s="123"/>
      <c r="R177" s="123"/>
    </row>
    <row r="178" spans="1:18" x14ac:dyDescent="0.2">
      <c r="A178" s="12">
        <v>5</v>
      </c>
      <c r="B178" s="12" t="s">
        <v>193</v>
      </c>
      <c r="C178" s="12" t="s">
        <v>26</v>
      </c>
      <c r="D178" s="129">
        <v>31.59</v>
      </c>
      <c r="E178" s="12">
        <v>1997</v>
      </c>
      <c r="F178" s="123"/>
      <c r="G178" s="123">
        <v>0</v>
      </c>
      <c r="H178" s="123">
        <v>0</v>
      </c>
      <c r="I178" s="129">
        <v>10.619047619047619</v>
      </c>
      <c r="J178" s="123">
        <v>0</v>
      </c>
      <c r="K178" s="123">
        <f>IFERROR(VLOOKUP($B178,'[1]Ulat Api'!$C$11:$U$51,'[1]Ulat Api'!$U$132,0),0)</f>
        <v>0</v>
      </c>
      <c r="L178" s="123">
        <v>0</v>
      </c>
      <c r="M178" s="123"/>
      <c r="N178" s="123"/>
      <c r="O178" s="123"/>
      <c r="P178" s="123"/>
      <c r="Q178" s="123"/>
      <c r="R178" s="123"/>
    </row>
    <row r="179" spans="1:18" x14ac:dyDescent="0.2">
      <c r="A179" s="12">
        <v>5</v>
      </c>
      <c r="B179" s="12" t="s">
        <v>194</v>
      </c>
      <c r="C179" s="12" t="s">
        <v>26</v>
      </c>
      <c r="D179" s="129">
        <v>32.659999999999997</v>
      </c>
      <c r="E179" s="12">
        <v>1997</v>
      </c>
      <c r="F179" s="123"/>
      <c r="G179" s="123">
        <v>0</v>
      </c>
      <c r="H179" s="123">
        <v>0</v>
      </c>
      <c r="I179" s="129">
        <v>10.80952380952381</v>
      </c>
      <c r="J179" s="123">
        <v>0</v>
      </c>
      <c r="K179" s="123">
        <f>IFERROR(VLOOKUP($B179,'[1]Ulat Api'!$C$11:$U$51,'[1]Ulat Api'!$U$132,0),0)</f>
        <v>0</v>
      </c>
      <c r="L179" s="123">
        <v>0</v>
      </c>
      <c r="M179" s="123"/>
      <c r="N179" s="123"/>
      <c r="O179" s="123"/>
      <c r="P179" s="123"/>
      <c r="Q179" s="123"/>
      <c r="R179" s="123"/>
    </row>
    <row r="180" spans="1:18" x14ac:dyDescent="0.2">
      <c r="A180" s="12">
        <v>5</v>
      </c>
      <c r="B180" s="12" t="s">
        <v>195</v>
      </c>
      <c r="C180" s="12" t="s">
        <v>26</v>
      </c>
      <c r="D180" s="129">
        <v>30.89</v>
      </c>
      <c r="E180" s="12">
        <v>1997</v>
      </c>
      <c r="F180" s="123"/>
      <c r="G180" s="123">
        <v>0</v>
      </c>
      <c r="H180" s="123">
        <v>0</v>
      </c>
      <c r="I180" s="129">
        <v>15.142857142857142</v>
      </c>
      <c r="J180" s="123">
        <v>0</v>
      </c>
      <c r="K180" s="123">
        <f>IFERROR(VLOOKUP($B180,'[1]Ulat Api'!$C$11:$U$51,'[1]Ulat Api'!$U$132,0),0)</f>
        <v>0</v>
      </c>
      <c r="L180" s="123">
        <v>0</v>
      </c>
      <c r="M180" s="123"/>
      <c r="N180" s="123"/>
      <c r="O180" s="123"/>
      <c r="P180" s="123"/>
      <c r="Q180" s="123"/>
      <c r="R180" s="123"/>
    </row>
    <row r="181" spans="1:18" x14ac:dyDescent="0.2">
      <c r="A181" s="12">
        <v>5</v>
      </c>
      <c r="B181" s="12" t="s">
        <v>196</v>
      </c>
      <c r="C181" s="12" t="s">
        <v>26</v>
      </c>
      <c r="D181" s="129">
        <v>31.54</v>
      </c>
      <c r="E181" s="12">
        <v>1997</v>
      </c>
      <c r="F181" s="123"/>
      <c r="G181" s="123">
        <v>0</v>
      </c>
      <c r="H181" s="123">
        <v>0</v>
      </c>
      <c r="I181" s="129">
        <v>9.7142857142857135</v>
      </c>
      <c r="J181" s="123">
        <v>0</v>
      </c>
      <c r="K181" s="123">
        <f>IFERROR(VLOOKUP($B181,'[1]Ulat Api'!$C$11:$U$51,'[1]Ulat Api'!$U$132,0),0)</f>
        <v>0</v>
      </c>
      <c r="L181" s="123">
        <v>0</v>
      </c>
      <c r="M181" s="123"/>
      <c r="N181" s="123"/>
      <c r="O181" s="123"/>
      <c r="P181" s="123"/>
      <c r="Q181" s="123"/>
      <c r="R181" s="123"/>
    </row>
    <row r="182" spans="1:18" x14ac:dyDescent="0.2">
      <c r="A182" s="12">
        <v>5</v>
      </c>
      <c r="B182" s="12" t="s">
        <v>197</v>
      </c>
      <c r="C182" s="12" t="s">
        <v>26</v>
      </c>
      <c r="D182" s="129">
        <v>30.18</v>
      </c>
      <c r="E182" s="12">
        <v>1997</v>
      </c>
      <c r="F182" s="123"/>
      <c r="G182" s="123">
        <v>0</v>
      </c>
      <c r="H182" s="123">
        <v>0</v>
      </c>
      <c r="I182" s="123">
        <v>0</v>
      </c>
      <c r="J182" s="123">
        <v>0</v>
      </c>
      <c r="K182" s="123">
        <f>IFERROR(VLOOKUP($B182,'[1]Ulat Api'!$C$11:$U$51,'[1]Ulat Api'!$U$132,0),0)</f>
        <v>0</v>
      </c>
      <c r="L182" s="123">
        <v>0</v>
      </c>
      <c r="M182" s="123"/>
      <c r="N182" s="123"/>
      <c r="O182" s="123"/>
      <c r="P182" s="123"/>
      <c r="Q182" s="123"/>
      <c r="R182" s="123"/>
    </row>
    <row r="183" spans="1:18" x14ac:dyDescent="0.2">
      <c r="A183" s="12">
        <v>5</v>
      </c>
      <c r="B183" s="12" t="s">
        <v>198</v>
      </c>
      <c r="C183" s="12" t="s">
        <v>26</v>
      </c>
      <c r="D183" s="129">
        <v>29.83</v>
      </c>
      <c r="E183" s="12">
        <v>1997</v>
      </c>
      <c r="F183" s="123"/>
      <c r="G183" s="123">
        <v>0</v>
      </c>
      <c r="H183" s="123">
        <v>0</v>
      </c>
      <c r="I183" s="123">
        <v>0</v>
      </c>
      <c r="J183" s="123">
        <v>0</v>
      </c>
      <c r="K183" s="123">
        <f>IFERROR(VLOOKUP($B183,'[1]Ulat Api'!$C$11:$U$51,'[1]Ulat Api'!$U$132,0),0)</f>
        <v>0</v>
      </c>
      <c r="L183" s="123">
        <v>0</v>
      </c>
      <c r="M183" s="123"/>
      <c r="N183" s="123"/>
      <c r="O183" s="123"/>
      <c r="P183" s="123"/>
      <c r="Q183" s="123"/>
      <c r="R183" s="123"/>
    </row>
    <row r="184" spans="1:18" x14ac:dyDescent="0.2">
      <c r="A184" s="12">
        <v>5</v>
      </c>
      <c r="B184" s="12" t="s">
        <v>199</v>
      </c>
      <c r="C184" s="12" t="s">
        <v>26</v>
      </c>
      <c r="D184" s="129">
        <v>9.02</v>
      </c>
      <c r="E184" s="12">
        <v>1997</v>
      </c>
      <c r="F184" s="123"/>
      <c r="G184" s="123">
        <v>0</v>
      </c>
      <c r="H184" s="123">
        <v>0</v>
      </c>
      <c r="I184" s="123">
        <v>0</v>
      </c>
      <c r="J184" s="123">
        <v>0</v>
      </c>
      <c r="K184" s="123">
        <f>IFERROR(VLOOKUP($B184,'[1]Ulat Api'!$C$11:$U$51,'[1]Ulat Api'!$U$132,0),0)</f>
        <v>0</v>
      </c>
      <c r="L184" s="123">
        <v>0</v>
      </c>
      <c r="M184" s="123"/>
      <c r="N184" s="123"/>
      <c r="O184" s="123"/>
      <c r="P184" s="123"/>
      <c r="Q184" s="123"/>
      <c r="R184" s="123"/>
    </row>
    <row r="185" spans="1:18" x14ac:dyDescent="0.2">
      <c r="A185" s="12">
        <v>5</v>
      </c>
      <c r="B185" s="12" t="s">
        <v>200</v>
      </c>
      <c r="C185" s="12" t="s">
        <v>26</v>
      </c>
      <c r="D185" s="129">
        <v>31.88</v>
      </c>
      <c r="E185" s="12">
        <v>1997</v>
      </c>
      <c r="F185" s="123"/>
      <c r="G185" s="123">
        <v>0</v>
      </c>
      <c r="H185" s="123">
        <v>0</v>
      </c>
      <c r="I185" s="123">
        <v>0</v>
      </c>
      <c r="J185" s="123">
        <v>0</v>
      </c>
      <c r="K185" s="123">
        <f>IFERROR(VLOOKUP($B185,'[1]Ulat Api'!$C$11:$U$51,'[1]Ulat Api'!$U$132,0),0)</f>
        <v>0</v>
      </c>
      <c r="L185" s="123">
        <v>0</v>
      </c>
      <c r="M185" s="123"/>
      <c r="N185" s="123"/>
      <c r="O185" s="123"/>
      <c r="P185" s="123"/>
      <c r="Q185" s="123"/>
      <c r="R185" s="123"/>
    </row>
    <row r="186" spans="1:18" x14ac:dyDescent="0.2">
      <c r="A186" s="12">
        <v>5</v>
      </c>
      <c r="B186" s="12" t="s">
        <v>201</v>
      </c>
      <c r="C186" s="12" t="s">
        <v>26</v>
      </c>
      <c r="D186" s="129">
        <v>26.81</v>
      </c>
      <c r="E186" s="12">
        <v>1997</v>
      </c>
      <c r="F186" s="123"/>
      <c r="G186" s="123">
        <v>0</v>
      </c>
      <c r="H186" s="123">
        <v>0</v>
      </c>
      <c r="I186" s="123">
        <v>0</v>
      </c>
      <c r="J186" s="123">
        <v>0</v>
      </c>
      <c r="K186" s="123">
        <f>IFERROR(VLOOKUP($B186,'[1]Ulat Api'!$C$11:$U$51,'[1]Ulat Api'!$U$132,0),0)</f>
        <v>0</v>
      </c>
      <c r="L186" s="123">
        <v>0</v>
      </c>
      <c r="M186" s="123"/>
      <c r="N186" s="123"/>
      <c r="O186" s="123"/>
      <c r="P186" s="123"/>
      <c r="Q186" s="123"/>
      <c r="R186" s="123"/>
    </row>
    <row r="187" spans="1:18" x14ac:dyDescent="0.2">
      <c r="A187" s="12">
        <v>5</v>
      </c>
      <c r="B187" s="12" t="s">
        <v>202</v>
      </c>
      <c r="C187" s="12" t="s">
        <v>26</v>
      </c>
      <c r="D187" s="129">
        <v>27.6</v>
      </c>
      <c r="E187" s="12">
        <v>1997</v>
      </c>
      <c r="F187" s="123"/>
      <c r="G187" s="123">
        <v>0</v>
      </c>
      <c r="H187" s="123">
        <v>0</v>
      </c>
      <c r="I187" s="129">
        <v>9.9444444444444446</v>
      </c>
      <c r="J187" s="123">
        <v>0</v>
      </c>
      <c r="K187" s="123">
        <f>IFERROR(VLOOKUP($B187,'[1]Ulat Api'!$C$11:$U$51,'[1]Ulat Api'!$U$132,0),0)</f>
        <v>0</v>
      </c>
      <c r="L187" s="123">
        <v>0</v>
      </c>
      <c r="M187" s="123"/>
      <c r="N187" s="123"/>
      <c r="O187" s="123"/>
      <c r="P187" s="123"/>
      <c r="Q187" s="123"/>
      <c r="R187" s="123"/>
    </row>
    <row r="188" spans="1:18" x14ac:dyDescent="0.2">
      <c r="A188" s="12">
        <v>5</v>
      </c>
      <c r="B188" s="12" t="s">
        <v>203</v>
      </c>
      <c r="C188" s="12" t="s">
        <v>26</v>
      </c>
      <c r="D188" s="129">
        <v>27.88</v>
      </c>
      <c r="E188" s="12">
        <v>1997</v>
      </c>
      <c r="F188" s="123"/>
      <c r="G188" s="123">
        <v>0</v>
      </c>
      <c r="H188" s="123">
        <v>0</v>
      </c>
      <c r="I188" s="129">
        <v>14.888888888888889</v>
      </c>
      <c r="J188" s="123">
        <v>0</v>
      </c>
      <c r="K188" s="123">
        <f>IFERROR(VLOOKUP($B188,'[1]Ulat Api'!$C$11:$U$51,'[1]Ulat Api'!$U$132,0),0)</f>
        <v>0</v>
      </c>
      <c r="L188" s="123">
        <v>0</v>
      </c>
      <c r="M188" s="123"/>
      <c r="N188" s="123"/>
      <c r="O188" s="123"/>
      <c r="P188" s="123"/>
      <c r="Q188" s="123"/>
      <c r="R188" s="123"/>
    </row>
    <row r="189" spans="1:18" x14ac:dyDescent="0.2">
      <c r="A189" s="12">
        <v>5</v>
      </c>
      <c r="B189" s="12" t="s">
        <v>204</v>
      </c>
      <c r="C189" s="12" t="s">
        <v>26</v>
      </c>
      <c r="D189" s="129">
        <v>28.2</v>
      </c>
      <c r="E189" s="12">
        <v>1997</v>
      </c>
      <c r="F189" s="123"/>
      <c r="G189" s="123">
        <v>0</v>
      </c>
      <c r="H189" s="123">
        <v>0</v>
      </c>
      <c r="I189" s="129">
        <v>16.8</v>
      </c>
      <c r="J189" s="129">
        <v>0.3</v>
      </c>
      <c r="K189" s="123">
        <f>IFERROR(VLOOKUP($B189,'[1]Ulat Api'!$C$11:$U$51,'[1]Ulat Api'!$U$132,0),0)</f>
        <v>0</v>
      </c>
      <c r="L189" s="123">
        <v>0</v>
      </c>
      <c r="M189" s="123"/>
      <c r="N189" s="123"/>
      <c r="O189" s="123"/>
      <c r="P189" s="123"/>
      <c r="Q189" s="123"/>
      <c r="R189" s="123"/>
    </row>
    <row r="190" spans="1:18" x14ac:dyDescent="0.2">
      <c r="A190" s="12">
        <v>5</v>
      </c>
      <c r="B190" s="12" t="s">
        <v>205</v>
      </c>
      <c r="C190" s="12" t="s">
        <v>26</v>
      </c>
      <c r="D190" s="129">
        <v>27.98</v>
      </c>
      <c r="E190" s="12">
        <v>1997</v>
      </c>
      <c r="F190" s="123"/>
      <c r="G190" s="123">
        <v>0</v>
      </c>
      <c r="H190" s="123">
        <v>0</v>
      </c>
      <c r="I190" s="129">
        <v>14.555555555555555</v>
      </c>
      <c r="J190" s="129">
        <v>0.22222222222222221</v>
      </c>
      <c r="K190" s="123">
        <f>IFERROR(VLOOKUP($B190,'[1]Ulat Api'!$C$11:$U$51,'[1]Ulat Api'!$U$132,0),0)</f>
        <v>0</v>
      </c>
      <c r="L190" s="123">
        <v>0</v>
      </c>
      <c r="M190" s="123"/>
      <c r="N190" s="123"/>
      <c r="O190" s="123"/>
      <c r="P190" s="123"/>
      <c r="Q190" s="123"/>
      <c r="R190" s="123"/>
    </row>
    <row r="191" spans="1:18" x14ac:dyDescent="0.2">
      <c r="A191" s="12">
        <v>5</v>
      </c>
      <c r="B191" s="12" t="s">
        <v>206</v>
      </c>
      <c r="C191" s="12" t="s">
        <v>26</v>
      </c>
      <c r="D191" s="129">
        <v>26.14</v>
      </c>
      <c r="E191" s="12">
        <v>1997</v>
      </c>
      <c r="F191" s="123"/>
      <c r="G191" s="123">
        <v>0</v>
      </c>
      <c r="H191" s="123">
        <v>0</v>
      </c>
      <c r="I191" s="123">
        <v>0</v>
      </c>
      <c r="J191" s="123">
        <v>0</v>
      </c>
      <c r="K191" s="123">
        <f>IFERROR(VLOOKUP($B191,'[1]Ulat Api'!$C$11:$U$51,'[1]Ulat Api'!$U$132,0),0)</f>
        <v>0</v>
      </c>
      <c r="L191" s="123">
        <v>0</v>
      </c>
      <c r="M191" s="123"/>
      <c r="N191" s="123"/>
      <c r="O191" s="123"/>
      <c r="P191" s="123"/>
      <c r="Q191" s="123"/>
      <c r="R191" s="123"/>
    </row>
    <row r="192" spans="1:18" x14ac:dyDescent="0.2">
      <c r="A192" s="12">
        <v>5</v>
      </c>
      <c r="B192" s="12" t="s">
        <v>207</v>
      </c>
      <c r="C192" s="12" t="s">
        <v>26</v>
      </c>
      <c r="D192" s="129">
        <v>13.97</v>
      </c>
      <c r="E192" s="12">
        <v>1997</v>
      </c>
      <c r="F192" s="123"/>
      <c r="G192" s="123">
        <v>0</v>
      </c>
      <c r="H192" s="123">
        <v>0</v>
      </c>
      <c r="I192" s="123">
        <v>0</v>
      </c>
      <c r="J192" s="123">
        <v>0</v>
      </c>
      <c r="K192" s="123">
        <f>IFERROR(VLOOKUP($B192,'[1]Ulat Api'!$C$11:$U$51,'[1]Ulat Api'!$U$132,0),0)</f>
        <v>0</v>
      </c>
      <c r="L192" s="123">
        <v>0</v>
      </c>
      <c r="M192" s="123"/>
      <c r="N192" s="123"/>
      <c r="O192" s="123"/>
      <c r="P192" s="123"/>
      <c r="Q192" s="123"/>
      <c r="R192" s="123"/>
    </row>
    <row r="193" spans="1:18" x14ac:dyDescent="0.2">
      <c r="A193" s="12">
        <v>5</v>
      </c>
      <c r="B193" s="12" t="s">
        <v>208</v>
      </c>
      <c r="C193" s="12" t="s">
        <v>26</v>
      </c>
      <c r="D193" s="129">
        <v>30.07</v>
      </c>
      <c r="E193" s="12">
        <v>1997</v>
      </c>
      <c r="F193" s="123"/>
      <c r="G193" s="123">
        <v>0</v>
      </c>
      <c r="H193" s="123">
        <v>0</v>
      </c>
      <c r="I193" s="123">
        <v>0</v>
      </c>
      <c r="J193" s="123">
        <v>0</v>
      </c>
      <c r="K193" s="123">
        <f>IFERROR(VLOOKUP($B193,'[1]Ulat Api'!$C$11:$U$51,'[1]Ulat Api'!$U$132,0),0)</f>
        <v>0</v>
      </c>
      <c r="L193" s="123">
        <v>0</v>
      </c>
      <c r="M193" s="123"/>
      <c r="N193" s="123"/>
      <c r="O193" s="123"/>
      <c r="P193" s="123"/>
      <c r="Q193" s="123"/>
      <c r="R193" s="123"/>
    </row>
    <row r="194" spans="1:18" x14ac:dyDescent="0.2">
      <c r="A194" s="12">
        <v>5</v>
      </c>
      <c r="B194" s="12" t="s">
        <v>209</v>
      </c>
      <c r="C194" s="12" t="s">
        <v>26</v>
      </c>
      <c r="D194" s="129">
        <v>31.77</v>
      </c>
      <c r="E194" s="12">
        <v>1997</v>
      </c>
      <c r="F194" s="123"/>
      <c r="G194" s="123">
        <v>0</v>
      </c>
      <c r="H194" s="123">
        <v>0</v>
      </c>
      <c r="I194" s="123">
        <v>0</v>
      </c>
      <c r="J194" s="123">
        <v>0</v>
      </c>
      <c r="K194" s="123">
        <f>IFERROR(VLOOKUP($B194,'[1]Ulat Api'!$C$11:$U$51,'[1]Ulat Api'!$U$132,0),0)</f>
        <v>0</v>
      </c>
      <c r="L194" s="123">
        <v>0</v>
      </c>
      <c r="M194" s="123"/>
      <c r="N194" s="123"/>
      <c r="O194" s="123"/>
      <c r="P194" s="123"/>
      <c r="Q194" s="123"/>
      <c r="R194" s="123"/>
    </row>
    <row r="195" spans="1:18" x14ac:dyDescent="0.2">
      <c r="A195" s="12">
        <v>5</v>
      </c>
      <c r="B195" s="12" t="s">
        <v>210</v>
      </c>
      <c r="C195" s="12" t="s">
        <v>26</v>
      </c>
      <c r="D195" s="129">
        <v>27.92</v>
      </c>
      <c r="E195" s="12">
        <v>1997</v>
      </c>
      <c r="F195" s="123"/>
      <c r="G195" s="123">
        <v>0</v>
      </c>
      <c r="H195" s="123">
        <v>0</v>
      </c>
      <c r="I195" s="123">
        <v>0</v>
      </c>
      <c r="J195" s="123">
        <v>0</v>
      </c>
      <c r="K195" s="123">
        <f>IFERROR(VLOOKUP($B195,'[1]Ulat Api'!$C$11:$U$51,'[1]Ulat Api'!$U$132,0),0)</f>
        <v>0</v>
      </c>
      <c r="L195" s="123">
        <v>0</v>
      </c>
      <c r="M195" s="123"/>
      <c r="N195" s="123"/>
      <c r="O195" s="123"/>
      <c r="P195" s="123"/>
      <c r="Q195" s="123"/>
      <c r="R195" s="123"/>
    </row>
    <row r="196" spans="1:18" x14ac:dyDescent="0.2">
      <c r="A196" s="12">
        <v>5</v>
      </c>
      <c r="B196" s="12" t="s">
        <v>211</v>
      </c>
      <c r="C196" s="12" t="s">
        <v>26</v>
      </c>
      <c r="D196" s="129">
        <v>29.41</v>
      </c>
      <c r="E196" s="12">
        <v>1997</v>
      </c>
      <c r="F196" s="123"/>
      <c r="G196" s="123">
        <v>0</v>
      </c>
      <c r="H196" s="123">
        <v>0</v>
      </c>
      <c r="I196" s="123">
        <v>0</v>
      </c>
      <c r="J196" s="123">
        <v>0</v>
      </c>
      <c r="K196" s="123">
        <f>IFERROR(VLOOKUP($B196,'[1]Ulat Api'!$C$11:$U$51,'[1]Ulat Api'!$U$132,0),0)</f>
        <v>0</v>
      </c>
      <c r="L196" s="123">
        <v>0</v>
      </c>
      <c r="M196" s="123"/>
      <c r="N196" s="123"/>
      <c r="O196" s="123"/>
      <c r="P196" s="123"/>
      <c r="Q196" s="123"/>
      <c r="R196" s="123"/>
    </row>
    <row r="197" spans="1:18" x14ac:dyDescent="0.2">
      <c r="A197" s="12">
        <v>5</v>
      </c>
      <c r="B197" s="12" t="s">
        <v>212</v>
      </c>
      <c r="C197" s="12" t="s">
        <v>26</v>
      </c>
      <c r="D197" s="129">
        <v>29.67</v>
      </c>
      <c r="E197" s="12">
        <v>1997</v>
      </c>
      <c r="F197" s="123"/>
      <c r="G197" s="123">
        <v>0</v>
      </c>
      <c r="H197" s="123">
        <v>0</v>
      </c>
      <c r="I197" s="123">
        <v>0</v>
      </c>
      <c r="J197" s="123">
        <v>0</v>
      </c>
      <c r="K197" s="123">
        <f>IFERROR(VLOOKUP($B197,'[1]Ulat Api'!$C$11:$U$51,'[1]Ulat Api'!$U$132,0),0)</f>
        <v>0</v>
      </c>
      <c r="L197" s="123">
        <v>0</v>
      </c>
      <c r="M197" s="123"/>
      <c r="N197" s="123"/>
      <c r="O197" s="123"/>
      <c r="P197" s="123"/>
      <c r="Q197" s="123"/>
      <c r="R197" s="123"/>
    </row>
    <row r="198" spans="1:18" x14ac:dyDescent="0.2">
      <c r="A198" s="12">
        <v>5</v>
      </c>
      <c r="B198" s="12" t="s">
        <v>213</v>
      </c>
      <c r="C198" s="12" t="s">
        <v>26</v>
      </c>
      <c r="D198" s="129">
        <v>28.73</v>
      </c>
      <c r="E198" s="12">
        <v>1997</v>
      </c>
      <c r="F198" s="123"/>
      <c r="G198" s="123">
        <v>0</v>
      </c>
      <c r="H198" s="123">
        <v>0</v>
      </c>
      <c r="I198" s="123">
        <v>0</v>
      </c>
      <c r="J198" s="123">
        <v>0</v>
      </c>
      <c r="K198" s="123">
        <f>IFERROR(VLOOKUP($B198,'[1]Ulat Api'!$C$11:$U$51,'[1]Ulat Api'!$U$132,0),0)</f>
        <v>0</v>
      </c>
      <c r="L198" s="123">
        <v>0</v>
      </c>
      <c r="M198" s="123"/>
      <c r="N198" s="123"/>
      <c r="O198" s="123"/>
      <c r="P198" s="123"/>
      <c r="Q198" s="123"/>
      <c r="R198" s="123"/>
    </row>
    <row r="199" spans="1:18" x14ac:dyDescent="0.2">
      <c r="A199" s="12">
        <v>5</v>
      </c>
      <c r="B199" s="12" t="s">
        <v>214</v>
      </c>
      <c r="C199" s="12" t="s">
        <v>26</v>
      </c>
      <c r="D199" s="129">
        <v>30.67</v>
      </c>
      <c r="E199" s="12">
        <v>1997</v>
      </c>
      <c r="F199" s="123"/>
      <c r="G199" s="123">
        <v>0</v>
      </c>
      <c r="H199" s="123">
        <v>0</v>
      </c>
      <c r="I199" s="123">
        <v>0</v>
      </c>
      <c r="J199" s="123">
        <v>0</v>
      </c>
      <c r="K199" s="123">
        <f>IFERROR(VLOOKUP($B199,'[1]Ulat Api'!$C$11:$U$51,'[1]Ulat Api'!$U$132,0),0)</f>
        <v>0</v>
      </c>
      <c r="L199" s="123">
        <v>0</v>
      </c>
      <c r="M199" s="123"/>
      <c r="N199" s="123"/>
      <c r="O199" s="123"/>
      <c r="P199" s="123"/>
      <c r="Q199" s="123"/>
      <c r="R199" s="123"/>
    </row>
    <row r="200" spans="1:18" x14ac:dyDescent="0.2">
      <c r="A200" s="12">
        <v>5</v>
      </c>
      <c r="B200" s="12" t="s">
        <v>215</v>
      </c>
      <c r="C200" s="12" t="s">
        <v>26</v>
      </c>
      <c r="D200" s="129">
        <v>27.34</v>
      </c>
      <c r="E200" s="12">
        <v>1997</v>
      </c>
      <c r="F200" s="123"/>
      <c r="G200" s="123">
        <v>0</v>
      </c>
      <c r="H200" s="123">
        <v>0</v>
      </c>
      <c r="I200" s="123">
        <v>0</v>
      </c>
      <c r="J200" s="123">
        <v>0</v>
      </c>
      <c r="K200" s="123">
        <f>IFERROR(VLOOKUP($B200,'[1]Ulat Api'!$C$11:$U$51,'[1]Ulat Api'!$U$132,0),0)</f>
        <v>0</v>
      </c>
      <c r="L200" s="123">
        <v>0</v>
      </c>
      <c r="M200" s="123"/>
      <c r="N200" s="123"/>
      <c r="O200" s="123"/>
      <c r="P200" s="123"/>
      <c r="Q200" s="123"/>
      <c r="R200" s="123"/>
    </row>
    <row r="201" spans="1:18" x14ac:dyDescent="0.2">
      <c r="A201" s="12">
        <v>5</v>
      </c>
      <c r="B201" s="12" t="s">
        <v>216</v>
      </c>
      <c r="C201" s="12" t="s">
        <v>26</v>
      </c>
      <c r="D201" s="129">
        <v>32.119999999999997</v>
      </c>
      <c r="E201" s="12">
        <v>1997</v>
      </c>
      <c r="F201" s="123"/>
      <c r="G201" s="123">
        <v>0</v>
      </c>
      <c r="H201" s="123">
        <v>0</v>
      </c>
      <c r="I201" s="123">
        <v>0</v>
      </c>
      <c r="J201" s="123">
        <v>0</v>
      </c>
      <c r="K201" s="123">
        <f>IFERROR(VLOOKUP($B201,'[1]Ulat Api'!$C$11:$U$51,'[1]Ulat Api'!$U$132,0),0)</f>
        <v>0</v>
      </c>
      <c r="L201" s="123">
        <v>0</v>
      </c>
      <c r="M201" s="123"/>
      <c r="N201" s="123"/>
      <c r="O201" s="123"/>
      <c r="P201" s="123"/>
      <c r="Q201" s="123"/>
      <c r="R201" s="123"/>
    </row>
    <row r="202" spans="1:18" x14ac:dyDescent="0.2">
      <c r="A202" s="12">
        <v>5</v>
      </c>
      <c r="B202" s="12" t="s">
        <v>217</v>
      </c>
      <c r="C202" s="12" t="s">
        <v>26</v>
      </c>
      <c r="D202" s="129">
        <v>27.2</v>
      </c>
      <c r="E202" s="12">
        <v>1997</v>
      </c>
      <c r="F202" s="123"/>
      <c r="G202" s="123">
        <v>0</v>
      </c>
      <c r="H202" s="123">
        <v>0</v>
      </c>
      <c r="I202" s="123">
        <v>0</v>
      </c>
      <c r="J202" s="123">
        <v>0</v>
      </c>
      <c r="K202" s="123">
        <f>IFERROR(VLOOKUP($B202,'[1]Ulat Api'!$C$11:$U$51,'[1]Ulat Api'!$U$132,0),0)</f>
        <v>0</v>
      </c>
      <c r="L202" s="123">
        <v>0</v>
      </c>
      <c r="M202" s="123"/>
      <c r="N202" s="123"/>
      <c r="O202" s="123"/>
      <c r="P202" s="123"/>
      <c r="Q202" s="123"/>
      <c r="R202" s="123"/>
    </row>
    <row r="203" spans="1:18" x14ac:dyDescent="0.2">
      <c r="A203" s="12">
        <v>5</v>
      </c>
      <c r="B203" s="12" t="s">
        <v>218</v>
      </c>
      <c r="C203" s="12" t="s">
        <v>26</v>
      </c>
      <c r="D203" s="129">
        <v>29.91</v>
      </c>
      <c r="E203" s="12">
        <v>1997</v>
      </c>
      <c r="F203" s="123"/>
      <c r="G203" s="123">
        <v>0</v>
      </c>
      <c r="H203" s="123">
        <v>0</v>
      </c>
      <c r="I203" s="123">
        <v>0</v>
      </c>
      <c r="J203" s="123">
        <v>0</v>
      </c>
      <c r="K203" s="123">
        <f>IFERROR(VLOOKUP($B203,'[1]Ulat Api'!$C$11:$U$51,'[1]Ulat Api'!$U$132,0),0)</f>
        <v>0</v>
      </c>
      <c r="L203" s="123">
        <v>0</v>
      </c>
      <c r="M203" s="123"/>
      <c r="N203" s="123"/>
      <c r="O203" s="123"/>
      <c r="P203" s="123"/>
      <c r="Q203" s="123"/>
      <c r="R203" s="123"/>
    </row>
    <row r="204" spans="1:18" x14ac:dyDescent="0.2">
      <c r="A204" s="12">
        <v>5</v>
      </c>
      <c r="B204" s="12" t="s">
        <v>219</v>
      </c>
      <c r="C204" s="12" t="s">
        <v>26</v>
      </c>
      <c r="D204" s="129">
        <v>29.53</v>
      </c>
      <c r="E204" s="12">
        <v>1997</v>
      </c>
      <c r="F204" s="123"/>
      <c r="G204" s="123">
        <v>0</v>
      </c>
      <c r="H204" s="123">
        <v>0</v>
      </c>
      <c r="I204" s="123">
        <v>0</v>
      </c>
      <c r="J204" s="123">
        <v>0</v>
      </c>
      <c r="K204" s="123">
        <f>IFERROR(VLOOKUP($B204,'[1]Ulat Api'!$C$11:$U$51,'[1]Ulat Api'!$U$132,0),0)</f>
        <v>0</v>
      </c>
      <c r="L204" s="123">
        <v>0</v>
      </c>
      <c r="M204" s="123"/>
      <c r="N204" s="123"/>
      <c r="O204" s="123"/>
      <c r="P204" s="123"/>
      <c r="Q204" s="123"/>
      <c r="R204" s="123"/>
    </row>
    <row r="205" spans="1:18" x14ac:dyDescent="0.2">
      <c r="A205" s="12">
        <v>5</v>
      </c>
      <c r="B205" s="12" t="s">
        <v>220</v>
      </c>
      <c r="C205" s="12" t="s">
        <v>26</v>
      </c>
      <c r="D205" s="129">
        <v>21.14</v>
      </c>
      <c r="E205" s="12">
        <v>1997</v>
      </c>
      <c r="F205" s="123"/>
      <c r="G205" s="123">
        <v>0</v>
      </c>
      <c r="H205" s="123">
        <v>0</v>
      </c>
      <c r="I205" s="123">
        <v>0</v>
      </c>
      <c r="J205" s="123">
        <v>0</v>
      </c>
      <c r="K205" s="123">
        <f>IFERROR(VLOOKUP($B205,'[1]Ulat Api'!$C$11:$U$51,'[1]Ulat Api'!$U$132,0),0)</f>
        <v>0</v>
      </c>
      <c r="L205" s="123">
        <v>0</v>
      </c>
      <c r="M205" s="123"/>
      <c r="N205" s="123"/>
      <c r="O205" s="123"/>
      <c r="P205" s="123"/>
      <c r="Q205" s="123"/>
      <c r="R205" s="123"/>
    </row>
    <row r="206" spans="1:18" x14ac:dyDescent="0.2">
      <c r="A206" s="12">
        <v>5</v>
      </c>
      <c r="B206" s="12" t="s">
        <v>221</v>
      </c>
      <c r="C206" s="12" t="s">
        <v>26</v>
      </c>
      <c r="D206" s="129">
        <v>10.68</v>
      </c>
      <c r="E206" s="12">
        <v>1997</v>
      </c>
      <c r="F206" s="123"/>
      <c r="G206" s="123">
        <v>0</v>
      </c>
      <c r="H206" s="123">
        <v>0</v>
      </c>
      <c r="I206" s="123">
        <v>0</v>
      </c>
      <c r="J206" s="123">
        <v>0</v>
      </c>
      <c r="K206" s="123">
        <f>IFERROR(VLOOKUP($B206,'[1]Ulat Api'!$C$11:$U$51,'[1]Ulat Api'!$U$132,0),0)</f>
        <v>0</v>
      </c>
      <c r="L206" s="123">
        <v>0</v>
      </c>
      <c r="M206" s="123"/>
      <c r="N206" s="123"/>
      <c r="O206" s="123"/>
      <c r="P206" s="123"/>
      <c r="Q206" s="123"/>
      <c r="R206" s="123"/>
    </row>
    <row r="207" spans="1:18" x14ac:dyDescent="0.2">
      <c r="A207" s="12">
        <v>5</v>
      </c>
      <c r="B207" s="12" t="s">
        <v>222</v>
      </c>
      <c r="C207" s="12" t="s">
        <v>26</v>
      </c>
      <c r="D207" s="129">
        <v>28.14</v>
      </c>
      <c r="E207" s="12">
        <v>1997</v>
      </c>
      <c r="F207" s="123"/>
      <c r="G207" s="123">
        <v>0</v>
      </c>
      <c r="H207" s="123">
        <v>0</v>
      </c>
      <c r="I207" s="123">
        <v>0</v>
      </c>
      <c r="J207" s="123">
        <v>0</v>
      </c>
      <c r="K207" s="123">
        <f>IFERROR(VLOOKUP($B207,'[1]Ulat Api'!$C$11:$U$51,'[1]Ulat Api'!$U$132,0),0)</f>
        <v>0</v>
      </c>
      <c r="L207" s="123">
        <v>0</v>
      </c>
      <c r="M207" s="123"/>
      <c r="N207" s="123"/>
      <c r="O207" s="123"/>
      <c r="P207" s="123"/>
      <c r="Q207" s="123"/>
      <c r="R207" s="123"/>
    </row>
    <row r="208" spans="1:18" x14ac:dyDescent="0.2">
      <c r="A208" s="12">
        <v>5</v>
      </c>
      <c r="B208" s="12" t="s">
        <v>223</v>
      </c>
      <c r="C208" s="12" t="s">
        <v>26</v>
      </c>
      <c r="D208" s="129">
        <v>31.7</v>
      </c>
      <c r="E208" s="12">
        <v>1997</v>
      </c>
      <c r="F208" s="123"/>
      <c r="G208" s="123">
        <v>0</v>
      </c>
      <c r="H208" s="123">
        <v>0</v>
      </c>
      <c r="I208" s="123">
        <v>0</v>
      </c>
      <c r="J208" s="123">
        <v>0</v>
      </c>
      <c r="K208" s="123">
        <f>IFERROR(VLOOKUP($B208,'[1]Ulat Api'!$C$11:$U$51,'[1]Ulat Api'!$U$132,0),0)</f>
        <v>0</v>
      </c>
      <c r="L208" s="123">
        <v>0</v>
      </c>
      <c r="M208" s="123"/>
      <c r="N208" s="123"/>
      <c r="O208" s="123"/>
      <c r="P208" s="123"/>
      <c r="Q208" s="123"/>
      <c r="R208" s="123"/>
    </row>
    <row r="209" spans="1:18" x14ac:dyDescent="0.2">
      <c r="A209" s="12">
        <v>5</v>
      </c>
      <c r="B209" s="12" t="s">
        <v>224</v>
      </c>
      <c r="C209" s="12" t="s">
        <v>26</v>
      </c>
      <c r="D209" s="129">
        <v>25.73</v>
      </c>
      <c r="E209" s="12">
        <v>1997</v>
      </c>
      <c r="F209" s="123"/>
      <c r="G209" s="123">
        <v>0</v>
      </c>
      <c r="H209" s="123">
        <v>0</v>
      </c>
      <c r="I209" s="123">
        <v>0</v>
      </c>
      <c r="J209" s="123">
        <v>0</v>
      </c>
      <c r="K209" s="123">
        <f>IFERROR(VLOOKUP($B209,'[1]Ulat Api'!$C$11:$U$51,'[1]Ulat Api'!$U$132,0),0)</f>
        <v>0</v>
      </c>
      <c r="L209" s="123">
        <v>0</v>
      </c>
      <c r="M209" s="123"/>
      <c r="N209" s="123"/>
      <c r="O209" s="123"/>
      <c r="P209" s="123"/>
      <c r="Q209" s="123"/>
      <c r="R209" s="123"/>
    </row>
    <row r="210" spans="1:18" x14ac:dyDescent="0.2">
      <c r="A210" s="12">
        <v>5</v>
      </c>
      <c r="B210" s="12" t="s">
        <v>225</v>
      </c>
      <c r="C210" s="12" t="s">
        <v>26</v>
      </c>
      <c r="D210" s="129">
        <v>26.37</v>
      </c>
      <c r="E210" s="12">
        <v>1997</v>
      </c>
      <c r="F210" s="123"/>
      <c r="G210" s="123">
        <v>0</v>
      </c>
      <c r="H210" s="123">
        <v>0</v>
      </c>
      <c r="I210" s="123">
        <v>0</v>
      </c>
      <c r="J210" s="123">
        <v>0</v>
      </c>
      <c r="K210" s="123">
        <f>IFERROR(VLOOKUP($B210,'[1]Ulat Api'!$C$11:$U$51,'[1]Ulat Api'!$U$132,0),0)</f>
        <v>0</v>
      </c>
      <c r="L210" s="123">
        <v>0</v>
      </c>
      <c r="M210" s="123"/>
      <c r="N210" s="123"/>
      <c r="O210" s="123"/>
      <c r="P210" s="123"/>
      <c r="Q210" s="123"/>
      <c r="R210" s="123"/>
    </row>
    <row r="211" spans="1:18" x14ac:dyDescent="0.2">
      <c r="A211" s="12">
        <v>5</v>
      </c>
      <c r="B211" s="12" t="s">
        <v>226</v>
      </c>
      <c r="C211" s="12" t="s">
        <v>26</v>
      </c>
      <c r="D211" s="129">
        <v>15.17</v>
      </c>
      <c r="E211" s="12">
        <v>1997</v>
      </c>
      <c r="F211" s="123"/>
      <c r="G211" s="123">
        <v>0</v>
      </c>
      <c r="H211" s="123">
        <v>0</v>
      </c>
      <c r="I211" s="123">
        <v>0</v>
      </c>
      <c r="J211" s="123">
        <v>0</v>
      </c>
      <c r="K211" s="123">
        <f>IFERROR(VLOOKUP($B211,'[1]Ulat Api'!$C$11:$U$51,'[1]Ulat Api'!$U$132,0),0)</f>
        <v>0</v>
      </c>
      <c r="L211" s="123">
        <v>0</v>
      </c>
      <c r="M211" s="123"/>
      <c r="N211" s="123"/>
      <c r="O211" s="123"/>
      <c r="P211" s="123"/>
      <c r="Q211" s="123"/>
      <c r="R211" s="123"/>
    </row>
    <row r="212" spans="1:18" x14ac:dyDescent="0.2">
      <c r="A212" s="12">
        <v>5</v>
      </c>
      <c r="B212" s="12" t="s">
        <v>227</v>
      </c>
      <c r="C212" s="12" t="s">
        <v>26</v>
      </c>
      <c r="D212" s="129">
        <v>26.08</v>
      </c>
      <c r="E212" s="12">
        <v>1997</v>
      </c>
      <c r="F212" s="123"/>
      <c r="G212" s="123">
        <v>0</v>
      </c>
      <c r="H212" s="123">
        <v>0</v>
      </c>
      <c r="I212" s="123">
        <v>0</v>
      </c>
      <c r="J212" s="123">
        <v>0</v>
      </c>
      <c r="K212" s="123">
        <f>IFERROR(VLOOKUP($B212,'[1]Ulat Api'!$C$11:$U$51,'[1]Ulat Api'!$U$132,0),0)</f>
        <v>0</v>
      </c>
      <c r="L212" s="123">
        <v>0</v>
      </c>
      <c r="M212" s="123"/>
      <c r="N212" s="123"/>
      <c r="O212" s="123"/>
      <c r="P212" s="123"/>
      <c r="Q212" s="123"/>
      <c r="R212" s="123"/>
    </row>
    <row r="213" spans="1:18" x14ac:dyDescent="0.2">
      <c r="A213" s="12">
        <v>5</v>
      </c>
      <c r="B213" s="12" t="s">
        <v>228</v>
      </c>
      <c r="C213" s="12" t="s">
        <v>26</v>
      </c>
      <c r="D213" s="129">
        <v>34.26</v>
      </c>
      <c r="E213" s="12">
        <v>1997</v>
      </c>
      <c r="F213" s="123"/>
      <c r="G213" s="123">
        <v>0</v>
      </c>
      <c r="H213" s="123">
        <v>0</v>
      </c>
      <c r="I213" s="123">
        <v>0</v>
      </c>
      <c r="J213" s="123">
        <v>0</v>
      </c>
      <c r="K213" s="123">
        <f>IFERROR(VLOOKUP($B213,'[1]Ulat Api'!$C$11:$U$51,'[1]Ulat Api'!$U$132,0),0)</f>
        <v>0</v>
      </c>
      <c r="L213" s="123">
        <v>0</v>
      </c>
      <c r="M213" s="123"/>
      <c r="N213" s="123"/>
      <c r="O213" s="123"/>
      <c r="P213" s="123"/>
      <c r="Q213" s="123"/>
      <c r="R213" s="123"/>
    </row>
    <row r="214" spans="1:18" x14ac:dyDescent="0.2">
      <c r="A214" s="12">
        <v>5</v>
      </c>
      <c r="B214" s="12" t="s">
        <v>229</v>
      </c>
      <c r="C214" s="12" t="s">
        <v>26</v>
      </c>
      <c r="D214" s="129">
        <v>26.83</v>
      </c>
      <c r="E214" s="12">
        <v>1997</v>
      </c>
      <c r="F214" s="123"/>
      <c r="G214" s="123">
        <v>0</v>
      </c>
      <c r="H214" s="123">
        <v>0</v>
      </c>
      <c r="I214" s="123">
        <v>0</v>
      </c>
      <c r="J214" s="123">
        <v>0</v>
      </c>
      <c r="K214" s="123">
        <f>IFERROR(VLOOKUP($B214,'[1]Ulat Api'!$C$11:$U$51,'[1]Ulat Api'!$U$132,0),0)</f>
        <v>0</v>
      </c>
      <c r="L214" s="123">
        <v>0</v>
      </c>
      <c r="M214" s="123"/>
      <c r="N214" s="123"/>
      <c r="O214" s="123"/>
      <c r="P214" s="123"/>
      <c r="Q214" s="123"/>
      <c r="R214" s="123"/>
    </row>
    <row r="215" spans="1:18" x14ac:dyDescent="0.2">
      <c r="A215" s="12">
        <v>5</v>
      </c>
      <c r="B215" s="12" t="s">
        <v>230</v>
      </c>
      <c r="C215" s="12" t="s">
        <v>26</v>
      </c>
      <c r="D215" s="129">
        <v>30.49</v>
      </c>
      <c r="E215" s="12">
        <v>1997</v>
      </c>
      <c r="F215" s="123"/>
      <c r="G215" s="123">
        <v>0</v>
      </c>
      <c r="H215" s="123">
        <v>0</v>
      </c>
      <c r="I215" s="123">
        <v>0</v>
      </c>
      <c r="J215" s="123">
        <v>0</v>
      </c>
      <c r="K215" s="123">
        <f>IFERROR(VLOOKUP($B215,'[1]Ulat Api'!$C$11:$U$51,'[1]Ulat Api'!$U$132,0),0)</f>
        <v>0</v>
      </c>
      <c r="L215" s="123">
        <v>0</v>
      </c>
      <c r="M215" s="123"/>
      <c r="N215" s="123"/>
      <c r="O215" s="123"/>
      <c r="P215" s="123"/>
      <c r="Q215" s="123"/>
      <c r="R215" s="123"/>
    </row>
    <row r="216" spans="1:18" x14ac:dyDescent="0.2">
      <c r="A216" s="12">
        <v>5</v>
      </c>
      <c r="B216" s="12" t="s">
        <v>231</v>
      </c>
      <c r="C216" s="12" t="s">
        <v>26</v>
      </c>
      <c r="D216" s="129">
        <v>24.54</v>
      </c>
      <c r="E216" s="12">
        <v>1997</v>
      </c>
      <c r="F216" s="123"/>
      <c r="G216" s="123">
        <v>0</v>
      </c>
      <c r="H216" s="123">
        <v>0</v>
      </c>
      <c r="I216" s="123">
        <v>0</v>
      </c>
      <c r="J216" s="123">
        <v>0</v>
      </c>
      <c r="K216" s="123">
        <f>IFERROR(VLOOKUP($B216,'[1]Ulat Api'!$C$11:$U$51,'[1]Ulat Api'!$U$132,0),0)</f>
        <v>0</v>
      </c>
      <c r="L216" s="123">
        <v>0</v>
      </c>
      <c r="M216" s="123"/>
      <c r="N216" s="123"/>
      <c r="O216" s="123"/>
      <c r="P216" s="123"/>
      <c r="Q216" s="123"/>
      <c r="R216" s="123"/>
    </row>
    <row r="217" spans="1:18" x14ac:dyDescent="0.2">
      <c r="A217" s="12">
        <v>5</v>
      </c>
      <c r="B217" s="12" t="s">
        <v>232</v>
      </c>
      <c r="C217" s="12" t="s">
        <v>26</v>
      </c>
      <c r="D217" s="129">
        <v>20.05</v>
      </c>
      <c r="E217" s="12">
        <v>1997</v>
      </c>
      <c r="F217" s="123"/>
      <c r="G217" s="123">
        <v>0</v>
      </c>
      <c r="H217" s="123">
        <v>0</v>
      </c>
      <c r="I217" s="123">
        <v>0</v>
      </c>
      <c r="J217" s="123">
        <v>0</v>
      </c>
      <c r="K217" s="123">
        <f>IFERROR(VLOOKUP($B217,'[1]Ulat Api'!$C$11:$U$51,'[1]Ulat Api'!$U$132,0),0)</f>
        <v>0</v>
      </c>
      <c r="L217" s="123">
        <v>0</v>
      </c>
      <c r="M217" s="123"/>
      <c r="N217" s="123"/>
      <c r="O217" s="123"/>
      <c r="P217" s="123"/>
      <c r="Q217" s="123"/>
      <c r="R217" s="123"/>
    </row>
    <row r="218" spans="1:18" x14ac:dyDescent="0.2">
      <c r="A218" s="313" t="s">
        <v>71</v>
      </c>
      <c r="B218" s="314"/>
      <c r="C218" s="315"/>
      <c r="D218" s="150">
        <f>SUM(D176:D217)</f>
        <v>1144.5399999999997</v>
      </c>
      <c r="E218" s="125"/>
      <c r="F218" s="126"/>
      <c r="G218" s="123"/>
      <c r="H218" s="126"/>
      <c r="I218" s="126"/>
      <c r="J218" s="126"/>
      <c r="K218" s="126"/>
      <c r="L218" s="123"/>
      <c r="M218" s="126"/>
      <c r="N218" s="126"/>
      <c r="O218" s="126"/>
      <c r="P218" s="126"/>
      <c r="Q218" s="126"/>
      <c r="R218" s="126"/>
    </row>
    <row r="219" spans="1:18" x14ac:dyDescent="0.2">
      <c r="A219" s="12">
        <v>6</v>
      </c>
      <c r="B219" s="12" t="s">
        <v>233</v>
      </c>
      <c r="C219" s="12" t="s">
        <v>26</v>
      </c>
      <c r="D219" s="129">
        <v>30.79</v>
      </c>
      <c r="E219" s="12">
        <v>1997</v>
      </c>
      <c r="F219" s="123"/>
      <c r="G219" s="123">
        <v>0</v>
      </c>
      <c r="H219" s="123">
        <v>0</v>
      </c>
      <c r="I219" s="123">
        <v>0</v>
      </c>
      <c r="J219" s="123">
        <v>0</v>
      </c>
      <c r="K219" s="123">
        <v>0</v>
      </c>
      <c r="L219" s="123">
        <v>0</v>
      </c>
      <c r="M219" s="123"/>
      <c r="N219" s="123"/>
      <c r="O219" s="123"/>
      <c r="P219" s="123"/>
      <c r="Q219" s="123"/>
      <c r="R219" s="123"/>
    </row>
    <row r="220" spans="1:18" x14ac:dyDescent="0.2">
      <c r="A220" s="12">
        <v>6</v>
      </c>
      <c r="B220" s="12" t="s">
        <v>234</v>
      </c>
      <c r="C220" s="12" t="s">
        <v>26</v>
      </c>
      <c r="D220" s="129">
        <v>30.22</v>
      </c>
      <c r="E220" s="12">
        <v>1997</v>
      </c>
      <c r="F220" s="123"/>
      <c r="G220" s="123">
        <v>0</v>
      </c>
      <c r="H220" s="123">
        <v>0</v>
      </c>
      <c r="I220" s="123">
        <v>0</v>
      </c>
      <c r="J220" s="123">
        <v>0</v>
      </c>
      <c r="K220" s="123">
        <v>0</v>
      </c>
      <c r="L220" s="123">
        <v>0</v>
      </c>
      <c r="M220" s="123"/>
      <c r="N220" s="123"/>
      <c r="O220" s="123"/>
      <c r="P220" s="123"/>
      <c r="Q220" s="123"/>
      <c r="R220" s="123"/>
    </row>
    <row r="221" spans="1:18" x14ac:dyDescent="0.2">
      <c r="A221" s="12">
        <v>6</v>
      </c>
      <c r="B221" s="12" t="s">
        <v>235</v>
      </c>
      <c r="C221" s="12" t="s">
        <v>26</v>
      </c>
      <c r="D221" s="129">
        <v>28.5</v>
      </c>
      <c r="E221" s="12">
        <v>1997</v>
      </c>
      <c r="F221" s="123"/>
      <c r="G221" s="123">
        <v>0</v>
      </c>
      <c r="H221" s="123">
        <v>0</v>
      </c>
      <c r="I221" s="123">
        <v>0</v>
      </c>
      <c r="J221" s="123">
        <v>0</v>
      </c>
      <c r="K221" s="123">
        <v>0</v>
      </c>
      <c r="L221" s="123">
        <v>0</v>
      </c>
      <c r="M221" s="123"/>
      <c r="N221" s="123"/>
      <c r="O221" s="123"/>
      <c r="P221" s="123"/>
      <c r="Q221" s="123"/>
      <c r="R221" s="123"/>
    </row>
    <row r="222" spans="1:18" x14ac:dyDescent="0.2">
      <c r="A222" s="12">
        <v>6</v>
      </c>
      <c r="B222" s="12" t="s">
        <v>236</v>
      </c>
      <c r="C222" s="12" t="s">
        <v>26</v>
      </c>
      <c r="D222" s="129">
        <v>32.299999999999997</v>
      </c>
      <c r="E222" s="12">
        <v>1997</v>
      </c>
      <c r="F222" s="123"/>
      <c r="G222" s="123">
        <v>0</v>
      </c>
      <c r="H222" s="123">
        <v>0</v>
      </c>
      <c r="I222" s="123">
        <v>0</v>
      </c>
      <c r="J222" s="123">
        <v>0</v>
      </c>
      <c r="K222" s="123">
        <v>0</v>
      </c>
      <c r="L222" s="123">
        <v>0</v>
      </c>
      <c r="M222" s="123"/>
      <c r="N222" s="123"/>
      <c r="O222" s="123"/>
      <c r="P222" s="123"/>
      <c r="Q222" s="123"/>
      <c r="R222" s="123"/>
    </row>
    <row r="223" spans="1:18" x14ac:dyDescent="0.2">
      <c r="A223" s="12">
        <v>6</v>
      </c>
      <c r="B223" s="12" t="s">
        <v>237</v>
      </c>
      <c r="C223" s="12" t="s">
        <v>26</v>
      </c>
      <c r="D223" s="129">
        <v>29.54</v>
      </c>
      <c r="E223" s="12">
        <v>1997</v>
      </c>
      <c r="F223" s="123"/>
      <c r="G223" s="123">
        <v>0</v>
      </c>
      <c r="H223" s="123">
        <v>0</v>
      </c>
      <c r="I223" s="123">
        <v>0</v>
      </c>
      <c r="J223" s="123">
        <v>0</v>
      </c>
      <c r="K223" s="123">
        <v>0</v>
      </c>
      <c r="L223" s="123">
        <v>0</v>
      </c>
      <c r="M223" s="123"/>
      <c r="N223" s="123"/>
      <c r="O223" s="123"/>
      <c r="P223" s="123"/>
      <c r="Q223" s="123"/>
      <c r="R223" s="123"/>
    </row>
    <row r="224" spans="1:18" x14ac:dyDescent="0.2">
      <c r="A224" s="12">
        <v>6</v>
      </c>
      <c r="B224" s="12" t="s">
        <v>238</v>
      </c>
      <c r="C224" s="12" t="s">
        <v>26</v>
      </c>
      <c r="D224" s="129">
        <v>30.28</v>
      </c>
      <c r="E224" s="12">
        <v>1997</v>
      </c>
      <c r="F224" s="123"/>
      <c r="G224" s="123">
        <v>0</v>
      </c>
      <c r="H224" s="123">
        <v>0</v>
      </c>
      <c r="I224" s="123">
        <v>0</v>
      </c>
      <c r="J224" s="123">
        <v>0</v>
      </c>
      <c r="K224" s="123">
        <v>0</v>
      </c>
      <c r="L224" s="123">
        <v>0</v>
      </c>
      <c r="M224" s="123"/>
      <c r="N224" s="123"/>
      <c r="O224" s="123"/>
      <c r="P224" s="123"/>
      <c r="Q224" s="123"/>
      <c r="R224" s="123"/>
    </row>
    <row r="225" spans="1:18" x14ac:dyDescent="0.2">
      <c r="A225" s="12">
        <v>6</v>
      </c>
      <c r="B225" s="12" t="s">
        <v>239</v>
      </c>
      <c r="C225" s="12" t="s">
        <v>26</v>
      </c>
      <c r="D225" s="129">
        <v>19.03</v>
      </c>
      <c r="E225" s="12">
        <v>2006</v>
      </c>
      <c r="F225" s="123"/>
      <c r="G225" s="123">
        <v>0</v>
      </c>
      <c r="H225" s="123">
        <v>0</v>
      </c>
      <c r="I225" s="123">
        <v>0</v>
      </c>
      <c r="J225" s="123">
        <v>0</v>
      </c>
      <c r="K225" s="123">
        <v>0</v>
      </c>
      <c r="L225" s="123">
        <v>0</v>
      </c>
      <c r="M225" s="123"/>
      <c r="N225" s="123"/>
      <c r="O225" s="123"/>
      <c r="P225" s="123"/>
      <c r="Q225" s="123"/>
      <c r="R225" s="123"/>
    </row>
    <row r="226" spans="1:18" x14ac:dyDescent="0.2">
      <c r="A226" s="12">
        <v>6</v>
      </c>
      <c r="B226" s="12" t="s">
        <v>240</v>
      </c>
      <c r="C226" s="12" t="s">
        <v>26</v>
      </c>
      <c r="D226" s="129">
        <v>32.229999999999997</v>
      </c>
      <c r="E226" s="12">
        <v>2006</v>
      </c>
      <c r="F226" s="123"/>
      <c r="G226" s="123">
        <v>0</v>
      </c>
      <c r="H226" s="123">
        <v>0</v>
      </c>
      <c r="I226" s="123">
        <v>0</v>
      </c>
      <c r="J226" s="123">
        <v>0</v>
      </c>
      <c r="K226" s="123">
        <v>0</v>
      </c>
      <c r="L226" s="123">
        <v>0</v>
      </c>
      <c r="M226" s="123"/>
      <c r="N226" s="123"/>
      <c r="O226" s="123"/>
      <c r="P226" s="123"/>
      <c r="Q226" s="123"/>
      <c r="R226" s="123"/>
    </row>
    <row r="227" spans="1:18" x14ac:dyDescent="0.2">
      <c r="A227" s="12">
        <v>6</v>
      </c>
      <c r="B227" s="12" t="s">
        <v>241</v>
      </c>
      <c r="C227" s="12" t="s">
        <v>26</v>
      </c>
      <c r="D227" s="129">
        <v>30.43</v>
      </c>
      <c r="E227" s="12">
        <v>1997</v>
      </c>
      <c r="F227" s="123"/>
      <c r="G227" s="123">
        <v>0</v>
      </c>
      <c r="H227" s="123">
        <v>0</v>
      </c>
      <c r="I227" s="123">
        <v>0</v>
      </c>
      <c r="J227" s="123">
        <v>0</v>
      </c>
      <c r="K227" s="123">
        <v>0</v>
      </c>
      <c r="L227" s="123">
        <v>0</v>
      </c>
      <c r="M227" s="123"/>
      <c r="N227" s="123"/>
      <c r="O227" s="123"/>
      <c r="P227" s="123"/>
      <c r="Q227" s="123"/>
      <c r="R227" s="123"/>
    </row>
    <row r="228" spans="1:18" x14ac:dyDescent="0.2">
      <c r="A228" s="12">
        <v>6</v>
      </c>
      <c r="B228" s="12" t="s">
        <v>242</v>
      </c>
      <c r="C228" s="12" t="s">
        <v>26</v>
      </c>
      <c r="D228" s="129">
        <v>17.739999999999998</v>
      </c>
      <c r="E228" s="12">
        <v>2006</v>
      </c>
      <c r="F228" s="123"/>
      <c r="G228" s="123">
        <v>0</v>
      </c>
      <c r="H228" s="123">
        <v>0</v>
      </c>
      <c r="I228" s="123">
        <v>0</v>
      </c>
      <c r="J228" s="123">
        <v>0</v>
      </c>
      <c r="K228" s="123">
        <v>0</v>
      </c>
      <c r="L228" s="123">
        <v>0</v>
      </c>
      <c r="M228" s="123"/>
      <c r="N228" s="123"/>
      <c r="O228" s="123"/>
      <c r="P228" s="123"/>
      <c r="Q228" s="123"/>
      <c r="R228" s="123"/>
    </row>
    <row r="229" spans="1:18" x14ac:dyDescent="0.2">
      <c r="A229" s="12">
        <v>6</v>
      </c>
      <c r="B229" s="12" t="s">
        <v>243</v>
      </c>
      <c r="C229" s="12" t="s">
        <v>26</v>
      </c>
      <c r="D229" s="129">
        <v>39.43</v>
      </c>
      <c r="E229" s="12">
        <v>2006</v>
      </c>
      <c r="F229" s="123"/>
      <c r="G229" s="123">
        <v>0</v>
      </c>
      <c r="H229" s="123">
        <v>0</v>
      </c>
      <c r="I229" s="123">
        <v>0</v>
      </c>
      <c r="J229" s="123">
        <v>0</v>
      </c>
      <c r="K229" s="123">
        <v>0</v>
      </c>
      <c r="L229" s="123">
        <v>0</v>
      </c>
      <c r="M229" s="123"/>
      <c r="N229" s="123"/>
      <c r="O229" s="123"/>
      <c r="P229" s="123"/>
      <c r="Q229" s="123"/>
      <c r="R229" s="123"/>
    </row>
    <row r="230" spans="1:18" x14ac:dyDescent="0.2">
      <c r="A230" s="12">
        <v>6</v>
      </c>
      <c r="B230" s="12" t="s">
        <v>244</v>
      </c>
      <c r="C230" s="12" t="s">
        <v>26</v>
      </c>
      <c r="D230" s="129">
        <v>27.21</v>
      </c>
      <c r="E230" s="12">
        <v>2006</v>
      </c>
      <c r="F230" s="123"/>
      <c r="G230" s="123">
        <v>0</v>
      </c>
      <c r="H230" s="123">
        <v>0</v>
      </c>
      <c r="I230" s="123">
        <v>0</v>
      </c>
      <c r="J230" s="123">
        <v>0</v>
      </c>
      <c r="K230" s="123">
        <v>0</v>
      </c>
      <c r="L230" s="123">
        <v>0</v>
      </c>
      <c r="M230" s="123"/>
      <c r="N230" s="123"/>
      <c r="O230" s="123"/>
      <c r="P230" s="123"/>
      <c r="Q230" s="123"/>
      <c r="R230" s="123"/>
    </row>
    <row r="231" spans="1:18" x14ac:dyDescent="0.2">
      <c r="A231" s="12">
        <v>6</v>
      </c>
      <c r="B231" s="12" t="s">
        <v>245</v>
      </c>
      <c r="C231" s="12" t="s">
        <v>26</v>
      </c>
      <c r="D231" s="129">
        <v>33.14</v>
      </c>
      <c r="E231" s="12">
        <v>2006</v>
      </c>
      <c r="F231" s="123"/>
      <c r="G231" s="123">
        <v>0</v>
      </c>
      <c r="H231" s="123">
        <v>0</v>
      </c>
      <c r="I231" s="123">
        <v>0</v>
      </c>
      <c r="J231" s="123">
        <v>0</v>
      </c>
      <c r="K231" s="123">
        <v>0</v>
      </c>
      <c r="L231" s="123">
        <v>0</v>
      </c>
      <c r="M231" s="123"/>
      <c r="N231" s="123"/>
      <c r="O231" s="123"/>
      <c r="P231" s="123"/>
      <c r="Q231" s="123"/>
      <c r="R231" s="123"/>
    </row>
    <row r="232" spans="1:18" x14ac:dyDescent="0.2">
      <c r="A232" s="12">
        <v>6</v>
      </c>
      <c r="B232" s="12" t="s">
        <v>246</v>
      </c>
      <c r="C232" s="12" t="s">
        <v>26</v>
      </c>
      <c r="D232" s="129">
        <v>11.38</v>
      </c>
      <c r="E232" s="12">
        <v>2005</v>
      </c>
      <c r="F232" s="123"/>
      <c r="G232" s="123">
        <v>0</v>
      </c>
      <c r="H232" s="123">
        <v>0</v>
      </c>
      <c r="I232" s="123">
        <v>0</v>
      </c>
      <c r="J232" s="123">
        <v>0</v>
      </c>
      <c r="K232" s="123">
        <v>0</v>
      </c>
      <c r="L232" s="123">
        <v>0</v>
      </c>
      <c r="M232" s="123"/>
      <c r="N232" s="123"/>
      <c r="O232" s="123"/>
      <c r="P232" s="123"/>
      <c r="Q232" s="123"/>
      <c r="R232" s="123"/>
    </row>
    <row r="233" spans="1:18" x14ac:dyDescent="0.2">
      <c r="A233" s="12">
        <v>6</v>
      </c>
      <c r="B233" s="12" t="s">
        <v>247</v>
      </c>
      <c r="C233" s="12" t="s">
        <v>26</v>
      </c>
      <c r="D233" s="129">
        <v>24.15</v>
      </c>
      <c r="E233" s="12">
        <v>2005</v>
      </c>
      <c r="F233" s="123"/>
      <c r="G233" s="123">
        <v>0</v>
      </c>
      <c r="H233" s="123">
        <v>0</v>
      </c>
      <c r="I233" s="123">
        <v>0</v>
      </c>
      <c r="J233" s="123">
        <v>0</v>
      </c>
      <c r="K233" s="123">
        <v>0</v>
      </c>
      <c r="L233" s="123">
        <v>0</v>
      </c>
      <c r="M233" s="123"/>
      <c r="N233" s="123"/>
      <c r="O233" s="123"/>
      <c r="P233" s="123"/>
      <c r="Q233" s="123"/>
      <c r="R233" s="123"/>
    </row>
    <row r="234" spans="1:18" x14ac:dyDescent="0.2">
      <c r="A234" s="12">
        <v>6</v>
      </c>
      <c r="B234" s="12" t="s">
        <v>248</v>
      </c>
      <c r="C234" s="12" t="s">
        <v>26</v>
      </c>
      <c r="D234" s="129">
        <v>28.11</v>
      </c>
      <c r="E234" s="12">
        <v>2005</v>
      </c>
      <c r="F234" s="123"/>
      <c r="G234" s="123">
        <v>0</v>
      </c>
      <c r="H234" s="123">
        <v>0</v>
      </c>
      <c r="I234" s="123">
        <v>0</v>
      </c>
      <c r="J234" s="123">
        <v>0</v>
      </c>
      <c r="K234" s="123">
        <v>0</v>
      </c>
      <c r="L234" s="123">
        <v>0</v>
      </c>
      <c r="M234" s="123"/>
      <c r="N234" s="123"/>
      <c r="O234" s="123"/>
      <c r="P234" s="123"/>
      <c r="Q234" s="123"/>
      <c r="R234" s="123"/>
    </row>
    <row r="235" spans="1:18" x14ac:dyDescent="0.2">
      <c r="A235" s="12">
        <v>6</v>
      </c>
      <c r="B235" s="12" t="s">
        <v>249</v>
      </c>
      <c r="C235" s="12" t="s">
        <v>26</v>
      </c>
      <c r="D235" s="129">
        <v>36.28</v>
      </c>
      <c r="E235" s="12">
        <v>2005</v>
      </c>
      <c r="F235" s="123"/>
      <c r="G235" s="123">
        <v>0</v>
      </c>
      <c r="H235" s="123">
        <v>0</v>
      </c>
      <c r="I235" s="123">
        <v>0</v>
      </c>
      <c r="J235" s="123">
        <v>0</v>
      </c>
      <c r="K235" s="123">
        <v>0</v>
      </c>
      <c r="L235" s="123">
        <v>0</v>
      </c>
      <c r="M235" s="123"/>
      <c r="N235" s="123"/>
      <c r="O235" s="123"/>
      <c r="P235" s="123"/>
      <c r="Q235" s="123"/>
      <c r="R235" s="123"/>
    </row>
    <row r="236" spans="1:18" x14ac:dyDescent="0.2">
      <c r="A236" s="12">
        <v>6</v>
      </c>
      <c r="B236" s="12" t="s">
        <v>250</v>
      </c>
      <c r="C236" s="12" t="s">
        <v>26</v>
      </c>
      <c r="D236" s="129">
        <v>24.51</v>
      </c>
      <c r="E236" s="12">
        <v>2005</v>
      </c>
      <c r="F236" s="123"/>
      <c r="G236" s="123">
        <v>0</v>
      </c>
      <c r="H236" s="123">
        <v>0</v>
      </c>
      <c r="I236" s="123">
        <v>0</v>
      </c>
      <c r="J236" s="123">
        <v>0</v>
      </c>
      <c r="K236" s="123">
        <v>0</v>
      </c>
      <c r="L236" s="123">
        <v>0</v>
      </c>
      <c r="M236" s="123"/>
      <c r="N236" s="123"/>
      <c r="O236" s="123"/>
      <c r="P236" s="123"/>
      <c r="Q236" s="123"/>
      <c r="R236" s="123"/>
    </row>
    <row r="237" spans="1:18" x14ac:dyDescent="0.2">
      <c r="A237" s="12">
        <v>6</v>
      </c>
      <c r="B237" s="12" t="s">
        <v>251</v>
      </c>
      <c r="C237" s="12" t="s">
        <v>26</v>
      </c>
      <c r="D237" s="129">
        <v>13.38</v>
      </c>
      <c r="E237" s="12">
        <v>2005</v>
      </c>
      <c r="F237" s="123"/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/>
      <c r="N237" s="123"/>
      <c r="O237" s="123"/>
      <c r="P237" s="123"/>
      <c r="Q237" s="123"/>
      <c r="R237" s="123"/>
    </row>
    <row r="238" spans="1:18" x14ac:dyDescent="0.2">
      <c r="A238" s="12">
        <v>6</v>
      </c>
      <c r="B238" s="12" t="s">
        <v>252</v>
      </c>
      <c r="C238" s="12" t="s">
        <v>26</v>
      </c>
      <c r="D238" s="129">
        <v>28.09</v>
      </c>
      <c r="E238" s="12">
        <v>2003</v>
      </c>
      <c r="F238" s="123"/>
      <c r="G238" s="123">
        <v>0</v>
      </c>
      <c r="H238" s="123">
        <v>0</v>
      </c>
      <c r="I238" s="123">
        <v>0</v>
      </c>
      <c r="J238" s="123">
        <v>0</v>
      </c>
      <c r="K238" s="123">
        <v>0</v>
      </c>
      <c r="L238" s="123">
        <v>0</v>
      </c>
      <c r="M238" s="123"/>
      <c r="N238" s="123"/>
      <c r="O238" s="123"/>
      <c r="P238" s="123"/>
      <c r="Q238" s="123"/>
      <c r="R238" s="123"/>
    </row>
    <row r="239" spans="1:18" x14ac:dyDescent="0.2">
      <c r="A239" s="12">
        <v>6</v>
      </c>
      <c r="B239" s="12" t="s">
        <v>253</v>
      </c>
      <c r="C239" s="12" t="s">
        <v>26</v>
      </c>
      <c r="D239" s="129">
        <v>26.96</v>
      </c>
      <c r="E239" s="12">
        <v>2003</v>
      </c>
      <c r="F239" s="123"/>
      <c r="G239" s="123">
        <v>0</v>
      </c>
      <c r="H239" s="123">
        <v>0</v>
      </c>
      <c r="I239" s="123">
        <v>0</v>
      </c>
      <c r="J239" s="123">
        <v>0</v>
      </c>
      <c r="K239" s="123">
        <v>0</v>
      </c>
      <c r="L239" s="123">
        <v>0</v>
      </c>
      <c r="M239" s="123"/>
      <c r="N239" s="123"/>
      <c r="O239" s="123"/>
      <c r="P239" s="123"/>
      <c r="Q239" s="123"/>
      <c r="R239" s="123"/>
    </row>
    <row r="240" spans="1:18" x14ac:dyDescent="0.2">
      <c r="A240" s="12">
        <v>6</v>
      </c>
      <c r="B240" s="12" t="s">
        <v>254</v>
      </c>
      <c r="C240" s="12" t="s">
        <v>26</v>
      </c>
      <c r="D240" s="129">
        <v>29.54</v>
      </c>
      <c r="E240" s="12">
        <v>2003</v>
      </c>
      <c r="F240" s="123"/>
      <c r="G240" s="123">
        <v>0</v>
      </c>
      <c r="H240" s="123">
        <v>0</v>
      </c>
      <c r="I240" s="123">
        <v>0</v>
      </c>
      <c r="J240" s="123">
        <v>0</v>
      </c>
      <c r="K240" s="123">
        <v>0</v>
      </c>
      <c r="L240" s="123">
        <v>0</v>
      </c>
      <c r="M240" s="123"/>
      <c r="N240" s="123"/>
      <c r="O240" s="123"/>
      <c r="P240" s="123"/>
      <c r="Q240" s="123"/>
      <c r="R240" s="123"/>
    </row>
    <row r="241" spans="1:18" x14ac:dyDescent="0.2">
      <c r="A241" s="12">
        <v>6</v>
      </c>
      <c r="B241" s="12" t="s">
        <v>255</v>
      </c>
      <c r="C241" s="12" t="s">
        <v>26</v>
      </c>
      <c r="D241" s="129">
        <v>30.81</v>
      </c>
      <c r="E241" s="12">
        <v>2004</v>
      </c>
      <c r="F241" s="123"/>
      <c r="G241" s="123">
        <v>0</v>
      </c>
      <c r="H241" s="123">
        <v>0</v>
      </c>
      <c r="I241" s="123">
        <v>0</v>
      </c>
      <c r="J241" s="123">
        <v>0</v>
      </c>
      <c r="K241" s="123">
        <v>0</v>
      </c>
      <c r="L241" s="123">
        <v>0</v>
      </c>
      <c r="M241" s="123"/>
      <c r="N241" s="123"/>
      <c r="O241" s="123"/>
      <c r="P241" s="123"/>
      <c r="Q241" s="123"/>
      <c r="R241" s="123"/>
    </row>
    <row r="242" spans="1:18" x14ac:dyDescent="0.2">
      <c r="A242" s="12">
        <v>6</v>
      </c>
      <c r="B242" s="12" t="s">
        <v>256</v>
      </c>
      <c r="C242" s="12" t="s">
        <v>26</v>
      </c>
      <c r="D242" s="129">
        <v>39.5</v>
      </c>
      <c r="E242" s="12">
        <v>2004</v>
      </c>
      <c r="F242" s="123"/>
      <c r="G242" s="123">
        <v>0</v>
      </c>
      <c r="H242" s="123">
        <v>0</v>
      </c>
      <c r="I242" s="123">
        <v>0</v>
      </c>
      <c r="J242" s="123">
        <v>0</v>
      </c>
      <c r="K242" s="123">
        <v>0</v>
      </c>
      <c r="L242" s="123">
        <v>0</v>
      </c>
      <c r="M242" s="123"/>
      <c r="N242" s="123"/>
      <c r="O242" s="123"/>
      <c r="P242" s="123"/>
      <c r="Q242" s="123"/>
      <c r="R242" s="123"/>
    </row>
    <row r="243" spans="1:18" x14ac:dyDescent="0.2">
      <c r="A243" s="12">
        <v>6</v>
      </c>
      <c r="B243" s="12" t="s">
        <v>257</v>
      </c>
      <c r="C243" s="12" t="s">
        <v>26</v>
      </c>
      <c r="D243" s="129">
        <v>27.19</v>
      </c>
      <c r="E243" s="12">
        <v>2004</v>
      </c>
      <c r="F243" s="123"/>
      <c r="G243" s="123">
        <v>0</v>
      </c>
      <c r="H243" s="123">
        <v>0</v>
      </c>
      <c r="I243" s="123">
        <v>0</v>
      </c>
      <c r="J243" s="123">
        <v>0</v>
      </c>
      <c r="K243" s="123">
        <v>0</v>
      </c>
      <c r="L243" s="123">
        <v>0</v>
      </c>
      <c r="M243" s="123"/>
      <c r="N243" s="123"/>
      <c r="O243" s="123"/>
      <c r="P243" s="123"/>
      <c r="Q243" s="123"/>
      <c r="R243" s="123"/>
    </row>
    <row r="244" spans="1:18" x14ac:dyDescent="0.2">
      <c r="A244" s="12">
        <v>6</v>
      </c>
      <c r="B244" s="12" t="s">
        <v>258</v>
      </c>
      <c r="C244" s="12" t="s">
        <v>26</v>
      </c>
      <c r="D244" s="129">
        <v>32.31</v>
      </c>
      <c r="E244" s="12">
        <v>2005</v>
      </c>
      <c r="F244" s="123"/>
      <c r="G244" s="123">
        <v>0</v>
      </c>
      <c r="H244" s="123">
        <v>0</v>
      </c>
      <c r="I244" s="123">
        <v>0</v>
      </c>
      <c r="J244" s="123">
        <v>0</v>
      </c>
      <c r="K244" s="123">
        <v>0</v>
      </c>
      <c r="L244" s="123">
        <v>0</v>
      </c>
      <c r="M244" s="123"/>
      <c r="N244" s="123"/>
      <c r="O244" s="123"/>
      <c r="P244" s="123"/>
      <c r="Q244" s="123"/>
      <c r="R244" s="123"/>
    </row>
    <row r="245" spans="1:18" x14ac:dyDescent="0.2">
      <c r="A245" s="12">
        <v>6</v>
      </c>
      <c r="B245" s="12" t="s">
        <v>259</v>
      </c>
      <c r="C245" s="12" t="s">
        <v>26</v>
      </c>
      <c r="D245" s="129">
        <v>30.57</v>
      </c>
      <c r="E245" s="12">
        <v>2003</v>
      </c>
      <c r="F245" s="123"/>
      <c r="G245" s="123">
        <v>0</v>
      </c>
      <c r="H245" s="123">
        <v>0</v>
      </c>
      <c r="I245" s="123">
        <v>0</v>
      </c>
      <c r="J245" s="123">
        <v>0</v>
      </c>
      <c r="K245" s="123">
        <v>0</v>
      </c>
      <c r="L245" s="123">
        <v>0</v>
      </c>
      <c r="M245" s="123"/>
      <c r="N245" s="123"/>
      <c r="O245" s="123"/>
      <c r="P245" s="123"/>
      <c r="Q245" s="123"/>
      <c r="R245" s="123"/>
    </row>
    <row r="246" spans="1:18" x14ac:dyDescent="0.2">
      <c r="A246" s="12">
        <v>6</v>
      </c>
      <c r="B246" s="12" t="s">
        <v>260</v>
      </c>
      <c r="C246" s="12" t="s">
        <v>26</v>
      </c>
      <c r="D246" s="129">
        <v>27.62</v>
      </c>
      <c r="E246" s="12">
        <v>2003</v>
      </c>
      <c r="F246" s="123"/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/>
      <c r="N246" s="123"/>
      <c r="O246" s="123"/>
      <c r="P246" s="123"/>
      <c r="Q246" s="123"/>
      <c r="R246" s="123"/>
    </row>
    <row r="247" spans="1:18" x14ac:dyDescent="0.2">
      <c r="A247" s="12">
        <v>6</v>
      </c>
      <c r="B247" s="12" t="s">
        <v>261</v>
      </c>
      <c r="C247" s="12" t="s">
        <v>26</v>
      </c>
      <c r="D247" s="129">
        <v>31.26</v>
      </c>
      <c r="E247" s="12">
        <v>2003</v>
      </c>
      <c r="F247" s="123"/>
      <c r="G247" s="123">
        <v>0</v>
      </c>
      <c r="H247" s="123">
        <v>0</v>
      </c>
      <c r="I247" s="123">
        <v>0</v>
      </c>
      <c r="J247" s="123">
        <v>0</v>
      </c>
      <c r="K247" s="123">
        <v>0</v>
      </c>
      <c r="L247" s="123">
        <v>0</v>
      </c>
      <c r="M247" s="123"/>
      <c r="N247" s="123"/>
      <c r="O247" s="123"/>
      <c r="P247" s="123"/>
      <c r="Q247" s="123"/>
      <c r="R247" s="123"/>
    </row>
    <row r="248" spans="1:18" x14ac:dyDescent="0.2">
      <c r="A248" s="12">
        <v>6</v>
      </c>
      <c r="B248" s="12" t="s">
        <v>262</v>
      </c>
      <c r="C248" s="12" t="s">
        <v>26</v>
      </c>
      <c r="D248" s="129">
        <v>31.32</v>
      </c>
      <c r="E248" s="12">
        <v>2003</v>
      </c>
      <c r="F248" s="123"/>
      <c r="G248" s="123">
        <v>0</v>
      </c>
      <c r="H248" s="123">
        <v>0</v>
      </c>
      <c r="I248" s="123">
        <v>0</v>
      </c>
      <c r="J248" s="123">
        <v>0</v>
      </c>
      <c r="K248" s="123">
        <v>0</v>
      </c>
      <c r="L248" s="123">
        <v>0</v>
      </c>
      <c r="M248" s="123"/>
      <c r="N248" s="123"/>
      <c r="O248" s="123"/>
      <c r="P248" s="123"/>
      <c r="Q248" s="123"/>
      <c r="R248" s="123"/>
    </row>
    <row r="249" spans="1:18" x14ac:dyDescent="0.2">
      <c r="A249" s="12">
        <v>6</v>
      </c>
      <c r="B249" s="12" t="s">
        <v>263</v>
      </c>
      <c r="C249" s="12" t="s">
        <v>26</v>
      </c>
      <c r="D249" s="129">
        <v>40.81</v>
      </c>
      <c r="E249" s="12">
        <v>2004</v>
      </c>
      <c r="F249" s="123"/>
      <c r="G249" s="123">
        <v>0</v>
      </c>
      <c r="H249" s="123">
        <v>0</v>
      </c>
      <c r="I249" s="123">
        <v>0</v>
      </c>
      <c r="J249" s="123">
        <v>0</v>
      </c>
      <c r="K249" s="123">
        <v>0</v>
      </c>
      <c r="L249" s="123">
        <v>0</v>
      </c>
      <c r="M249" s="123"/>
      <c r="N249" s="123"/>
      <c r="O249" s="123"/>
      <c r="P249" s="123"/>
      <c r="Q249" s="123"/>
      <c r="R249" s="123"/>
    </row>
    <row r="250" spans="1:18" x14ac:dyDescent="0.2">
      <c r="A250" s="12">
        <v>6</v>
      </c>
      <c r="B250" s="12" t="s">
        <v>264</v>
      </c>
      <c r="C250" s="12" t="s">
        <v>26</v>
      </c>
      <c r="D250" s="129">
        <v>27.6</v>
      </c>
      <c r="E250" s="12">
        <v>2004</v>
      </c>
      <c r="F250" s="123"/>
      <c r="G250" s="123">
        <v>0</v>
      </c>
      <c r="H250" s="123">
        <v>0</v>
      </c>
      <c r="I250" s="123">
        <v>0</v>
      </c>
      <c r="J250" s="123">
        <v>0</v>
      </c>
      <c r="K250" s="123">
        <v>0</v>
      </c>
      <c r="L250" s="123">
        <v>0</v>
      </c>
      <c r="M250" s="123"/>
      <c r="N250" s="123"/>
      <c r="O250" s="123"/>
      <c r="P250" s="123"/>
      <c r="Q250" s="123"/>
      <c r="R250" s="123"/>
    </row>
    <row r="251" spans="1:18" x14ac:dyDescent="0.2">
      <c r="A251" s="12">
        <v>6</v>
      </c>
      <c r="B251" s="12" t="s">
        <v>265</v>
      </c>
      <c r="C251" s="12" t="s">
        <v>26</v>
      </c>
      <c r="D251" s="129">
        <v>33.520000000000003</v>
      </c>
      <c r="E251" s="12">
        <v>1997</v>
      </c>
      <c r="F251" s="123"/>
      <c r="G251" s="123">
        <v>0</v>
      </c>
      <c r="H251" s="123">
        <v>0</v>
      </c>
      <c r="I251" s="123">
        <v>0</v>
      </c>
      <c r="J251" s="123">
        <v>0</v>
      </c>
      <c r="K251" s="123">
        <v>0</v>
      </c>
      <c r="L251" s="123">
        <v>0</v>
      </c>
      <c r="M251" s="123"/>
      <c r="N251" s="123"/>
      <c r="O251" s="123"/>
      <c r="P251" s="123"/>
      <c r="Q251" s="123"/>
      <c r="R251" s="123"/>
    </row>
    <row r="252" spans="1:18" x14ac:dyDescent="0.2">
      <c r="A252" s="12">
        <v>6</v>
      </c>
      <c r="B252" s="12" t="s">
        <v>266</v>
      </c>
      <c r="C252" s="12" t="s">
        <v>26</v>
      </c>
      <c r="D252" s="129">
        <v>29.16</v>
      </c>
      <c r="E252" s="12">
        <v>1997</v>
      </c>
      <c r="F252" s="123"/>
      <c r="G252" s="123">
        <v>0</v>
      </c>
      <c r="H252" s="123">
        <v>0</v>
      </c>
      <c r="I252" s="123">
        <v>0</v>
      </c>
      <c r="J252" s="123">
        <v>0</v>
      </c>
      <c r="K252" s="123">
        <v>0</v>
      </c>
      <c r="L252" s="123">
        <v>0</v>
      </c>
      <c r="M252" s="123"/>
      <c r="N252" s="123"/>
      <c r="O252" s="123"/>
      <c r="P252" s="123"/>
      <c r="Q252" s="123"/>
      <c r="R252" s="123"/>
    </row>
    <row r="253" spans="1:18" x14ac:dyDescent="0.2">
      <c r="A253" s="12">
        <v>6</v>
      </c>
      <c r="B253" s="12" t="s">
        <v>267</v>
      </c>
      <c r="C253" s="12" t="s">
        <v>26</v>
      </c>
      <c r="D253" s="129">
        <v>12.55</v>
      </c>
      <c r="E253" s="12">
        <v>2005</v>
      </c>
      <c r="F253" s="123"/>
      <c r="G253" s="123">
        <v>0</v>
      </c>
      <c r="H253" s="123">
        <v>0</v>
      </c>
      <c r="I253" s="123">
        <v>0</v>
      </c>
      <c r="J253" s="123">
        <v>0</v>
      </c>
      <c r="K253" s="123">
        <v>0</v>
      </c>
      <c r="L253" s="123">
        <v>0</v>
      </c>
      <c r="M253" s="123"/>
      <c r="N253" s="123"/>
      <c r="O253" s="123"/>
      <c r="P253" s="123"/>
      <c r="Q253" s="123"/>
      <c r="R253" s="123"/>
    </row>
    <row r="254" spans="1:18" x14ac:dyDescent="0.2">
      <c r="A254" s="12">
        <v>6</v>
      </c>
      <c r="B254" s="12" t="s">
        <v>268</v>
      </c>
      <c r="C254" s="12" t="s">
        <v>26</v>
      </c>
      <c r="D254" s="129">
        <v>27.55</v>
      </c>
      <c r="E254" s="12">
        <v>2005</v>
      </c>
      <c r="F254" s="123"/>
      <c r="G254" s="123">
        <v>0</v>
      </c>
      <c r="H254" s="123">
        <v>0</v>
      </c>
      <c r="I254" s="123">
        <v>0</v>
      </c>
      <c r="J254" s="123">
        <v>0</v>
      </c>
      <c r="K254" s="123">
        <v>0</v>
      </c>
      <c r="L254" s="123">
        <v>0</v>
      </c>
      <c r="M254" s="123"/>
      <c r="N254" s="123"/>
      <c r="O254" s="123"/>
      <c r="P254" s="123"/>
      <c r="Q254" s="123"/>
      <c r="R254" s="123"/>
    </row>
    <row r="255" spans="1:18" x14ac:dyDescent="0.2">
      <c r="A255" s="313" t="s">
        <v>71</v>
      </c>
      <c r="B255" s="314"/>
      <c r="C255" s="315"/>
      <c r="D255" s="150">
        <f>SUM(D219:D254)</f>
        <v>1025.01</v>
      </c>
      <c r="E255" s="125"/>
      <c r="F255" s="126"/>
      <c r="G255" s="123"/>
      <c r="H255" s="126"/>
      <c r="I255" s="126"/>
      <c r="J255" s="126"/>
      <c r="K255" s="126"/>
      <c r="L255" s="123"/>
      <c r="M255" s="126"/>
      <c r="N255" s="126"/>
      <c r="O255" s="126"/>
      <c r="P255" s="126"/>
      <c r="Q255" s="126"/>
      <c r="R255" s="126"/>
    </row>
    <row r="256" spans="1:18" x14ac:dyDescent="0.2">
      <c r="A256" s="12">
        <v>7</v>
      </c>
      <c r="B256" s="12" t="s">
        <v>269</v>
      </c>
      <c r="C256" s="12" t="s">
        <v>26</v>
      </c>
      <c r="D256" s="129">
        <v>27.69</v>
      </c>
      <c r="E256" s="12">
        <v>2002</v>
      </c>
      <c r="F256" s="123"/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/>
      <c r="N256" s="123"/>
      <c r="O256" s="123"/>
      <c r="P256" s="123"/>
      <c r="Q256" s="123"/>
      <c r="R256" s="123"/>
    </row>
    <row r="257" spans="1:18" x14ac:dyDescent="0.2">
      <c r="A257" s="12">
        <v>7</v>
      </c>
      <c r="B257" s="12" t="s">
        <v>270</v>
      </c>
      <c r="C257" s="12" t="s">
        <v>26</v>
      </c>
      <c r="D257" s="129">
        <v>28.29</v>
      </c>
      <c r="E257" s="12">
        <v>2002</v>
      </c>
      <c r="F257" s="123"/>
      <c r="G257" s="123">
        <v>0</v>
      </c>
      <c r="H257" s="123">
        <v>0</v>
      </c>
      <c r="I257" s="123">
        <v>0</v>
      </c>
      <c r="J257" s="123">
        <v>0</v>
      </c>
      <c r="K257" s="123">
        <v>0</v>
      </c>
      <c r="L257" s="123">
        <v>0</v>
      </c>
      <c r="M257" s="123"/>
      <c r="N257" s="123"/>
      <c r="O257" s="123"/>
      <c r="P257" s="123"/>
      <c r="Q257" s="123"/>
      <c r="R257" s="123"/>
    </row>
    <row r="258" spans="1:18" x14ac:dyDescent="0.2">
      <c r="A258" s="12">
        <v>7</v>
      </c>
      <c r="B258" s="12" t="s">
        <v>271</v>
      </c>
      <c r="C258" s="12" t="s">
        <v>26</v>
      </c>
      <c r="D258" s="129">
        <v>37.1</v>
      </c>
      <c r="E258" s="12">
        <v>2002</v>
      </c>
      <c r="F258" s="123"/>
      <c r="G258" s="123">
        <v>0</v>
      </c>
      <c r="H258" s="123">
        <v>0</v>
      </c>
      <c r="I258" s="123">
        <v>0</v>
      </c>
      <c r="J258" s="123">
        <v>0</v>
      </c>
      <c r="K258" s="123">
        <v>0</v>
      </c>
      <c r="L258" s="123">
        <v>0</v>
      </c>
      <c r="M258" s="123"/>
      <c r="N258" s="123"/>
      <c r="O258" s="123"/>
      <c r="P258" s="123"/>
      <c r="Q258" s="123"/>
      <c r="R258" s="123"/>
    </row>
    <row r="259" spans="1:18" x14ac:dyDescent="0.2">
      <c r="A259" s="12">
        <v>7</v>
      </c>
      <c r="B259" s="12" t="s">
        <v>272</v>
      </c>
      <c r="C259" s="12" t="s">
        <v>26</v>
      </c>
      <c r="D259" s="129">
        <v>30.93</v>
      </c>
      <c r="E259" s="12">
        <v>1998</v>
      </c>
      <c r="F259" s="123"/>
      <c r="G259" s="123">
        <v>0</v>
      </c>
      <c r="H259" s="123">
        <v>0</v>
      </c>
      <c r="I259" s="123">
        <v>0</v>
      </c>
      <c r="J259" s="123">
        <v>0</v>
      </c>
      <c r="K259" s="123">
        <v>0</v>
      </c>
      <c r="L259" s="123">
        <v>0</v>
      </c>
      <c r="M259" s="123"/>
      <c r="N259" s="123"/>
      <c r="O259" s="123"/>
      <c r="P259" s="123"/>
      <c r="Q259" s="123"/>
      <c r="R259" s="123"/>
    </row>
    <row r="260" spans="1:18" x14ac:dyDescent="0.2">
      <c r="A260" s="12">
        <v>7</v>
      </c>
      <c r="B260" s="12" t="s">
        <v>273</v>
      </c>
      <c r="C260" s="12" t="s">
        <v>26</v>
      </c>
      <c r="D260" s="129">
        <v>30.79</v>
      </c>
      <c r="E260" s="12">
        <v>1997</v>
      </c>
      <c r="F260" s="123"/>
      <c r="G260" s="123">
        <v>0</v>
      </c>
      <c r="H260" s="123">
        <v>0</v>
      </c>
      <c r="I260" s="123">
        <v>0</v>
      </c>
      <c r="J260" s="123">
        <v>0</v>
      </c>
      <c r="K260" s="123">
        <v>0</v>
      </c>
      <c r="L260" s="123">
        <v>0</v>
      </c>
      <c r="M260" s="123"/>
      <c r="N260" s="123"/>
      <c r="O260" s="123"/>
      <c r="P260" s="123"/>
      <c r="Q260" s="123"/>
      <c r="R260" s="123"/>
    </row>
    <row r="261" spans="1:18" x14ac:dyDescent="0.2">
      <c r="A261" s="12">
        <v>7</v>
      </c>
      <c r="B261" s="12" t="s">
        <v>274</v>
      </c>
      <c r="C261" s="12" t="s">
        <v>26</v>
      </c>
      <c r="D261" s="129">
        <v>26.85</v>
      </c>
      <c r="E261" s="12">
        <v>1997</v>
      </c>
      <c r="F261" s="123"/>
      <c r="G261" s="123">
        <v>0</v>
      </c>
      <c r="H261" s="123">
        <v>0</v>
      </c>
      <c r="I261" s="123">
        <v>0</v>
      </c>
      <c r="J261" s="123">
        <v>0</v>
      </c>
      <c r="K261" s="123">
        <v>0</v>
      </c>
      <c r="L261" s="123">
        <v>0</v>
      </c>
      <c r="M261" s="123"/>
      <c r="N261" s="123"/>
      <c r="O261" s="123"/>
      <c r="P261" s="123"/>
      <c r="Q261" s="123"/>
      <c r="R261" s="123"/>
    </row>
    <row r="262" spans="1:18" x14ac:dyDescent="0.2">
      <c r="A262" s="12">
        <v>7</v>
      </c>
      <c r="B262" s="12" t="s">
        <v>275</v>
      </c>
      <c r="C262" s="12" t="s">
        <v>26</v>
      </c>
      <c r="D262" s="129">
        <v>32.83</v>
      </c>
      <c r="E262" s="12">
        <v>1998</v>
      </c>
      <c r="F262" s="123"/>
      <c r="G262" s="123">
        <v>0</v>
      </c>
      <c r="H262" s="123">
        <v>0</v>
      </c>
      <c r="I262" s="123">
        <v>0</v>
      </c>
      <c r="J262" s="123">
        <v>0</v>
      </c>
      <c r="K262" s="123">
        <v>0</v>
      </c>
      <c r="L262" s="123">
        <v>0</v>
      </c>
      <c r="M262" s="123"/>
      <c r="N262" s="123"/>
      <c r="O262" s="123"/>
      <c r="P262" s="123"/>
      <c r="Q262" s="123"/>
      <c r="R262" s="123"/>
    </row>
    <row r="263" spans="1:18" x14ac:dyDescent="0.2">
      <c r="A263" s="12">
        <v>7</v>
      </c>
      <c r="B263" s="12" t="s">
        <v>276</v>
      </c>
      <c r="C263" s="12" t="s">
        <v>26</v>
      </c>
      <c r="D263" s="129">
        <v>29.56</v>
      </c>
      <c r="E263" s="12">
        <v>1997</v>
      </c>
      <c r="F263" s="123"/>
      <c r="G263" s="123">
        <v>0</v>
      </c>
      <c r="H263" s="123">
        <v>0</v>
      </c>
      <c r="I263" s="123">
        <v>0</v>
      </c>
      <c r="J263" s="123">
        <v>0</v>
      </c>
      <c r="K263" s="123">
        <v>0</v>
      </c>
      <c r="L263" s="123">
        <v>0</v>
      </c>
      <c r="M263" s="123"/>
      <c r="N263" s="123"/>
      <c r="O263" s="123"/>
      <c r="P263" s="123"/>
      <c r="Q263" s="123"/>
      <c r="R263" s="123"/>
    </row>
    <row r="264" spans="1:18" x14ac:dyDescent="0.2">
      <c r="A264" s="12">
        <v>7</v>
      </c>
      <c r="B264" s="12" t="s">
        <v>277</v>
      </c>
      <c r="C264" s="12" t="s">
        <v>26</v>
      </c>
      <c r="D264" s="129">
        <v>29.8</v>
      </c>
      <c r="E264" s="12">
        <v>1997</v>
      </c>
      <c r="F264" s="123"/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/>
      <c r="N264" s="123"/>
      <c r="O264" s="123"/>
      <c r="P264" s="123"/>
      <c r="Q264" s="123"/>
      <c r="R264" s="123"/>
    </row>
    <row r="265" spans="1:18" x14ac:dyDescent="0.2">
      <c r="A265" s="12">
        <v>7</v>
      </c>
      <c r="B265" s="12" t="s">
        <v>278</v>
      </c>
      <c r="C265" s="12" t="s">
        <v>26</v>
      </c>
      <c r="D265" s="129">
        <v>27</v>
      </c>
      <c r="E265" s="12">
        <v>1997</v>
      </c>
      <c r="F265" s="123"/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/>
      <c r="N265" s="123"/>
      <c r="O265" s="123"/>
      <c r="P265" s="123"/>
      <c r="Q265" s="123"/>
      <c r="R265" s="123"/>
    </row>
    <row r="266" spans="1:18" x14ac:dyDescent="0.2">
      <c r="A266" s="12">
        <v>7</v>
      </c>
      <c r="B266" s="12" t="s">
        <v>279</v>
      </c>
      <c r="C266" s="12" t="s">
        <v>26</v>
      </c>
      <c r="D266" s="129">
        <v>29.43</v>
      </c>
      <c r="E266" s="12">
        <v>1999</v>
      </c>
      <c r="F266" s="123"/>
      <c r="G266" s="123">
        <v>0</v>
      </c>
      <c r="H266" s="123">
        <v>0</v>
      </c>
      <c r="I266" s="123">
        <v>0</v>
      </c>
      <c r="J266" s="123">
        <v>0</v>
      </c>
      <c r="K266" s="123">
        <v>0</v>
      </c>
      <c r="L266" s="123">
        <v>0</v>
      </c>
      <c r="M266" s="123"/>
      <c r="N266" s="123"/>
      <c r="O266" s="123"/>
      <c r="P266" s="123"/>
      <c r="Q266" s="123"/>
      <c r="R266" s="123"/>
    </row>
    <row r="267" spans="1:18" x14ac:dyDescent="0.2">
      <c r="A267" s="12">
        <v>7</v>
      </c>
      <c r="B267" s="12" t="s">
        <v>280</v>
      </c>
      <c r="C267" s="12" t="s">
        <v>26</v>
      </c>
      <c r="D267" s="129">
        <v>30.05</v>
      </c>
      <c r="E267" s="12">
        <v>2002</v>
      </c>
      <c r="F267" s="123"/>
      <c r="G267" s="123">
        <v>0</v>
      </c>
      <c r="H267" s="123">
        <v>0</v>
      </c>
      <c r="I267" s="123">
        <v>0</v>
      </c>
      <c r="J267" s="123">
        <v>0</v>
      </c>
      <c r="K267" s="123">
        <v>0</v>
      </c>
      <c r="L267" s="123">
        <v>0</v>
      </c>
      <c r="M267" s="123"/>
      <c r="N267" s="123"/>
      <c r="O267" s="123"/>
      <c r="P267" s="123"/>
      <c r="Q267" s="123"/>
      <c r="R267" s="123"/>
    </row>
    <row r="268" spans="1:18" x14ac:dyDescent="0.2">
      <c r="A268" s="12">
        <v>7</v>
      </c>
      <c r="B268" s="12" t="s">
        <v>281</v>
      </c>
      <c r="C268" s="12" t="s">
        <v>26</v>
      </c>
      <c r="D268" s="129">
        <v>40.44</v>
      </c>
      <c r="E268" s="12">
        <v>2002</v>
      </c>
      <c r="F268" s="123"/>
      <c r="G268" s="123">
        <v>0</v>
      </c>
      <c r="H268" s="123">
        <v>0</v>
      </c>
      <c r="I268" s="123">
        <v>0</v>
      </c>
      <c r="J268" s="123">
        <v>0</v>
      </c>
      <c r="K268" s="123">
        <v>0</v>
      </c>
      <c r="L268" s="123">
        <v>0</v>
      </c>
      <c r="M268" s="123"/>
      <c r="N268" s="123"/>
      <c r="O268" s="123"/>
      <c r="P268" s="123"/>
      <c r="Q268" s="123"/>
      <c r="R268" s="123"/>
    </row>
    <row r="269" spans="1:18" x14ac:dyDescent="0.2">
      <c r="A269" s="12">
        <v>7</v>
      </c>
      <c r="B269" s="12" t="s">
        <v>282</v>
      </c>
      <c r="C269" s="12" t="s">
        <v>26</v>
      </c>
      <c r="D269" s="129">
        <v>27.19</v>
      </c>
      <c r="E269" s="12">
        <v>2002</v>
      </c>
      <c r="F269" s="123"/>
      <c r="G269" s="123">
        <v>0</v>
      </c>
      <c r="H269" s="123">
        <v>0</v>
      </c>
      <c r="I269" s="123">
        <v>0</v>
      </c>
      <c r="J269" s="123">
        <v>0</v>
      </c>
      <c r="K269" s="123">
        <v>0</v>
      </c>
      <c r="L269" s="123">
        <v>0</v>
      </c>
      <c r="M269" s="123"/>
      <c r="N269" s="123"/>
      <c r="O269" s="123"/>
      <c r="P269" s="123"/>
      <c r="Q269" s="123"/>
      <c r="R269" s="123"/>
    </row>
    <row r="270" spans="1:18" x14ac:dyDescent="0.2">
      <c r="A270" s="12">
        <v>7</v>
      </c>
      <c r="B270" s="12" t="s">
        <v>283</v>
      </c>
      <c r="C270" s="12" t="s">
        <v>26</v>
      </c>
      <c r="D270" s="129">
        <v>29.48</v>
      </c>
      <c r="E270" s="12">
        <v>1998</v>
      </c>
      <c r="F270" s="123"/>
      <c r="G270" s="123">
        <v>0</v>
      </c>
      <c r="H270" s="123">
        <v>0</v>
      </c>
      <c r="I270" s="123">
        <v>0</v>
      </c>
      <c r="J270" s="123">
        <v>0</v>
      </c>
      <c r="K270" s="123">
        <v>0</v>
      </c>
      <c r="L270" s="123">
        <v>0</v>
      </c>
      <c r="M270" s="123"/>
      <c r="N270" s="123"/>
      <c r="O270" s="123"/>
      <c r="P270" s="123"/>
      <c r="Q270" s="123"/>
      <c r="R270" s="123"/>
    </row>
    <row r="271" spans="1:18" x14ac:dyDescent="0.2">
      <c r="A271" s="12">
        <v>7</v>
      </c>
      <c r="B271" s="12" t="s">
        <v>284</v>
      </c>
      <c r="C271" s="12" t="s">
        <v>26</v>
      </c>
      <c r="D271" s="129">
        <v>33.31</v>
      </c>
      <c r="E271" s="12">
        <v>1997</v>
      </c>
      <c r="F271" s="123"/>
      <c r="G271" s="123">
        <v>0</v>
      </c>
      <c r="H271" s="123">
        <v>0</v>
      </c>
      <c r="I271" s="123">
        <v>0</v>
      </c>
      <c r="J271" s="123">
        <v>0</v>
      </c>
      <c r="K271" s="123">
        <v>0</v>
      </c>
      <c r="L271" s="123">
        <v>0</v>
      </c>
      <c r="M271" s="123"/>
      <c r="N271" s="123"/>
      <c r="O271" s="123"/>
      <c r="P271" s="123"/>
      <c r="Q271" s="123"/>
      <c r="R271" s="123"/>
    </row>
    <row r="272" spans="1:18" x14ac:dyDescent="0.2">
      <c r="A272" s="12">
        <v>7</v>
      </c>
      <c r="B272" s="12" t="s">
        <v>285</v>
      </c>
      <c r="C272" s="12" t="s">
        <v>26</v>
      </c>
      <c r="D272" s="129">
        <v>14.99</v>
      </c>
      <c r="E272" s="12">
        <v>1998</v>
      </c>
      <c r="F272" s="123"/>
      <c r="G272" s="123">
        <v>0</v>
      </c>
      <c r="H272" s="123">
        <v>0</v>
      </c>
      <c r="I272" s="123">
        <v>0</v>
      </c>
      <c r="J272" s="123">
        <v>0</v>
      </c>
      <c r="K272" s="123">
        <v>0</v>
      </c>
      <c r="L272" s="123">
        <v>0</v>
      </c>
      <c r="M272" s="123"/>
      <c r="N272" s="123"/>
      <c r="O272" s="123"/>
      <c r="P272" s="123"/>
      <c r="Q272" s="123"/>
      <c r="R272" s="123"/>
    </row>
    <row r="273" spans="1:18" x14ac:dyDescent="0.2">
      <c r="A273" s="12">
        <v>7</v>
      </c>
      <c r="B273" s="12" t="s">
        <v>286</v>
      </c>
      <c r="C273" s="12" t="s">
        <v>26</v>
      </c>
      <c r="D273" s="129">
        <v>26.9</v>
      </c>
      <c r="E273" s="12">
        <v>2004</v>
      </c>
      <c r="F273" s="123"/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/>
      <c r="N273" s="123"/>
      <c r="O273" s="123"/>
      <c r="P273" s="123"/>
      <c r="Q273" s="123"/>
      <c r="R273" s="123"/>
    </row>
    <row r="274" spans="1:18" x14ac:dyDescent="0.2">
      <c r="A274" s="12">
        <v>7</v>
      </c>
      <c r="B274" s="12" t="s">
        <v>287</v>
      </c>
      <c r="C274" s="12" t="s">
        <v>26</v>
      </c>
      <c r="D274" s="129">
        <v>6.1</v>
      </c>
      <c r="E274" s="12">
        <v>2012</v>
      </c>
      <c r="F274" s="123"/>
      <c r="G274" s="123">
        <v>0</v>
      </c>
      <c r="H274" s="123">
        <v>0</v>
      </c>
      <c r="I274" s="123">
        <v>0</v>
      </c>
      <c r="J274" s="123">
        <v>0</v>
      </c>
      <c r="K274" s="123">
        <v>0</v>
      </c>
      <c r="L274" s="123">
        <v>0</v>
      </c>
      <c r="M274" s="123"/>
      <c r="N274" s="123"/>
      <c r="O274" s="123"/>
      <c r="P274" s="123"/>
      <c r="Q274" s="123"/>
      <c r="R274" s="123"/>
    </row>
    <row r="275" spans="1:18" x14ac:dyDescent="0.2">
      <c r="A275" s="12">
        <v>7</v>
      </c>
      <c r="B275" s="12" t="s">
        <v>288</v>
      </c>
      <c r="C275" s="12" t="s">
        <v>26</v>
      </c>
      <c r="D275" s="129">
        <v>20</v>
      </c>
      <c r="E275" s="12">
        <v>2012</v>
      </c>
      <c r="F275" s="123"/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/>
      <c r="N275" s="123"/>
      <c r="O275" s="123"/>
      <c r="P275" s="123"/>
      <c r="Q275" s="123"/>
      <c r="R275" s="123"/>
    </row>
    <row r="276" spans="1:18" x14ac:dyDescent="0.2">
      <c r="A276" s="12">
        <v>7</v>
      </c>
      <c r="B276" s="12" t="s">
        <v>289</v>
      </c>
      <c r="C276" s="12" t="s">
        <v>26</v>
      </c>
      <c r="D276" s="129">
        <v>16</v>
      </c>
      <c r="E276" s="12">
        <v>2012</v>
      </c>
      <c r="F276" s="123"/>
      <c r="G276" s="123">
        <v>0</v>
      </c>
      <c r="H276" s="123">
        <v>0</v>
      </c>
      <c r="I276" s="123">
        <v>0</v>
      </c>
      <c r="J276" s="123">
        <v>0</v>
      </c>
      <c r="K276" s="123">
        <v>0</v>
      </c>
      <c r="L276" s="123">
        <v>0</v>
      </c>
      <c r="M276" s="123"/>
      <c r="N276" s="123"/>
      <c r="O276" s="123"/>
      <c r="P276" s="123"/>
      <c r="Q276" s="123"/>
      <c r="R276" s="123"/>
    </row>
    <row r="277" spans="1:18" x14ac:dyDescent="0.2">
      <c r="A277" s="12">
        <v>7</v>
      </c>
      <c r="B277" s="12" t="s">
        <v>290</v>
      </c>
      <c r="C277" s="12" t="s">
        <v>26</v>
      </c>
      <c r="D277" s="129">
        <v>30.54</v>
      </c>
      <c r="E277" s="12">
        <v>2003</v>
      </c>
      <c r="F277" s="123"/>
      <c r="G277" s="123">
        <v>0</v>
      </c>
      <c r="H277" s="123">
        <v>0</v>
      </c>
      <c r="I277" s="123">
        <v>0</v>
      </c>
      <c r="J277" s="123">
        <v>0</v>
      </c>
      <c r="K277" s="123">
        <v>0</v>
      </c>
      <c r="L277" s="123">
        <v>0</v>
      </c>
      <c r="M277" s="123"/>
      <c r="N277" s="123"/>
      <c r="O277" s="123"/>
      <c r="P277" s="123"/>
      <c r="Q277" s="123"/>
      <c r="R277" s="123"/>
    </row>
    <row r="278" spans="1:18" x14ac:dyDescent="0.2">
      <c r="A278" s="12">
        <v>7</v>
      </c>
      <c r="B278" s="12" t="s">
        <v>291</v>
      </c>
      <c r="C278" s="12" t="s">
        <v>26</v>
      </c>
      <c r="D278" s="129">
        <v>29.58</v>
      </c>
      <c r="E278" s="12">
        <v>2003</v>
      </c>
      <c r="F278" s="123"/>
      <c r="G278" s="123">
        <v>0</v>
      </c>
      <c r="H278" s="123">
        <v>0</v>
      </c>
      <c r="I278" s="123">
        <v>0</v>
      </c>
      <c r="J278" s="123">
        <v>0</v>
      </c>
      <c r="K278" s="123">
        <v>0</v>
      </c>
      <c r="L278" s="123">
        <v>0</v>
      </c>
      <c r="M278" s="123"/>
      <c r="N278" s="123"/>
      <c r="O278" s="123"/>
      <c r="P278" s="123"/>
      <c r="Q278" s="123"/>
      <c r="R278" s="123"/>
    </row>
    <row r="279" spans="1:18" x14ac:dyDescent="0.2">
      <c r="A279" s="12">
        <v>7</v>
      </c>
      <c r="B279" s="12" t="s">
        <v>292</v>
      </c>
      <c r="C279" s="12" t="s">
        <v>26</v>
      </c>
      <c r="D279" s="129">
        <v>41.15</v>
      </c>
      <c r="E279" s="12">
        <v>2003</v>
      </c>
      <c r="F279" s="123"/>
      <c r="G279" s="123">
        <v>0</v>
      </c>
      <c r="H279" s="123">
        <v>0</v>
      </c>
      <c r="I279" s="123">
        <v>0</v>
      </c>
      <c r="J279" s="123">
        <v>0</v>
      </c>
      <c r="K279" s="123">
        <v>0</v>
      </c>
      <c r="L279" s="123">
        <v>0</v>
      </c>
      <c r="M279" s="123"/>
      <c r="N279" s="123"/>
      <c r="O279" s="123"/>
      <c r="P279" s="123"/>
      <c r="Q279" s="123"/>
      <c r="R279" s="123"/>
    </row>
    <row r="280" spans="1:18" x14ac:dyDescent="0.2">
      <c r="A280" s="12">
        <v>7</v>
      </c>
      <c r="B280" s="12" t="s">
        <v>293</v>
      </c>
      <c r="C280" s="12" t="s">
        <v>26</v>
      </c>
      <c r="D280" s="129">
        <v>27.03</v>
      </c>
      <c r="E280" s="12">
        <v>2002</v>
      </c>
      <c r="F280" s="123"/>
      <c r="G280" s="123">
        <v>0</v>
      </c>
      <c r="H280" s="123">
        <v>0</v>
      </c>
      <c r="I280" s="123">
        <v>0</v>
      </c>
      <c r="J280" s="123">
        <v>0</v>
      </c>
      <c r="K280" s="123">
        <v>0</v>
      </c>
      <c r="L280" s="123">
        <v>0</v>
      </c>
      <c r="M280" s="123"/>
      <c r="N280" s="123"/>
      <c r="O280" s="123"/>
      <c r="P280" s="123"/>
      <c r="Q280" s="123"/>
      <c r="R280" s="123"/>
    </row>
    <row r="281" spans="1:18" x14ac:dyDescent="0.2">
      <c r="A281" s="12">
        <v>7</v>
      </c>
      <c r="B281" s="12" t="s">
        <v>294</v>
      </c>
      <c r="C281" s="12" t="s">
        <v>26</v>
      </c>
      <c r="D281" s="129">
        <v>26.51</v>
      </c>
      <c r="E281" s="12">
        <v>1998</v>
      </c>
      <c r="F281" s="123"/>
      <c r="G281" s="123">
        <v>0</v>
      </c>
      <c r="H281" s="123">
        <v>0</v>
      </c>
      <c r="I281" s="123">
        <v>0</v>
      </c>
      <c r="J281" s="123">
        <v>0</v>
      </c>
      <c r="K281" s="123">
        <v>0</v>
      </c>
      <c r="L281" s="123">
        <v>0</v>
      </c>
      <c r="M281" s="123"/>
      <c r="N281" s="123"/>
      <c r="O281" s="123"/>
      <c r="P281" s="123"/>
      <c r="Q281" s="123"/>
      <c r="R281" s="123"/>
    </row>
    <row r="282" spans="1:18" x14ac:dyDescent="0.2">
      <c r="A282" s="12">
        <v>7</v>
      </c>
      <c r="B282" s="12" t="s">
        <v>295</v>
      </c>
      <c r="C282" s="12" t="s">
        <v>26</v>
      </c>
      <c r="D282" s="129">
        <v>35.93</v>
      </c>
      <c r="E282" s="12">
        <v>1998</v>
      </c>
      <c r="F282" s="123"/>
      <c r="G282" s="123">
        <v>0</v>
      </c>
      <c r="H282" s="123">
        <v>0</v>
      </c>
      <c r="I282" s="123">
        <v>0</v>
      </c>
      <c r="J282" s="123">
        <v>0</v>
      </c>
      <c r="K282" s="123">
        <v>0</v>
      </c>
      <c r="L282" s="123">
        <v>0</v>
      </c>
      <c r="M282" s="123"/>
      <c r="N282" s="123"/>
      <c r="O282" s="123"/>
      <c r="P282" s="123"/>
      <c r="Q282" s="123"/>
      <c r="R282" s="123"/>
    </row>
    <row r="283" spans="1:18" x14ac:dyDescent="0.2">
      <c r="A283" s="12">
        <v>7</v>
      </c>
      <c r="B283" s="12" t="s">
        <v>296</v>
      </c>
      <c r="C283" s="12" t="s">
        <v>26</v>
      </c>
      <c r="D283" s="129">
        <v>54.43</v>
      </c>
      <c r="E283" s="12">
        <v>2012</v>
      </c>
      <c r="F283" s="123"/>
      <c r="G283" s="123">
        <v>0</v>
      </c>
      <c r="H283" s="123">
        <v>0</v>
      </c>
      <c r="I283" s="123">
        <v>0</v>
      </c>
      <c r="J283" s="123">
        <v>0</v>
      </c>
      <c r="K283" s="123">
        <v>0</v>
      </c>
      <c r="L283" s="123">
        <v>0</v>
      </c>
      <c r="M283" s="123"/>
      <c r="N283" s="123"/>
      <c r="O283" s="123"/>
      <c r="P283" s="123"/>
      <c r="Q283" s="123"/>
      <c r="R283" s="123"/>
    </row>
    <row r="284" spans="1:18" x14ac:dyDescent="0.2">
      <c r="A284" s="12">
        <v>7</v>
      </c>
      <c r="B284" s="12" t="s">
        <v>297</v>
      </c>
      <c r="C284" s="12" t="s">
        <v>26</v>
      </c>
      <c r="D284" s="129">
        <v>30.19</v>
      </c>
      <c r="E284" s="12">
        <v>1998</v>
      </c>
      <c r="F284" s="123"/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/>
      <c r="N284" s="123"/>
      <c r="O284" s="123"/>
      <c r="P284" s="123"/>
      <c r="Q284" s="123"/>
      <c r="R284" s="123"/>
    </row>
    <row r="285" spans="1:18" x14ac:dyDescent="0.2">
      <c r="A285" s="12">
        <v>7</v>
      </c>
      <c r="B285" s="12" t="s">
        <v>298</v>
      </c>
      <c r="C285" s="12" t="s">
        <v>26</v>
      </c>
      <c r="D285" s="129">
        <v>29.02</v>
      </c>
      <c r="E285" s="12">
        <v>1998</v>
      </c>
      <c r="F285" s="123"/>
      <c r="G285" s="123">
        <v>0</v>
      </c>
      <c r="H285" s="123">
        <v>0</v>
      </c>
      <c r="I285" s="123">
        <v>0</v>
      </c>
      <c r="J285" s="123">
        <v>0</v>
      </c>
      <c r="K285" s="123">
        <v>0</v>
      </c>
      <c r="L285" s="123">
        <v>0</v>
      </c>
      <c r="M285" s="123"/>
      <c r="N285" s="123"/>
      <c r="O285" s="123"/>
      <c r="P285" s="123"/>
      <c r="Q285" s="123"/>
      <c r="R285" s="123"/>
    </row>
    <row r="286" spans="1:18" x14ac:dyDescent="0.2">
      <c r="A286" s="12">
        <v>7</v>
      </c>
      <c r="B286" s="12" t="s">
        <v>299</v>
      </c>
      <c r="C286" s="12" t="s">
        <v>26</v>
      </c>
      <c r="D286" s="129">
        <v>41.08</v>
      </c>
      <c r="E286" s="12">
        <v>1998</v>
      </c>
      <c r="F286" s="123"/>
      <c r="G286" s="123">
        <v>0</v>
      </c>
      <c r="H286" s="123">
        <v>0</v>
      </c>
      <c r="I286" s="123">
        <v>0</v>
      </c>
      <c r="J286" s="123">
        <v>0</v>
      </c>
      <c r="K286" s="123">
        <v>0</v>
      </c>
      <c r="L286" s="123">
        <v>0</v>
      </c>
      <c r="M286" s="123"/>
      <c r="N286" s="123"/>
      <c r="O286" s="123"/>
      <c r="P286" s="123"/>
      <c r="Q286" s="123"/>
      <c r="R286" s="123"/>
    </row>
    <row r="287" spans="1:18" x14ac:dyDescent="0.2">
      <c r="A287" s="12">
        <v>7</v>
      </c>
      <c r="B287" s="12" t="s">
        <v>300</v>
      </c>
      <c r="C287" s="12" t="s">
        <v>26</v>
      </c>
      <c r="D287" s="129">
        <v>26.81</v>
      </c>
      <c r="E287" s="12">
        <v>1998</v>
      </c>
      <c r="F287" s="123"/>
      <c r="G287" s="123">
        <v>0</v>
      </c>
      <c r="H287" s="123">
        <v>0</v>
      </c>
      <c r="I287" s="123">
        <v>0</v>
      </c>
      <c r="J287" s="123">
        <v>0</v>
      </c>
      <c r="K287" s="123">
        <v>0</v>
      </c>
      <c r="L287" s="123">
        <v>0</v>
      </c>
      <c r="M287" s="123"/>
      <c r="N287" s="123"/>
      <c r="O287" s="123"/>
      <c r="P287" s="123"/>
      <c r="Q287" s="123"/>
      <c r="R287" s="123"/>
    </row>
    <row r="288" spans="1:18" x14ac:dyDescent="0.2">
      <c r="A288" s="12">
        <v>7</v>
      </c>
      <c r="B288" s="12" t="s">
        <v>301</v>
      </c>
      <c r="C288" s="12" t="s">
        <v>26</v>
      </c>
      <c r="D288" s="129">
        <v>24.96</v>
      </c>
      <c r="E288" s="12">
        <v>1998</v>
      </c>
      <c r="F288" s="123"/>
      <c r="G288" s="123">
        <v>0</v>
      </c>
      <c r="H288" s="123">
        <v>0</v>
      </c>
      <c r="I288" s="123">
        <v>0</v>
      </c>
      <c r="J288" s="123">
        <v>0</v>
      </c>
      <c r="K288" s="123">
        <v>0</v>
      </c>
      <c r="L288" s="123">
        <v>0</v>
      </c>
      <c r="M288" s="123"/>
      <c r="N288" s="123"/>
      <c r="O288" s="123"/>
      <c r="P288" s="123"/>
      <c r="Q288" s="123"/>
      <c r="R288" s="123"/>
    </row>
    <row r="289" spans="1:18" x14ac:dyDescent="0.2">
      <c r="A289" s="12">
        <v>7</v>
      </c>
      <c r="B289" s="12" t="s">
        <v>302</v>
      </c>
      <c r="C289" s="12" t="s">
        <v>26</v>
      </c>
      <c r="D289" s="129">
        <v>35.520000000000003</v>
      </c>
      <c r="E289" s="12">
        <v>1998</v>
      </c>
      <c r="F289" s="123"/>
      <c r="G289" s="123">
        <v>0</v>
      </c>
      <c r="H289" s="123">
        <v>0</v>
      </c>
      <c r="I289" s="123">
        <v>0</v>
      </c>
      <c r="J289" s="123">
        <v>0</v>
      </c>
      <c r="K289" s="123">
        <v>0</v>
      </c>
      <c r="L289" s="123">
        <v>0</v>
      </c>
      <c r="M289" s="123"/>
      <c r="N289" s="123"/>
      <c r="O289" s="123"/>
      <c r="P289" s="123"/>
      <c r="Q289" s="123"/>
      <c r="R289" s="123"/>
    </row>
    <row r="290" spans="1:18" x14ac:dyDescent="0.2">
      <c r="A290" s="12">
        <v>7</v>
      </c>
      <c r="B290" s="12" t="s">
        <v>303</v>
      </c>
      <c r="C290" s="12" t="s">
        <v>26</v>
      </c>
      <c r="D290" s="129">
        <v>37.869999999999997</v>
      </c>
      <c r="E290" s="12">
        <v>2004</v>
      </c>
      <c r="F290" s="123"/>
      <c r="G290" s="123">
        <v>0</v>
      </c>
      <c r="H290" s="123">
        <v>0</v>
      </c>
      <c r="I290" s="123">
        <v>0</v>
      </c>
      <c r="J290" s="123">
        <v>0</v>
      </c>
      <c r="K290" s="123">
        <v>0</v>
      </c>
      <c r="L290" s="123">
        <v>0</v>
      </c>
      <c r="M290" s="123"/>
      <c r="N290" s="123"/>
      <c r="O290" s="123"/>
      <c r="P290" s="123"/>
      <c r="Q290" s="123"/>
      <c r="R290" s="123"/>
    </row>
    <row r="291" spans="1:18" x14ac:dyDescent="0.2">
      <c r="A291" s="12">
        <v>7</v>
      </c>
      <c r="B291" s="12" t="s">
        <v>304</v>
      </c>
      <c r="C291" s="12" t="s">
        <v>26</v>
      </c>
      <c r="D291" s="129">
        <v>35.06</v>
      </c>
      <c r="E291" s="12">
        <v>1998</v>
      </c>
      <c r="F291" s="123"/>
      <c r="G291" s="123">
        <v>0</v>
      </c>
      <c r="H291" s="123">
        <v>0</v>
      </c>
      <c r="I291" s="123">
        <v>0</v>
      </c>
      <c r="J291" s="123">
        <v>0</v>
      </c>
      <c r="K291" s="123">
        <v>0</v>
      </c>
      <c r="L291" s="123">
        <v>0</v>
      </c>
      <c r="M291" s="123"/>
      <c r="N291" s="123"/>
      <c r="O291" s="123"/>
      <c r="P291" s="123"/>
      <c r="Q291" s="123"/>
      <c r="R291" s="123"/>
    </row>
    <row r="292" spans="1:18" x14ac:dyDescent="0.2">
      <c r="A292" s="12">
        <v>7</v>
      </c>
      <c r="B292" s="12" t="s">
        <v>305</v>
      </c>
      <c r="C292" s="12" t="s">
        <v>26</v>
      </c>
      <c r="D292" s="129">
        <v>25.16</v>
      </c>
      <c r="E292" s="12">
        <v>2004</v>
      </c>
      <c r="F292" s="123"/>
      <c r="G292" s="123">
        <v>0</v>
      </c>
      <c r="H292" s="123">
        <v>0</v>
      </c>
      <c r="I292" s="123">
        <v>0</v>
      </c>
      <c r="J292" s="123">
        <v>0</v>
      </c>
      <c r="K292" s="123">
        <v>0</v>
      </c>
      <c r="L292" s="123">
        <v>0</v>
      </c>
      <c r="M292" s="123"/>
      <c r="N292" s="123"/>
      <c r="O292" s="123"/>
      <c r="P292" s="123"/>
      <c r="Q292" s="123"/>
      <c r="R292" s="123"/>
    </row>
    <row r="293" spans="1:18" x14ac:dyDescent="0.2">
      <c r="A293" s="12">
        <v>7</v>
      </c>
      <c r="B293" s="12" t="s">
        <v>306</v>
      </c>
      <c r="C293" s="12" t="s">
        <v>26</v>
      </c>
      <c r="D293" s="129">
        <v>9.33</v>
      </c>
      <c r="E293" s="12">
        <v>2013</v>
      </c>
      <c r="F293" s="123"/>
      <c r="G293" s="123">
        <v>0</v>
      </c>
      <c r="H293" s="123">
        <v>0</v>
      </c>
      <c r="I293" s="123">
        <v>0</v>
      </c>
      <c r="J293" s="123">
        <v>0</v>
      </c>
      <c r="K293" s="123">
        <v>0</v>
      </c>
      <c r="L293" s="123">
        <v>0</v>
      </c>
      <c r="M293" s="123"/>
      <c r="N293" s="123"/>
      <c r="O293" s="123"/>
      <c r="P293" s="123"/>
      <c r="Q293" s="123"/>
      <c r="R293" s="123"/>
    </row>
    <row r="294" spans="1:18" x14ac:dyDescent="0.2">
      <c r="A294" s="12">
        <v>7</v>
      </c>
      <c r="B294" s="12" t="s">
        <v>307</v>
      </c>
      <c r="C294" s="12" t="s">
        <v>26</v>
      </c>
      <c r="D294" s="129">
        <v>35.04</v>
      </c>
      <c r="E294" s="12">
        <v>1998</v>
      </c>
      <c r="F294" s="123"/>
      <c r="G294" s="123">
        <v>0</v>
      </c>
      <c r="H294" s="123">
        <v>0</v>
      </c>
      <c r="I294" s="123">
        <v>0</v>
      </c>
      <c r="J294" s="123">
        <v>0</v>
      </c>
      <c r="K294" s="123">
        <v>0</v>
      </c>
      <c r="L294" s="123">
        <v>0</v>
      </c>
      <c r="M294" s="123"/>
      <c r="N294" s="123"/>
      <c r="O294" s="123"/>
      <c r="P294" s="123"/>
      <c r="Q294" s="123"/>
      <c r="R294" s="123"/>
    </row>
    <row r="295" spans="1:18" x14ac:dyDescent="0.2">
      <c r="A295" s="12">
        <v>7</v>
      </c>
      <c r="B295" s="12" t="s">
        <v>308</v>
      </c>
      <c r="C295" s="12" t="s">
        <v>26</v>
      </c>
      <c r="D295" s="129">
        <v>24.05</v>
      </c>
      <c r="E295" s="12">
        <v>1998</v>
      </c>
      <c r="F295" s="123"/>
      <c r="G295" s="123">
        <v>0</v>
      </c>
      <c r="H295" s="123">
        <v>0</v>
      </c>
      <c r="I295" s="123">
        <v>0</v>
      </c>
      <c r="J295" s="123">
        <v>0</v>
      </c>
      <c r="K295" s="123">
        <v>0</v>
      </c>
      <c r="L295" s="123">
        <v>0</v>
      </c>
      <c r="M295" s="123"/>
      <c r="N295" s="123"/>
      <c r="O295" s="123"/>
      <c r="P295" s="123"/>
      <c r="Q295" s="123"/>
      <c r="R295" s="123"/>
    </row>
    <row r="296" spans="1:18" x14ac:dyDescent="0.2">
      <c r="A296" s="12">
        <v>7</v>
      </c>
      <c r="B296" s="12" t="s">
        <v>309</v>
      </c>
      <c r="C296" s="12" t="s">
        <v>26</v>
      </c>
      <c r="D296" s="129">
        <v>11.35</v>
      </c>
      <c r="E296" s="12">
        <v>1998</v>
      </c>
      <c r="F296" s="123"/>
      <c r="G296" s="123">
        <v>0</v>
      </c>
      <c r="H296" s="123">
        <v>0</v>
      </c>
      <c r="I296" s="123">
        <v>0</v>
      </c>
      <c r="J296" s="123">
        <v>0</v>
      </c>
      <c r="K296" s="123">
        <v>0</v>
      </c>
      <c r="L296" s="123">
        <v>0</v>
      </c>
      <c r="M296" s="123"/>
      <c r="N296" s="123"/>
      <c r="O296" s="123"/>
      <c r="P296" s="123"/>
      <c r="Q296" s="123"/>
      <c r="R296" s="123"/>
    </row>
    <row r="297" spans="1:18" x14ac:dyDescent="0.2">
      <c r="A297" s="12">
        <v>7</v>
      </c>
      <c r="B297" s="12" t="s">
        <v>310</v>
      </c>
      <c r="C297" s="12" t="s">
        <v>26</v>
      </c>
      <c r="D297" s="129">
        <v>18.2</v>
      </c>
      <c r="E297" s="12">
        <v>2018</v>
      </c>
      <c r="F297" s="123"/>
      <c r="G297" s="123">
        <v>0</v>
      </c>
      <c r="H297" s="123">
        <v>0</v>
      </c>
      <c r="I297" s="123">
        <v>0</v>
      </c>
      <c r="J297" s="123">
        <v>0</v>
      </c>
      <c r="K297" s="123">
        <v>0</v>
      </c>
      <c r="L297" s="123">
        <v>0</v>
      </c>
      <c r="M297" s="123"/>
      <c r="N297" s="123"/>
      <c r="O297" s="123"/>
      <c r="P297" s="123"/>
      <c r="Q297" s="123"/>
      <c r="R297" s="123"/>
    </row>
    <row r="298" spans="1:18" x14ac:dyDescent="0.2">
      <c r="A298" s="12">
        <v>7</v>
      </c>
      <c r="B298" s="12" t="s">
        <v>311</v>
      </c>
      <c r="C298" s="12" t="s">
        <v>26</v>
      </c>
      <c r="D298" s="129">
        <v>20.32</v>
      </c>
      <c r="E298" s="12">
        <v>2019</v>
      </c>
      <c r="F298" s="123"/>
      <c r="G298" s="123">
        <v>0</v>
      </c>
      <c r="H298" s="123">
        <v>0</v>
      </c>
      <c r="I298" s="123">
        <v>0</v>
      </c>
      <c r="J298" s="123">
        <v>0</v>
      </c>
      <c r="K298" s="123">
        <v>0</v>
      </c>
      <c r="L298" s="123">
        <v>0</v>
      </c>
      <c r="M298" s="123"/>
      <c r="N298" s="123"/>
      <c r="O298" s="123"/>
      <c r="P298" s="123"/>
      <c r="Q298" s="123"/>
      <c r="R298" s="123"/>
    </row>
    <row r="299" spans="1:18" x14ac:dyDescent="0.2">
      <c r="A299" s="12">
        <v>7</v>
      </c>
      <c r="B299" s="12" t="s">
        <v>312</v>
      </c>
      <c r="C299" s="12" t="s">
        <v>26</v>
      </c>
      <c r="D299" s="129">
        <v>25.41</v>
      </c>
      <c r="E299" s="12">
        <v>2002</v>
      </c>
      <c r="F299" s="123"/>
      <c r="G299" s="123">
        <v>0</v>
      </c>
      <c r="H299" s="123">
        <v>0</v>
      </c>
      <c r="I299" s="123">
        <v>0</v>
      </c>
      <c r="J299" s="123">
        <v>0</v>
      </c>
      <c r="K299" s="123">
        <v>0</v>
      </c>
      <c r="L299" s="123">
        <v>0</v>
      </c>
      <c r="M299" s="123"/>
      <c r="N299" s="123"/>
      <c r="O299" s="123"/>
      <c r="P299" s="123"/>
      <c r="Q299" s="123"/>
      <c r="R299" s="123"/>
    </row>
    <row r="300" spans="1:18" x14ac:dyDescent="0.2">
      <c r="A300" s="12">
        <v>7</v>
      </c>
      <c r="B300" s="12" t="s">
        <v>313</v>
      </c>
      <c r="C300" s="12" t="s">
        <v>26</v>
      </c>
      <c r="D300" s="129">
        <v>12.5</v>
      </c>
      <c r="E300" s="12">
        <v>2013</v>
      </c>
      <c r="F300" s="123"/>
      <c r="G300" s="123">
        <v>0</v>
      </c>
      <c r="H300" s="123">
        <v>0</v>
      </c>
      <c r="I300" s="123">
        <v>0</v>
      </c>
      <c r="J300" s="123">
        <v>0</v>
      </c>
      <c r="K300" s="123">
        <v>0</v>
      </c>
      <c r="L300" s="123">
        <v>0</v>
      </c>
      <c r="M300" s="123"/>
      <c r="N300" s="123"/>
      <c r="O300" s="123"/>
      <c r="P300" s="123"/>
      <c r="Q300" s="123"/>
      <c r="R300" s="123"/>
    </row>
    <row r="301" spans="1:18" x14ac:dyDescent="0.2">
      <c r="A301" s="12">
        <v>7</v>
      </c>
      <c r="B301" s="12" t="s">
        <v>314</v>
      </c>
      <c r="C301" s="12" t="s">
        <v>26</v>
      </c>
      <c r="D301" s="129">
        <v>22.95</v>
      </c>
      <c r="E301" s="12">
        <v>2019</v>
      </c>
      <c r="F301" s="123"/>
      <c r="G301" s="123">
        <v>0</v>
      </c>
      <c r="H301" s="123">
        <v>0</v>
      </c>
      <c r="I301" s="123">
        <v>0</v>
      </c>
      <c r="J301" s="123">
        <v>0</v>
      </c>
      <c r="K301" s="123">
        <v>0</v>
      </c>
      <c r="L301" s="123">
        <v>0</v>
      </c>
      <c r="M301" s="123"/>
      <c r="N301" s="123"/>
      <c r="O301" s="123"/>
      <c r="P301" s="123"/>
      <c r="Q301" s="123"/>
      <c r="R301" s="123"/>
    </row>
    <row r="302" spans="1:18" x14ac:dyDescent="0.2">
      <c r="A302" s="12">
        <v>7</v>
      </c>
      <c r="B302" s="12" t="s">
        <v>315</v>
      </c>
      <c r="C302" s="12" t="s">
        <v>26</v>
      </c>
      <c r="D302" s="129">
        <v>37.83</v>
      </c>
      <c r="E302" s="12">
        <v>2019</v>
      </c>
      <c r="F302" s="123"/>
      <c r="G302" s="123">
        <v>0</v>
      </c>
      <c r="H302" s="123">
        <v>0</v>
      </c>
      <c r="I302" s="123">
        <v>0</v>
      </c>
      <c r="J302" s="123">
        <v>0</v>
      </c>
      <c r="K302" s="123">
        <v>0</v>
      </c>
      <c r="L302" s="123">
        <v>0</v>
      </c>
      <c r="M302" s="123"/>
      <c r="N302" s="123"/>
      <c r="O302" s="123"/>
      <c r="P302" s="123"/>
      <c r="Q302" s="123"/>
      <c r="R302" s="123"/>
    </row>
    <row r="303" spans="1:18" x14ac:dyDescent="0.2">
      <c r="A303" s="12">
        <v>7</v>
      </c>
      <c r="B303" s="12" t="s">
        <v>316</v>
      </c>
      <c r="C303" s="12" t="s">
        <v>26</v>
      </c>
      <c r="D303" s="129">
        <v>3.07</v>
      </c>
      <c r="E303" s="12">
        <v>2021</v>
      </c>
      <c r="F303" s="123"/>
      <c r="G303" s="123">
        <v>0</v>
      </c>
      <c r="H303" s="123">
        <v>0</v>
      </c>
      <c r="I303" s="123">
        <v>0</v>
      </c>
      <c r="J303" s="123">
        <v>0</v>
      </c>
      <c r="K303" s="123">
        <v>0</v>
      </c>
      <c r="L303" s="123">
        <v>0</v>
      </c>
      <c r="M303" s="123"/>
      <c r="N303" s="123"/>
      <c r="O303" s="123"/>
      <c r="P303" s="123"/>
      <c r="Q303" s="123"/>
      <c r="R303" s="123"/>
    </row>
    <row r="304" spans="1:18" x14ac:dyDescent="0.2">
      <c r="A304" s="313" t="s">
        <v>71</v>
      </c>
      <c r="B304" s="314"/>
      <c r="C304" s="315"/>
      <c r="D304" s="150">
        <f>SUM(D256:D303)</f>
        <v>1325.6199999999997</v>
      </c>
      <c r="E304" s="125"/>
      <c r="F304" s="126"/>
      <c r="G304" s="123"/>
      <c r="H304" s="126"/>
      <c r="I304" s="126"/>
      <c r="J304" s="126"/>
      <c r="K304" s="126"/>
      <c r="L304" s="123"/>
      <c r="M304" s="126"/>
      <c r="N304" s="126"/>
      <c r="O304" s="126"/>
      <c r="P304" s="126"/>
      <c r="Q304" s="126"/>
      <c r="R304" s="126"/>
    </row>
    <row r="305" spans="1:18" x14ac:dyDescent="0.2">
      <c r="A305" s="12">
        <v>8</v>
      </c>
      <c r="B305" s="12" t="s">
        <v>317</v>
      </c>
      <c r="C305" s="12" t="s">
        <v>26</v>
      </c>
      <c r="D305" s="129">
        <v>29.27</v>
      </c>
      <c r="E305" s="12">
        <v>2002</v>
      </c>
      <c r="F305" s="123"/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0</v>
      </c>
      <c r="M305" s="123"/>
      <c r="N305" s="123"/>
      <c r="O305" s="123"/>
      <c r="P305" s="123"/>
      <c r="Q305" s="123"/>
      <c r="R305" s="123"/>
    </row>
    <row r="306" spans="1:18" x14ac:dyDescent="0.2">
      <c r="A306" s="12">
        <v>8</v>
      </c>
      <c r="B306" s="12" t="s">
        <v>318</v>
      </c>
      <c r="C306" s="12" t="s">
        <v>26</v>
      </c>
      <c r="D306" s="129">
        <v>27.19</v>
      </c>
      <c r="E306" s="12">
        <v>2002</v>
      </c>
      <c r="F306" s="123"/>
      <c r="G306" s="123">
        <v>0</v>
      </c>
      <c r="H306" s="123">
        <v>0</v>
      </c>
      <c r="I306" s="123">
        <v>0</v>
      </c>
      <c r="J306" s="123">
        <v>0</v>
      </c>
      <c r="K306" s="123">
        <v>0</v>
      </c>
      <c r="L306" s="123">
        <v>0</v>
      </c>
      <c r="M306" s="123"/>
      <c r="N306" s="123"/>
      <c r="O306" s="123"/>
      <c r="P306" s="123"/>
      <c r="Q306" s="123"/>
      <c r="R306" s="123"/>
    </row>
    <row r="307" spans="1:18" x14ac:dyDescent="0.2">
      <c r="A307" s="12">
        <v>8</v>
      </c>
      <c r="B307" s="12" t="s">
        <v>319</v>
      </c>
      <c r="C307" s="12" t="s">
        <v>26</v>
      </c>
      <c r="D307" s="129">
        <v>25.47</v>
      </c>
      <c r="E307" s="12">
        <v>2002</v>
      </c>
      <c r="F307" s="123"/>
      <c r="G307" s="123">
        <v>0</v>
      </c>
      <c r="H307" s="123">
        <v>0</v>
      </c>
      <c r="I307" s="123">
        <v>0</v>
      </c>
      <c r="J307" s="123">
        <v>0</v>
      </c>
      <c r="K307" s="123">
        <v>0</v>
      </c>
      <c r="L307" s="123">
        <v>0</v>
      </c>
      <c r="M307" s="123"/>
      <c r="N307" s="123"/>
      <c r="O307" s="123"/>
      <c r="P307" s="123"/>
      <c r="Q307" s="123"/>
      <c r="R307" s="123"/>
    </row>
    <row r="308" spans="1:18" x14ac:dyDescent="0.2">
      <c r="A308" s="12">
        <v>8</v>
      </c>
      <c r="B308" s="12" t="s">
        <v>320</v>
      </c>
      <c r="C308" s="12" t="s">
        <v>26</v>
      </c>
      <c r="D308" s="129">
        <v>25.95</v>
      </c>
      <c r="E308" s="12">
        <v>2005</v>
      </c>
      <c r="F308" s="123"/>
      <c r="G308" s="123">
        <v>0</v>
      </c>
      <c r="H308" s="123">
        <v>0</v>
      </c>
      <c r="I308" s="123">
        <v>0</v>
      </c>
      <c r="J308" s="123">
        <v>0</v>
      </c>
      <c r="K308" s="123">
        <v>0</v>
      </c>
      <c r="L308" s="123">
        <v>0</v>
      </c>
      <c r="M308" s="123"/>
      <c r="N308" s="123"/>
      <c r="O308" s="123"/>
      <c r="P308" s="123"/>
      <c r="Q308" s="123"/>
      <c r="R308" s="123"/>
    </row>
    <row r="309" spans="1:18" x14ac:dyDescent="0.2">
      <c r="A309" s="12">
        <v>8</v>
      </c>
      <c r="B309" s="12" t="s">
        <v>321</v>
      </c>
      <c r="C309" s="12" t="s">
        <v>26</v>
      </c>
      <c r="D309" s="129">
        <v>32.39</v>
      </c>
      <c r="E309" s="12">
        <v>2005</v>
      </c>
      <c r="F309" s="123"/>
      <c r="G309" s="123">
        <v>0</v>
      </c>
      <c r="H309" s="123">
        <v>0</v>
      </c>
      <c r="I309" s="123">
        <v>0</v>
      </c>
      <c r="J309" s="123">
        <v>0</v>
      </c>
      <c r="K309" s="123">
        <v>0</v>
      </c>
      <c r="L309" s="123">
        <v>0</v>
      </c>
      <c r="M309" s="123"/>
      <c r="N309" s="123"/>
      <c r="O309" s="123"/>
      <c r="P309" s="123"/>
      <c r="Q309" s="123"/>
      <c r="R309" s="123"/>
    </row>
    <row r="310" spans="1:18" x14ac:dyDescent="0.2">
      <c r="A310" s="12">
        <v>8</v>
      </c>
      <c r="B310" s="12" t="s">
        <v>322</v>
      </c>
      <c r="C310" s="12" t="s">
        <v>26</v>
      </c>
      <c r="D310" s="129">
        <v>27.65</v>
      </c>
      <c r="E310" s="12">
        <v>2002</v>
      </c>
      <c r="F310" s="123"/>
      <c r="G310" s="123">
        <v>0</v>
      </c>
      <c r="H310" s="123">
        <v>0</v>
      </c>
      <c r="I310" s="123">
        <v>0</v>
      </c>
      <c r="J310" s="123">
        <v>0</v>
      </c>
      <c r="K310" s="123">
        <v>0</v>
      </c>
      <c r="L310" s="123">
        <v>0</v>
      </c>
      <c r="M310" s="123"/>
      <c r="N310" s="123"/>
      <c r="O310" s="123"/>
      <c r="P310" s="123"/>
      <c r="Q310" s="123"/>
      <c r="R310" s="123"/>
    </row>
    <row r="311" spans="1:18" x14ac:dyDescent="0.2">
      <c r="A311" s="12">
        <v>8</v>
      </c>
      <c r="B311" s="12" t="s">
        <v>323</v>
      </c>
      <c r="C311" s="12" t="s">
        <v>26</v>
      </c>
      <c r="D311" s="129">
        <v>28.36</v>
      </c>
      <c r="E311" s="12">
        <v>2002</v>
      </c>
      <c r="F311" s="123"/>
      <c r="G311" s="123">
        <v>0</v>
      </c>
      <c r="H311" s="123">
        <v>0</v>
      </c>
      <c r="I311" s="123">
        <v>0</v>
      </c>
      <c r="J311" s="123">
        <v>0</v>
      </c>
      <c r="K311" s="123">
        <v>0</v>
      </c>
      <c r="L311" s="123">
        <v>0</v>
      </c>
      <c r="M311" s="123"/>
      <c r="N311" s="123"/>
      <c r="O311" s="123"/>
      <c r="P311" s="123"/>
      <c r="Q311" s="123"/>
      <c r="R311" s="123"/>
    </row>
    <row r="312" spans="1:18" x14ac:dyDescent="0.2">
      <c r="A312" s="12">
        <v>8</v>
      </c>
      <c r="B312" s="12" t="s">
        <v>324</v>
      </c>
      <c r="C312" s="12" t="s">
        <v>26</v>
      </c>
      <c r="D312" s="129">
        <v>27.02</v>
      </c>
      <c r="E312" s="12">
        <v>2002</v>
      </c>
      <c r="F312" s="123"/>
      <c r="G312" s="123">
        <v>0</v>
      </c>
      <c r="H312" s="123">
        <v>0</v>
      </c>
      <c r="I312" s="123">
        <v>0</v>
      </c>
      <c r="J312" s="123">
        <v>0</v>
      </c>
      <c r="K312" s="123">
        <v>0</v>
      </c>
      <c r="L312" s="123">
        <v>0</v>
      </c>
      <c r="M312" s="123"/>
      <c r="N312" s="123"/>
      <c r="O312" s="123"/>
      <c r="P312" s="123"/>
      <c r="Q312" s="123"/>
      <c r="R312" s="123"/>
    </row>
    <row r="313" spans="1:18" x14ac:dyDescent="0.2">
      <c r="A313" s="12">
        <v>8</v>
      </c>
      <c r="B313" s="12" t="s">
        <v>325</v>
      </c>
      <c r="C313" s="12" t="s">
        <v>26</v>
      </c>
      <c r="D313" s="129">
        <v>28.01</v>
      </c>
      <c r="E313" s="12">
        <v>2003</v>
      </c>
      <c r="F313" s="123"/>
      <c r="G313" s="123">
        <v>0</v>
      </c>
      <c r="H313" s="123">
        <v>0</v>
      </c>
      <c r="I313" s="123">
        <v>0</v>
      </c>
      <c r="J313" s="123">
        <v>0</v>
      </c>
      <c r="K313" s="123">
        <v>0</v>
      </c>
      <c r="L313" s="123">
        <v>0</v>
      </c>
      <c r="M313" s="123"/>
      <c r="N313" s="123"/>
      <c r="O313" s="123"/>
      <c r="P313" s="123"/>
      <c r="Q313" s="123"/>
      <c r="R313" s="123"/>
    </row>
    <row r="314" spans="1:18" x14ac:dyDescent="0.2">
      <c r="A314" s="12">
        <v>8</v>
      </c>
      <c r="B314" s="12" t="s">
        <v>326</v>
      </c>
      <c r="C314" s="12" t="s">
        <v>26</v>
      </c>
      <c r="D314" s="129">
        <v>30.16</v>
      </c>
      <c r="E314" s="12">
        <v>2003</v>
      </c>
      <c r="F314" s="123"/>
      <c r="G314" s="123">
        <v>0</v>
      </c>
      <c r="H314" s="123">
        <v>0</v>
      </c>
      <c r="I314" s="123">
        <v>0</v>
      </c>
      <c r="J314" s="123">
        <v>0</v>
      </c>
      <c r="K314" s="123">
        <v>0</v>
      </c>
      <c r="L314" s="123">
        <v>0</v>
      </c>
      <c r="M314" s="123"/>
      <c r="N314" s="123"/>
      <c r="O314" s="123"/>
      <c r="P314" s="123"/>
      <c r="Q314" s="123"/>
      <c r="R314" s="123"/>
    </row>
    <row r="315" spans="1:18" x14ac:dyDescent="0.2">
      <c r="A315" s="12">
        <v>8</v>
      </c>
      <c r="B315" s="12" t="s">
        <v>327</v>
      </c>
      <c r="C315" s="12" t="s">
        <v>26</v>
      </c>
      <c r="D315" s="129">
        <v>27.53</v>
      </c>
      <c r="E315" s="12">
        <v>2002</v>
      </c>
      <c r="F315" s="123"/>
      <c r="G315" s="123">
        <v>0</v>
      </c>
      <c r="H315" s="123">
        <v>0</v>
      </c>
      <c r="I315" s="123">
        <v>0</v>
      </c>
      <c r="J315" s="123">
        <v>0</v>
      </c>
      <c r="K315" s="123">
        <v>0</v>
      </c>
      <c r="L315" s="123">
        <v>0</v>
      </c>
      <c r="M315" s="123"/>
      <c r="N315" s="123"/>
      <c r="O315" s="123"/>
      <c r="P315" s="123"/>
      <c r="Q315" s="123"/>
      <c r="R315" s="123"/>
    </row>
    <row r="316" spans="1:18" x14ac:dyDescent="0.2">
      <c r="A316" s="12">
        <v>8</v>
      </c>
      <c r="B316" s="12" t="s">
        <v>328</v>
      </c>
      <c r="C316" s="12" t="s">
        <v>26</v>
      </c>
      <c r="D316" s="129">
        <v>26.36</v>
      </c>
      <c r="E316" s="12">
        <v>1999</v>
      </c>
      <c r="F316" s="123"/>
      <c r="G316" s="123">
        <v>0</v>
      </c>
      <c r="H316" s="123">
        <v>0</v>
      </c>
      <c r="I316" s="123">
        <v>0</v>
      </c>
      <c r="J316" s="123">
        <v>0</v>
      </c>
      <c r="K316" s="123">
        <v>0</v>
      </c>
      <c r="L316" s="123">
        <v>0</v>
      </c>
      <c r="M316" s="123"/>
      <c r="N316" s="123"/>
      <c r="O316" s="123"/>
      <c r="P316" s="123"/>
      <c r="Q316" s="123"/>
      <c r="R316" s="123"/>
    </row>
    <row r="317" spans="1:18" x14ac:dyDescent="0.2">
      <c r="A317" s="12">
        <v>8</v>
      </c>
      <c r="B317" s="12" t="s">
        <v>329</v>
      </c>
      <c r="C317" s="12" t="s">
        <v>26</v>
      </c>
      <c r="D317" s="129">
        <v>27</v>
      </c>
      <c r="E317" s="12">
        <v>2003</v>
      </c>
      <c r="F317" s="123"/>
      <c r="G317" s="123">
        <v>0</v>
      </c>
      <c r="H317" s="123">
        <v>0</v>
      </c>
      <c r="I317" s="123">
        <v>0</v>
      </c>
      <c r="J317" s="123">
        <v>0</v>
      </c>
      <c r="K317" s="123">
        <v>0</v>
      </c>
      <c r="L317" s="123">
        <v>0</v>
      </c>
      <c r="M317" s="123"/>
      <c r="N317" s="123"/>
      <c r="O317" s="123"/>
      <c r="P317" s="123"/>
      <c r="Q317" s="123"/>
      <c r="R317" s="123"/>
    </row>
    <row r="318" spans="1:18" x14ac:dyDescent="0.2">
      <c r="A318" s="12">
        <v>8</v>
      </c>
      <c r="B318" s="12" t="s">
        <v>330</v>
      </c>
      <c r="C318" s="12" t="s">
        <v>26</v>
      </c>
      <c r="D318" s="129">
        <v>33.6</v>
      </c>
      <c r="E318" s="12">
        <v>2003</v>
      </c>
      <c r="F318" s="123"/>
      <c r="G318" s="123">
        <v>0</v>
      </c>
      <c r="H318" s="123">
        <v>0</v>
      </c>
      <c r="I318" s="123">
        <v>0</v>
      </c>
      <c r="J318" s="123">
        <v>0</v>
      </c>
      <c r="K318" s="123">
        <v>0</v>
      </c>
      <c r="L318" s="123">
        <v>0</v>
      </c>
      <c r="M318" s="123"/>
      <c r="N318" s="123"/>
      <c r="O318" s="123"/>
      <c r="P318" s="123"/>
      <c r="Q318" s="123"/>
      <c r="R318" s="123"/>
    </row>
    <row r="319" spans="1:18" x14ac:dyDescent="0.2">
      <c r="A319" s="12">
        <v>8</v>
      </c>
      <c r="B319" s="12" t="s">
        <v>331</v>
      </c>
      <c r="C319" s="12" t="s">
        <v>26</v>
      </c>
      <c r="D319" s="129">
        <v>27.39</v>
      </c>
      <c r="E319" s="12">
        <v>1999</v>
      </c>
      <c r="F319" s="123"/>
      <c r="G319" s="123">
        <v>0</v>
      </c>
      <c r="H319" s="123">
        <v>0</v>
      </c>
      <c r="I319" s="123">
        <v>0</v>
      </c>
      <c r="J319" s="123">
        <v>0</v>
      </c>
      <c r="K319" s="123">
        <v>0</v>
      </c>
      <c r="L319" s="123">
        <v>0</v>
      </c>
      <c r="M319" s="123"/>
      <c r="N319" s="123"/>
      <c r="O319" s="123"/>
      <c r="P319" s="123"/>
      <c r="Q319" s="123"/>
      <c r="R319" s="123"/>
    </row>
    <row r="320" spans="1:18" x14ac:dyDescent="0.2">
      <c r="A320" s="12">
        <v>8</v>
      </c>
      <c r="B320" s="12" t="s">
        <v>332</v>
      </c>
      <c r="C320" s="12" t="s">
        <v>26</v>
      </c>
      <c r="D320" s="129">
        <v>29.18</v>
      </c>
      <c r="E320" s="12">
        <v>1999</v>
      </c>
      <c r="F320" s="123"/>
      <c r="G320" s="123">
        <v>0</v>
      </c>
      <c r="H320" s="123">
        <v>0</v>
      </c>
      <c r="I320" s="123">
        <v>0</v>
      </c>
      <c r="J320" s="123">
        <v>0</v>
      </c>
      <c r="K320" s="123">
        <v>0</v>
      </c>
      <c r="L320" s="123">
        <v>0</v>
      </c>
      <c r="M320" s="123"/>
      <c r="N320" s="123"/>
      <c r="O320" s="123"/>
      <c r="P320" s="123"/>
      <c r="Q320" s="123"/>
      <c r="R320" s="123"/>
    </row>
    <row r="321" spans="1:18" x14ac:dyDescent="0.2">
      <c r="A321" s="12">
        <v>8</v>
      </c>
      <c r="B321" s="12" t="s">
        <v>333</v>
      </c>
      <c r="C321" s="12" t="s">
        <v>26</v>
      </c>
      <c r="D321" s="129">
        <v>29.24</v>
      </c>
      <c r="E321" s="12">
        <v>1999</v>
      </c>
      <c r="F321" s="123"/>
      <c r="G321" s="123">
        <v>0</v>
      </c>
      <c r="H321" s="123">
        <v>0</v>
      </c>
      <c r="I321" s="123">
        <v>0</v>
      </c>
      <c r="J321" s="123">
        <v>0</v>
      </c>
      <c r="K321" s="123">
        <v>0</v>
      </c>
      <c r="L321" s="123">
        <v>0</v>
      </c>
      <c r="M321" s="123"/>
      <c r="N321" s="123"/>
      <c r="O321" s="123"/>
      <c r="P321" s="123"/>
      <c r="Q321" s="123"/>
      <c r="R321" s="123"/>
    </row>
    <row r="322" spans="1:18" x14ac:dyDescent="0.2">
      <c r="A322" s="12">
        <v>8</v>
      </c>
      <c r="B322" s="12" t="s">
        <v>334</v>
      </c>
      <c r="C322" s="12" t="s">
        <v>26</v>
      </c>
      <c r="D322" s="129">
        <v>28.97</v>
      </c>
      <c r="E322" s="12">
        <v>1999</v>
      </c>
      <c r="F322" s="123"/>
      <c r="G322" s="123">
        <v>0</v>
      </c>
      <c r="H322" s="123">
        <v>0</v>
      </c>
      <c r="I322" s="123">
        <v>0</v>
      </c>
      <c r="J322" s="123">
        <v>0</v>
      </c>
      <c r="K322" s="123">
        <v>0</v>
      </c>
      <c r="L322" s="123">
        <v>0</v>
      </c>
      <c r="M322" s="123"/>
      <c r="N322" s="123"/>
      <c r="O322" s="123"/>
      <c r="P322" s="123"/>
      <c r="Q322" s="123"/>
      <c r="R322" s="123"/>
    </row>
    <row r="323" spans="1:18" x14ac:dyDescent="0.2">
      <c r="A323" s="12">
        <v>8</v>
      </c>
      <c r="B323" s="12" t="s">
        <v>335</v>
      </c>
      <c r="C323" s="12" t="s">
        <v>26</v>
      </c>
      <c r="D323" s="129">
        <v>30.13</v>
      </c>
      <c r="E323" s="12">
        <v>2004</v>
      </c>
      <c r="F323" s="123"/>
      <c r="G323" s="123">
        <v>0</v>
      </c>
      <c r="H323" s="123">
        <v>0</v>
      </c>
      <c r="I323" s="123">
        <v>0</v>
      </c>
      <c r="J323" s="123">
        <v>0</v>
      </c>
      <c r="K323" s="123">
        <v>0</v>
      </c>
      <c r="L323" s="123">
        <v>0</v>
      </c>
      <c r="M323" s="123"/>
      <c r="N323" s="123"/>
      <c r="O323" s="123"/>
      <c r="P323" s="123"/>
      <c r="Q323" s="123"/>
      <c r="R323" s="123"/>
    </row>
    <row r="324" spans="1:18" x14ac:dyDescent="0.2">
      <c r="A324" s="12">
        <v>8</v>
      </c>
      <c r="B324" s="12" t="s">
        <v>336</v>
      </c>
      <c r="C324" s="12" t="s">
        <v>26</v>
      </c>
      <c r="D324" s="129">
        <v>28.25</v>
      </c>
      <c r="E324" s="12">
        <v>2004</v>
      </c>
      <c r="F324" s="123"/>
      <c r="G324" s="123">
        <v>0</v>
      </c>
      <c r="H324" s="123">
        <v>0</v>
      </c>
      <c r="I324" s="123">
        <v>0</v>
      </c>
      <c r="J324" s="123">
        <v>0</v>
      </c>
      <c r="K324" s="123">
        <v>0</v>
      </c>
      <c r="L324" s="123">
        <v>0</v>
      </c>
      <c r="M324" s="123"/>
      <c r="N324" s="123"/>
      <c r="O324" s="123"/>
      <c r="P324" s="123"/>
      <c r="Q324" s="123"/>
      <c r="R324" s="123"/>
    </row>
    <row r="325" spans="1:18" x14ac:dyDescent="0.2">
      <c r="A325" s="12">
        <v>8</v>
      </c>
      <c r="B325" s="12" t="s">
        <v>337</v>
      </c>
      <c r="C325" s="12" t="s">
        <v>26</v>
      </c>
      <c r="D325" s="129">
        <v>28.03</v>
      </c>
      <c r="E325" s="12">
        <v>2003</v>
      </c>
      <c r="F325" s="123"/>
      <c r="G325" s="123">
        <v>0</v>
      </c>
      <c r="H325" s="123">
        <v>0</v>
      </c>
      <c r="I325" s="123">
        <v>0</v>
      </c>
      <c r="J325" s="123">
        <v>0</v>
      </c>
      <c r="K325" s="123">
        <v>0</v>
      </c>
      <c r="L325" s="123">
        <v>0</v>
      </c>
      <c r="M325" s="123"/>
      <c r="N325" s="123"/>
      <c r="O325" s="123"/>
      <c r="P325" s="123"/>
      <c r="Q325" s="123"/>
      <c r="R325" s="123"/>
    </row>
    <row r="326" spans="1:18" x14ac:dyDescent="0.2">
      <c r="A326" s="12">
        <v>8</v>
      </c>
      <c r="B326" s="12" t="s">
        <v>338</v>
      </c>
      <c r="C326" s="12" t="s">
        <v>26</v>
      </c>
      <c r="D326" s="129">
        <v>10.1</v>
      </c>
      <c r="E326" s="12">
        <v>2005</v>
      </c>
      <c r="F326" s="123"/>
      <c r="G326" s="123">
        <v>0</v>
      </c>
      <c r="H326" s="123">
        <v>0</v>
      </c>
      <c r="I326" s="123">
        <v>0</v>
      </c>
      <c r="J326" s="123">
        <v>0</v>
      </c>
      <c r="K326" s="123">
        <v>0</v>
      </c>
      <c r="L326" s="123">
        <v>0</v>
      </c>
      <c r="M326" s="123"/>
      <c r="N326" s="123"/>
      <c r="O326" s="123"/>
      <c r="P326" s="123"/>
      <c r="Q326" s="123"/>
      <c r="R326" s="123"/>
    </row>
    <row r="327" spans="1:18" x14ac:dyDescent="0.2">
      <c r="A327" s="12">
        <v>8</v>
      </c>
      <c r="B327" s="12" t="s">
        <v>339</v>
      </c>
      <c r="C327" s="12" t="s">
        <v>26</v>
      </c>
      <c r="D327" s="129">
        <v>25.14</v>
      </c>
      <c r="E327" s="12">
        <v>2005</v>
      </c>
      <c r="F327" s="123"/>
      <c r="G327" s="123">
        <v>0</v>
      </c>
      <c r="H327" s="123">
        <v>0</v>
      </c>
      <c r="I327" s="123">
        <v>0</v>
      </c>
      <c r="J327" s="123">
        <v>0</v>
      </c>
      <c r="K327" s="123">
        <v>0</v>
      </c>
      <c r="L327" s="123">
        <v>0</v>
      </c>
      <c r="M327" s="123"/>
      <c r="N327" s="123"/>
      <c r="O327" s="123"/>
      <c r="P327" s="123"/>
      <c r="Q327" s="123"/>
      <c r="R327" s="123"/>
    </row>
    <row r="328" spans="1:18" x14ac:dyDescent="0.2">
      <c r="A328" s="12">
        <v>8</v>
      </c>
      <c r="B328" s="12" t="s">
        <v>340</v>
      </c>
      <c r="C328" s="12" t="s">
        <v>26</v>
      </c>
      <c r="D328" s="129">
        <v>26.78</v>
      </c>
      <c r="E328" s="12">
        <v>2002</v>
      </c>
      <c r="F328" s="123"/>
      <c r="G328" s="123">
        <v>0</v>
      </c>
      <c r="H328" s="123">
        <v>0</v>
      </c>
      <c r="I328" s="123">
        <v>0</v>
      </c>
      <c r="J328" s="123">
        <v>0</v>
      </c>
      <c r="K328" s="123">
        <v>0</v>
      </c>
      <c r="L328" s="123">
        <v>0</v>
      </c>
      <c r="M328" s="123"/>
      <c r="N328" s="123"/>
      <c r="O328" s="123"/>
      <c r="P328" s="123"/>
      <c r="Q328" s="123"/>
      <c r="R328" s="123"/>
    </row>
    <row r="329" spans="1:18" x14ac:dyDescent="0.2">
      <c r="A329" s="12">
        <v>8</v>
      </c>
      <c r="B329" s="12" t="s">
        <v>341</v>
      </c>
      <c r="C329" s="12" t="s">
        <v>26</v>
      </c>
      <c r="D329" s="129">
        <v>30.31</v>
      </c>
      <c r="E329" s="12">
        <v>1999</v>
      </c>
      <c r="F329" s="123"/>
      <c r="G329" s="123">
        <v>0</v>
      </c>
      <c r="H329" s="123">
        <v>0</v>
      </c>
      <c r="I329" s="123">
        <v>0</v>
      </c>
      <c r="J329" s="123">
        <v>0</v>
      </c>
      <c r="K329" s="123">
        <v>0</v>
      </c>
      <c r="L329" s="123">
        <v>0</v>
      </c>
      <c r="M329" s="123"/>
      <c r="N329" s="123"/>
      <c r="O329" s="123"/>
      <c r="P329" s="123"/>
      <c r="Q329" s="123"/>
      <c r="R329" s="123"/>
    </row>
    <row r="330" spans="1:18" x14ac:dyDescent="0.2">
      <c r="A330" s="12">
        <v>8</v>
      </c>
      <c r="B330" s="12" t="s">
        <v>342</v>
      </c>
      <c r="C330" s="12" t="s">
        <v>26</v>
      </c>
      <c r="D330" s="129">
        <v>31.41</v>
      </c>
      <c r="E330" s="12">
        <v>1999</v>
      </c>
      <c r="F330" s="123"/>
      <c r="G330" s="123">
        <v>0</v>
      </c>
      <c r="H330" s="123">
        <v>0</v>
      </c>
      <c r="I330" s="123">
        <v>0</v>
      </c>
      <c r="J330" s="123">
        <v>0</v>
      </c>
      <c r="K330" s="123">
        <v>0</v>
      </c>
      <c r="L330" s="123">
        <v>0</v>
      </c>
      <c r="M330" s="123"/>
      <c r="N330" s="123"/>
      <c r="O330" s="123"/>
      <c r="P330" s="123"/>
      <c r="Q330" s="123"/>
      <c r="R330" s="123"/>
    </row>
    <row r="331" spans="1:18" x14ac:dyDescent="0.2">
      <c r="A331" s="12">
        <v>8</v>
      </c>
      <c r="B331" s="12" t="s">
        <v>343</v>
      </c>
      <c r="C331" s="12" t="s">
        <v>26</v>
      </c>
      <c r="D331" s="129">
        <v>29.76</v>
      </c>
      <c r="E331" s="12">
        <v>1999</v>
      </c>
      <c r="F331" s="123"/>
      <c r="G331" s="123">
        <v>0</v>
      </c>
      <c r="H331" s="123">
        <v>0</v>
      </c>
      <c r="I331" s="123">
        <v>0</v>
      </c>
      <c r="J331" s="123">
        <v>0</v>
      </c>
      <c r="K331" s="123">
        <v>0</v>
      </c>
      <c r="L331" s="123">
        <v>0</v>
      </c>
      <c r="M331" s="123"/>
      <c r="N331" s="123"/>
      <c r="O331" s="123"/>
      <c r="P331" s="123"/>
      <c r="Q331" s="123"/>
      <c r="R331" s="123"/>
    </row>
    <row r="332" spans="1:18" x14ac:dyDescent="0.2">
      <c r="A332" s="12">
        <v>8</v>
      </c>
      <c r="B332" s="12" t="s">
        <v>344</v>
      </c>
      <c r="C332" s="12" t="s">
        <v>26</v>
      </c>
      <c r="D332" s="129">
        <v>30.4</v>
      </c>
      <c r="E332" s="12">
        <v>1999</v>
      </c>
      <c r="F332" s="123"/>
      <c r="G332" s="123">
        <v>0</v>
      </c>
      <c r="H332" s="123">
        <v>0</v>
      </c>
      <c r="I332" s="123">
        <v>0</v>
      </c>
      <c r="J332" s="123">
        <v>0</v>
      </c>
      <c r="K332" s="123">
        <v>0</v>
      </c>
      <c r="L332" s="123">
        <v>0</v>
      </c>
      <c r="M332" s="123"/>
      <c r="N332" s="123"/>
      <c r="O332" s="123"/>
      <c r="P332" s="123"/>
      <c r="Q332" s="123"/>
      <c r="R332" s="123"/>
    </row>
    <row r="333" spans="1:18" x14ac:dyDescent="0.2">
      <c r="A333" s="12">
        <v>8</v>
      </c>
      <c r="B333" s="12" t="s">
        <v>345</v>
      </c>
      <c r="C333" s="12" t="s">
        <v>26</v>
      </c>
      <c r="D333" s="129">
        <v>29.89</v>
      </c>
      <c r="E333" s="12">
        <v>2003</v>
      </c>
      <c r="F333" s="123"/>
      <c r="G333" s="123">
        <v>0</v>
      </c>
      <c r="H333" s="123">
        <v>0</v>
      </c>
      <c r="I333" s="123">
        <v>0</v>
      </c>
      <c r="J333" s="123">
        <v>0</v>
      </c>
      <c r="K333" s="123">
        <v>0</v>
      </c>
      <c r="L333" s="123">
        <v>0</v>
      </c>
      <c r="M333" s="123"/>
      <c r="N333" s="123"/>
      <c r="O333" s="123"/>
      <c r="P333" s="123"/>
      <c r="Q333" s="123"/>
      <c r="R333" s="123"/>
    </row>
    <row r="334" spans="1:18" x14ac:dyDescent="0.2">
      <c r="A334" s="12">
        <v>8</v>
      </c>
      <c r="B334" s="12" t="s">
        <v>346</v>
      </c>
      <c r="C334" s="12" t="s">
        <v>26</v>
      </c>
      <c r="D334" s="129">
        <v>29.84</v>
      </c>
      <c r="E334" s="12">
        <v>1998</v>
      </c>
      <c r="F334" s="123"/>
      <c r="G334" s="123">
        <v>0</v>
      </c>
      <c r="H334" s="123">
        <v>0</v>
      </c>
      <c r="I334" s="123">
        <v>0</v>
      </c>
      <c r="J334" s="123">
        <v>0</v>
      </c>
      <c r="K334" s="123">
        <v>0</v>
      </c>
      <c r="L334" s="123">
        <v>0</v>
      </c>
      <c r="M334" s="123"/>
      <c r="N334" s="123"/>
      <c r="O334" s="123"/>
      <c r="P334" s="123"/>
      <c r="Q334" s="123"/>
      <c r="R334" s="123"/>
    </row>
    <row r="335" spans="1:18" x14ac:dyDescent="0.2">
      <c r="A335" s="12">
        <v>8</v>
      </c>
      <c r="B335" s="12" t="s">
        <v>347</v>
      </c>
      <c r="C335" s="12" t="s">
        <v>26</v>
      </c>
      <c r="D335" s="129">
        <v>28.41</v>
      </c>
      <c r="E335" s="12">
        <v>1998</v>
      </c>
      <c r="F335" s="123"/>
      <c r="G335" s="123">
        <v>0</v>
      </c>
      <c r="H335" s="123">
        <v>0</v>
      </c>
      <c r="I335" s="123">
        <v>0</v>
      </c>
      <c r="J335" s="123">
        <v>0</v>
      </c>
      <c r="K335" s="123">
        <v>0</v>
      </c>
      <c r="L335" s="123">
        <v>0</v>
      </c>
      <c r="M335" s="123"/>
      <c r="N335" s="123"/>
      <c r="O335" s="123"/>
      <c r="P335" s="123"/>
      <c r="Q335" s="123"/>
      <c r="R335" s="123"/>
    </row>
    <row r="336" spans="1:18" x14ac:dyDescent="0.2">
      <c r="A336" s="12">
        <v>8</v>
      </c>
      <c r="B336" s="12" t="s">
        <v>348</v>
      </c>
      <c r="C336" s="12" t="s">
        <v>26</v>
      </c>
      <c r="D336" s="129">
        <v>27.74</v>
      </c>
      <c r="E336" s="12">
        <v>1998</v>
      </c>
      <c r="F336" s="123"/>
      <c r="G336" s="123">
        <v>0</v>
      </c>
      <c r="H336" s="123">
        <v>0</v>
      </c>
      <c r="I336" s="123">
        <v>0</v>
      </c>
      <c r="J336" s="123">
        <v>0</v>
      </c>
      <c r="K336" s="123">
        <v>0</v>
      </c>
      <c r="L336" s="123">
        <v>0</v>
      </c>
      <c r="M336" s="123"/>
      <c r="N336" s="123"/>
      <c r="O336" s="123"/>
      <c r="P336" s="123"/>
      <c r="Q336" s="123"/>
      <c r="R336" s="123"/>
    </row>
    <row r="337" spans="1:18" x14ac:dyDescent="0.2">
      <c r="A337" s="12">
        <v>8</v>
      </c>
      <c r="B337" s="12" t="s">
        <v>349</v>
      </c>
      <c r="C337" s="12" t="s">
        <v>26</v>
      </c>
      <c r="D337" s="129">
        <v>28.21</v>
      </c>
      <c r="E337" s="12">
        <v>2005</v>
      </c>
      <c r="F337" s="123"/>
      <c r="G337" s="123">
        <v>0</v>
      </c>
      <c r="H337" s="123">
        <v>0</v>
      </c>
      <c r="I337" s="123">
        <v>0</v>
      </c>
      <c r="J337" s="123">
        <v>0</v>
      </c>
      <c r="K337" s="123">
        <v>0</v>
      </c>
      <c r="L337" s="123">
        <v>0</v>
      </c>
      <c r="M337" s="123"/>
      <c r="N337" s="123"/>
      <c r="O337" s="123"/>
      <c r="P337" s="123"/>
      <c r="Q337" s="123"/>
      <c r="R337" s="123"/>
    </row>
    <row r="338" spans="1:18" x14ac:dyDescent="0.2">
      <c r="A338" s="12">
        <v>8</v>
      </c>
      <c r="B338" s="12" t="s">
        <v>350</v>
      </c>
      <c r="C338" s="12" t="s">
        <v>26</v>
      </c>
      <c r="D338" s="129">
        <v>28.32</v>
      </c>
      <c r="E338" s="12">
        <v>2004</v>
      </c>
      <c r="F338" s="123"/>
      <c r="G338" s="123">
        <v>0</v>
      </c>
      <c r="H338" s="123">
        <v>0</v>
      </c>
      <c r="I338" s="123">
        <v>0</v>
      </c>
      <c r="J338" s="123">
        <v>0</v>
      </c>
      <c r="K338" s="123">
        <v>0</v>
      </c>
      <c r="L338" s="123">
        <v>0</v>
      </c>
      <c r="M338" s="123"/>
      <c r="N338" s="123"/>
      <c r="O338" s="123"/>
      <c r="P338" s="123"/>
      <c r="Q338" s="123"/>
      <c r="R338" s="123"/>
    </row>
    <row r="339" spans="1:18" x14ac:dyDescent="0.2">
      <c r="A339" s="12">
        <v>8</v>
      </c>
      <c r="B339" s="12" t="s">
        <v>351</v>
      </c>
      <c r="C339" s="12" t="s">
        <v>26</v>
      </c>
      <c r="D339" s="129">
        <v>28.17</v>
      </c>
      <c r="E339" s="12">
        <v>1998</v>
      </c>
      <c r="F339" s="123"/>
      <c r="G339" s="123">
        <v>0</v>
      </c>
      <c r="H339" s="123">
        <v>0</v>
      </c>
      <c r="I339" s="123">
        <v>0</v>
      </c>
      <c r="J339" s="123">
        <v>0</v>
      </c>
      <c r="K339" s="123">
        <v>0</v>
      </c>
      <c r="L339" s="123">
        <v>0</v>
      </c>
      <c r="M339" s="123"/>
      <c r="N339" s="123"/>
      <c r="O339" s="123"/>
      <c r="P339" s="123"/>
      <c r="Q339" s="123"/>
      <c r="R339" s="123"/>
    </row>
    <row r="340" spans="1:18" x14ac:dyDescent="0.2">
      <c r="A340" s="12">
        <v>8</v>
      </c>
      <c r="B340" s="12" t="s">
        <v>352</v>
      </c>
      <c r="C340" s="12" t="s">
        <v>26</v>
      </c>
      <c r="D340" s="129">
        <v>30.42</v>
      </c>
      <c r="E340" s="12">
        <v>1998</v>
      </c>
      <c r="F340" s="123"/>
      <c r="G340" s="123">
        <v>0</v>
      </c>
      <c r="H340" s="123">
        <v>0</v>
      </c>
      <c r="I340" s="123">
        <v>0</v>
      </c>
      <c r="J340" s="123">
        <v>0</v>
      </c>
      <c r="K340" s="123">
        <v>0</v>
      </c>
      <c r="L340" s="123">
        <v>0</v>
      </c>
      <c r="M340" s="123"/>
      <c r="N340" s="123"/>
      <c r="O340" s="123"/>
      <c r="P340" s="123"/>
      <c r="Q340" s="123"/>
      <c r="R340" s="123"/>
    </row>
    <row r="341" spans="1:18" x14ac:dyDescent="0.2">
      <c r="A341" s="12">
        <v>8</v>
      </c>
      <c r="B341" s="12" t="s">
        <v>353</v>
      </c>
      <c r="C341" s="12" t="s">
        <v>26</v>
      </c>
      <c r="D341" s="129">
        <v>30.82</v>
      </c>
      <c r="E341" s="12">
        <v>1998</v>
      </c>
      <c r="F341" s="123"/>
      <c r="G341" s="123">
        <v>0</v>
      </c>
      <c r="H341" s="123">
        <v>0</v>
      </c>
      <c r="I341" s="123">
        <v>0</v>
      </c>
      <c r="J341" s="123">
        <v>0</v>
      </c>
      <c r="K341" s="123">
        <v>0</v>
      </c>
      <c r="L341" s="123">
        <v>0</v>
      </c>
      <c r="M341" s="123"/>
      <c r="N341" s="123"/>
      <c r="O341" s="123"/>
      <c r="P341" s="123"/>
      <c r="Q341" s="123"/>
      <c r="R341" s="123"/>
    </row>
    <row r="342" spans="1:18" x14ac:dyDescent="0.2">
      <c r="A342" s="12">
        <v>8</v>
      </c>
      <c r="B342" s="12" t="s">
        <v>354</v>
      </c>
      <c r="C342" s="12" t="s">
        <v>26</v>
      </c>
      <c r="D342" s="129">
        <v>28.93</v>
      </c>
      <c r="E342" s="12">
        <v>1998</v>
      </c>
      <c r="F342" s="123"/>
      <c r="G342" s="123">
        <v>0</v>
      </c>
      <c r="H342" s="123">
        <v>0</v>
      </c>
      <c r="I342" s="123">
        <v>0</v>
      </c>
      <c r="J342" s="123">
        <v>0</v>
      </c>
      <c r="K342" s="123">
        <v>0</v>
      </c>
      <c r="L342" s="123">
        <v>0</v>
      </c>
      <c r="M342" s="123"/>
      <c r="N342" s="123"/>
      <c r="O342" s="123"/>
      <c r="P342" s="123"/>
      <c r="Q342" s="123"/>
      <c r="R342" s="123"/>
    </row>
    <row r="343" spans="1:18" x14ac:dyDescent="0.2">
      <c r="A343" s="12">
        <v>8</v>
      </c>
      <c r="B343" s="12" t="s">
        <v>355</v>
      </c>
      <c r="C343" s="12" t="s">
        <v>26</v>
      </c>
      <c r="D343" s="129">
        <v>28.65</v>
      </c>
      <c r="E343" s="12">
        <v>1998</v>
      </c>
      <c r="F343" s="123"/>
      <c r="G343" s="123">
        <v>0</v>
      </c>
      <c r="H343" s="123">
        <v>0</v>
      </c>
      <c r="I343" s="123">
        <v>0</v>
      </c>
      <c r="J343" s="123">
        <v>0</v>
      </c>
      <c r="K343" s="123">
        <v>0</v>
      </c>
      <c r="L343" s="123">
        <v>0</v>
      </c>
      <c r="M343" s="123"/>
      <c r="N343" s="123"/>
      <c r="O343" s="123"/>
      <c r="P343" s="123"/>
      <c r="Q343" s="123"/>
      <c r="R343" s="123"/>
    </row>
    <row r="344" spans="1:18" x14ac:dyDescent="0.2">
      <c r="A344" s="12">
        <v>8</v>
      </c>
      <c r="B344" s="12" t="s">
        <v>356</v>
      </c>
      <c r="C344" s="12" t="s">
        <v>26</v>
      </c>
      <c r="D344" s="129">
        <v>28.6</v>
      </c>
      <c r="E344" s="12">
        <v>1998</v>
      </c>
      <c r="F344" s="123"/>
      <c r="G344" s="123">
        <v>0</v>
      </c>
      <c r="H344" s="123">
        <v>0</v>
      </c>
      <c r="I344" s="123">
        <v>0</v>
      </c>
      <c r="J344" s="123">
        <v>0</v>
      </c>
      <c r="K344" s="123">
        <v>0</v>
      </c>
      <c r="L344" s="123">
        <v>0</v>
      </c>
      <c r="M344" s="123"/>
      <c r="N344" s="123"/>
      <c r="O344" s="123"/>
      <c r="P344" s="123"/>
      <c r="Q344" s="123"/>
      <c r="R344" s="123"/>
    </row>
    <row r="345" spans="1:18" x14ac:dyDescent="0.2">
      <c r="A345" s="313" t="s">
        <v>71</v>
      </c>
      <c r="B345" s="314"/>
      <c r="C345" s="315"/>
      <c r="D345" s="150">
        <f>SUM(D305:D344)</f>
        <v>1129.05</v>
      </c>
      <c r="E345" s="125"/>
      <c r="F345" s="126"/>
      <c r="G345" s="123"/>
      <c r="H345" s="126"/>
      <c r="I345" s="126"/>
      <c r="J345" s="126"/>
      <c r="K345" s="126"/>
      <c r="L345" s="123"/>
      <c r="M345" s="126"/>
      <c r="N345" s="126"/>
      <c r="O345" s="126"/>
      <c r="P345" s="126"/>
      <c r="Q345" s="126"/>
      <c r="R345" s="126"/>
    </row>
    <row r="346" spans="1:18" x14ac:dyDescent="0.2">
      <c r="A346" s="12">
        <v>9</v>
      </c>
      <c r="B346" s="12" t="s">
        <v>357</v>
      </c>
      <c r="C346" s="12" t="s">
        <v>26</v>
      </c>
      <c r="D346" s="129">
        <v>29.05</v>
      </c>
      <c r="E346" s="12">
        <v>1998</v>
      </c>
      <c r="F346" s="123"/>
      <c r="G346" s="123">
        <v>0</v>
      </c>
      <c r="H346" s="123">
        <v>0</v>
      </c>
      <c r="I346" s="123">
        <v>0</v>
      </c>
      <c r="J346" s="123">
        <v>0</v>
      </c>
      <c r="K346" s="123">
        <v>0</v>
      </c>
      <c r="L346" s="123">
        <v>0</v>
      </c>
      <c r="M346" s="123"/>
      <c r="N346" s="123"/>
      <c r="O346" s="123"/>
      <c r="P346" s="123"/>
      <c r="Q346" s="123"/>
      <c r="R346" s="123"/>
    </row>
    <row r="347" spans="1:18" x14ac:dyDescent="0.2">
      <c r="A347" s="12">
        <v>9</v>
      </c>
      <c r="B347" s="12" t="s">
        <v>358</v>
      </c>
      <c r="C347" s="12" t="s">
        <v>26</v>
      </c>
      <c r="D347" s="129">
        <v>28.92</v>
      </c>
      <c r="E347" s="12">
        <v>1998</v>
      </c>
      <c r="F347" s="123"/>
      <c r="G347" s="123">
        <v>0</v>
      </c>
      <c r="H347" s="123">
        <v>0</v>
      </c>
      <c r="I347" s="123">
        <v>0</v>
      </c>
      <c r="J347" s="123">
        <v>0</v>
      </c>
      <c r="K347" s="123">
        <v>0</v>
      </c>
      <c r="L347" s="123">
        <v>0</v>
      </c>
      <c r="M347" s="123"/>
      <c r="N347" s="123"/>
      <c r="O347" s="123"/>
      <c r="P347" s="123"/>
      <c r="Q347" s="123"/>
      <c r="R347" s="123"/>
    </row>
    <row r="348" spans="1:18" x14ac:dyDescent="0.2">
      <c r="A348" s="12">
        <v>9</v>
      </c>
      <c r="B348" s="12" t="s">
        <v>359</v>
      </c>
      <c r="C348" s="12" t="s">
        <v>26</v>
      </c>
      <c r="D348" s="129">
        <v>27.74</v>
      </c>
      <c r="E348" s="12">
        <v>1998</v>
      </c>
      <c r="F348" s="123"/>
      <c r="G348" s="123">
        <v>0</v>
      </c>
      <c r="H348" s="123">
        <v>0</v>
      </c>
      <c r="I348" s="123">
        <v>0</v>
      </c>
      <c r="J348" s="123">
        <v>0</v>
      </c>
      <c r="K348" s="123">
        <v>0</v>
      </c>
      <c r="L348" s="123">
        <v>0</v>
      </c>
      <c r="M348" s="123"/>
      <c r="N348" s="123"/>
      <c r="O348" s="123"/>
      <c r="P348" s="123"/>
      <c r="Q348" s="123"/>
      <c r="R348" s="123"/>
    </row>
    <row r="349" spans="1:18" x14ac:dyDescent="0.2">
      <c r="A349" s="12">
        <v>9</v>
      </c>
      <c r="B349" s="12" t="s">
        <v>360</v>
      </c>
      <c r="C349" s="12" t="s">
        <v>26</v>
      </c>
      <c r="D349" s="129">
        <v>29.7</v>
      </c>
      <c r="E349" s="12">
        <v>1998</v>
      </c>
      <c r="F349" s="123"/>
      <c r="G349" s="123">
        <v>0</v>
      </c>
      <c r="H349" s="123">
        <v>0</v>
      </c>
      <c r="I349" s="123">
        <v>0</v>
      </c>
      <c r="J349" s="123">
        <v>0</v>
      </c>
      <c r="K349" s="123">
        <v>0</v>
      </c>
      <c r="L349" s="123">
        <v>0</v>
      </c>
      <c r="M349" s="123"/>
      <c r="N349" s="123"/>
      <c r="O349" s="123"/>
      <c r="P349" s="123"/>
      <c r="Q349" s="123"/>
      <c r="R349" s="123"/>
    </row>
    <row r="350" spans="1:18" x14ac:dyDescent="0.2">
      <c r="A350" s="12">
        <v>9</v>
      </c>
      <c r="B350" s="12" t="s">
        <v>361</v>
      </c>
      <c r="C350" s="12" t="s">
        <v>26</v>
      </c>
      <c r="D350" s="129">
        <v>29.57</v>
      </c>
      <c r="E350" s="12">
        <v>1998</v>
      </c>
      <c r="F350" s="123"/>
      <c r="G350" s="123">
        <v>0</v>
      </c>
      <c r="H350" s="123">
        <v>0</v>
      </c>
      <c r="I350" s="123">
        <v>0</v>
      </c>
      <c r="J350" s="123">
        <v>0</v>
      </c>
      <c r="K350" s="123">
        <v>0</v>
      </c>
      <c r="L350" s="123">
        <v>0</v>
      </c>
      <c r="M350" s="123"/>
      <c r="N350" s="123"/>
      <c r="O350" s="123"/>
      <c r="P350" s="123"/>
      <c r="Q350" s="123"/>
      <c r="R350" s="123"/>
    </row>
    <row r="351" spans="1:18" x14ac:dyDescent="0.2">
      <c r="A351" s="12">
        <v>9</v>
      </c>
      <c r="B351" s="12" t="s">
        <v>362</v>
      </c>
      <c r="C351" s="12" t="s">
        <v>26</v>
      </c>
      <c r="D351" s="129">
        <v>39.89</v>
      </c>
      <c r="E351" s="12">
        <v>1998</v>
      </c>
      <c r="F351" s="123"/>
      <c r="G351" s="123">
        <v>0</v>
      </c>
      <c r="H351" s="123">
        <v>0</v>
      </c>
      <c r="I351" s="123">
        <v>0</v>
      </c>
      <c r="J351" s="123">
        <v>0</v>
      </c>
      <c r="K351" s="123">
        <v>0</v>
      </c>
      <c r="L351" s="123">
        <v>0</v>
      </c>
      <c r="M351" s="123"/>
      <c r="N351" s="123"/>
      <c r="O351" s="123"/>
      <c r="P351" s="123"/>
      <c r="Q351" s="123"/>
      <c r="R351" s="123"/>
    </row>
    <row r="352" spans="1:18" x14ac:dyDescent="0.2">
      <c r="A352" s="12">
        <v>9</v>
      </c>
      <c r="B352" s="12" t="s">
        <v>363</v>
      </c>
      <c r="C352" s="12" t="s">
        <v>26</v>
      </c>
      <c r="D352" s="129">
        <v>27.1</v>
      </c>
      <c r="E352" s="12">
        <v>1998</v>
      </c>
      <c r="F352" s="123"/>
      <c r="G352" s="123">
        <v>0</v>
      </c>
      <c r="H352" s="123">
        <v>0</v>
      </c>
      <c r="I352" s="123">
        <v>0</v>
      </c>
      <c r="J352" s="123">
        <v>0</v>
      </c>
      <c r="K352" s="123">
        <v>0</v>
      </c>
      <c r="L352" s="123">
        <v>0</v>
      </c>
      <c r="M352" s="123"/>
      <c r="N352" s="123"/>
      <c r="O352" s="123"/>
      <c r="P352" s="123"/>
      <c r="Q352" s="123"/>
      <c r="R352" s="123"/>
    </row>
    <row r="353" spans="1:18" x14ac:dyDescent="0.2">
      <c r="A353" s="12">
        <v>9</v>
      </c>
      <c r="B353" s="12" t="s">
        <v>364</v>
      </c>
      <c r="C353" s="12" t="s">
        <v>26</v>
      </c>
      <c r="D353" s="129">
        <v>25.07</v>
      </c>
      <c r="E353" s="12">
        <v>1998</v>
      </c>
      <c r="F353" s="123"/>
      <c r="G353" s="123">
        <v>0</v>
      </c>
      <c r="H353" s="123">
        <v>0</v>
      </c>
      <c r="I353" s="123">
        <v>0</v>
      </c>
      <c r="J353" s="123">
        <v>0</v>
      </c>
      <c r="K353" s="123">
        <v>0</v>
      </c>
      <c r="L353" s="123">
        <v>0</v>
      </c>
      <c r="M353" s="123"/>
      <c r="N353" s="123"/>
      <c r="O353" s="123"/>
      <c r="P353" s="123"/>
      <c r="Q353" s="123"/>
      <c r="R353" s="123"/>
    </row>
    <row r="354" spans="1:18" x14ac:dyDescent="0.2">
      <c r="A354" s="12">
        <v>9</v>
      </c>
      <c r="B354" s="12" t="s">
        <v>365</v>
      </c>
      <c r="C354" s="12" t="s">
        <v>26</v>
      </c>
      <c r="D354" s="129">
        <v>29.76</v>
      </c>
      <c r="E354" s="12">
        <v>1998</v>
      </c>
      <c r="F354" s="123"/>
      <c r="G354" s="123">
        <v>0</v>
      </c>
      <c r="H354" s="123">
        <v>0</v>
      </c>
      <c r="I354" s="123">
        <v>0</v>
      </c>
      <c r="J354" s="123">
        <v>0</v>
      </c>
      <c r="K354" s="123">
        <v>0</v>
      </c>
      <c r="L354" s="123">
        <v>0</v>
      </c>
      <c r="M354" s="123"/>
      <c r="N354" s="123"/>
      <c r="O354" s="123"/>
      <c r="P354" s="123"/>
      <c r="Q354" s="123"/>
      <c r="R354" s="123"/>
    </row>
    <row r="355" spans="1:18" x14ac:dyDescent="0.2">
      <c r="A355" s="12">
        <v>9</v>
      </c>
      <c r="B355" s="12" t="s">
        <v>366</v>
      </c>
      <c r="C355" s="12" t="s">
        <v>26</v>
      </c>
      <c r="D355" s="129">
        <v>27.96</v>
      </c>
      <c r="E355" s="12">
        <v>1998</v>
      </c>
      <c r="F355" s="123"/>
      <c r="G355" s="123">
        <v>0</v>
      </c>
      <c r="H355" s="123">
        <v>0</v>
      </c>
      <c r="I355" s="123">
        <v>0</v>
      </c>
      <c r="J355" s="123">
        <v>0</v>
      </c>
      <c r="K355" s="123">
        <v>0</v>
      </c>
      <c r="L355" s="123">
        <v>0</v>
      </c>
      <c r="M355" s="123"/>
      <c r="N355" s="123"/>
      <c r="O355" s="123"/>
      <c r="P355" s="123"/>
      <c r="Q355" s="123"/>
      <c r="R355" s="123"/>
    </row>
    <row r="356" spans="1:18" x14ac:dyDescent="0.2">
      <c r="A356" s="12">
        <v>9</v>
      </c>
      <c r="B356" s="12" t="s">
        <v>367</v>
      </c>
      <c r="C356" s="12" t="s">
        <v>26</v>
      </c>
      <c r="D356" s="129">
        <v>29.59</v>
      </c>
      <c r="E356" s="12">
        <v>1998</v>
      </c>
      <c r="F356" s="123"/>
      <c r="G356" s="123">
        <v>0</v>
      </c>
      <c r="H356" s="123">
        <v>0</v>
      </c>
      <c r="I356" s="123">
        <v>0</v>
      </c>
      <c r="J356" s="123">
        <v>0</v>
      </c>
      <c r="K356" s="123">
        <v>0</v>
      </c>
      <c r="L356" s="123">
        <v>0</v>
      </c>
      <c r="M356" s="123"/>
      <c r="N356" s="123"/>
      <c r="O356" s="123"/>
      <c r="P356" s="123"/>
      <c r="Q356" s="123"/>
      <c r="R356" s="123"/>
    </row>
    <row r="357" spans="1:18" x14ac:dyDescent="0.2">
      <c r="A357" s="12">
        <v>9</v>
      </c>
      <c r="B357" s="12" t="s">
        <v>368</v>
      </c>
      <c r="C357" s="12" t="s">
        <v>26</v>
      </c>
      <c r="D357" s="129">
        <v>29.85</v>
      </c>
      <c r="E357" s="12">
        <v>1998</v>
      </c>
      <c r="F357" s="123"/>
      <c r="G357" s="123">
        <v>0</v>
      </c>
      <c r="H357" s="123">
        <v>0</v>
      </c>
      <c r="I357" s="123">
        <v>0</v>
      </c>
      <c r="J357" s="123">
        <v>0</v>
      </c>
      <c r="K357" s="123">
        <v>0</v>
      </c>
      <c r="L357" s="123">
        <v>0</v>
      </c>
      <c r="M357" s="123"/>
      <c r="N357" s="123"/>
      <c r="O357" s="123"/>
      <c r="P357" s="123"/>
      <c r="Q357" s="123"/>
      <c r="R357" s="123"/>
    </row>
    <row r="358" spans="1:18" x14ac:dyDescent="0.2">
      <c r="A358" s="12">
        <v>9</v>
      </c>
      <c r="B358" s="12" t="s">
        <v>369</v>
      </c>
      <c r="C358" s="12" t="s">
        <v>26</v>
      </c>
      <c r="D358" s="129">
        <v>28.25</v>
      </c>
      <c r="E358" s="12">
        <v>2004</v>
      </c>
      <c r="F358" s="123"/>
      <c r="G358" s="123">
        <v>0</v>
      </c>
      <c r="H358" s="123">
        <v>0</v>
      </c>
      <c r="I358" s="123">
        <v>0</v>
      </c>
      <c r="J358" s="123">
        <v>0</v>
      </c>
      <c r="K358" s="123">
        <v>0</v>
      </c>
      <c r="L358" s="123">
        <v>0</v>
      </c>
      <c r="M358" s="123"/>
      <c r="N358" s="123"/>
      <c r="O358" s="123"/>
      <c r="P358" s="123"/>
      <c r="Q358" s="123"/>
      <c r="R358" s="123"/>
    </row>
    <row r="359" spans="1:18" x14ac:dyDescent="0.2">
      <c r="A359" s="12">
        <v>9</v>
      </c>
      <c r="B359" s="12" t="s">
        <v>370</v>
      </c>
      <c r="C359" s="12" t="s">
        <v>26</v>
      </c>
      <c r="D359" s="129">
        <v>29.66</v>
      </c>
      <c r="E359" s="12">
        <v>2003</v>
      </c>
      <c r="F359" s="123"/>
      <c r="G359" s="123">
        <v>0</v>
      </c>
      <c r="H359" s="123">
        <v>0</v>
      </c>
      <c r="I359" s="123">
        <v>0</v>
      </c>
      <c r="J359" s="123">
        <v>0</v>
      </c>
      <c r="K359" s="123">
        <v>0</v>
      </c>
      <c r="L359" s="123">
        <v>0</v>
      </c>
      <c r="M359" s="123"/>
      <c r="N359" s="123"/>
      <c r="O359" s="123"/>
      <c r="P359" s="123"/>
      <c r="Q359" s="123"/>
      <c r="R359" s="123"/>
    </row>
    <row r="360" spans="1:18" x14ac:dyDescent="0.2">
      <c r="A360" s="12">
        <v>9</v>
      </c>
      <c r="B360" s="12" t="s">
        <v>371</v>
      </c>
      <c r="C360" s="12" t="s">
        <v>26</v>
      </c>
      <c r="D360" s="129">
        <v>30.05</v>
      </c>
      <c r="E360" s="12">
        <v>2003</v>
      </c>
      <c r="F360" s="123"/>
      <c r="G360" s="123">
        <v>0</v>
      </c>
      <c r="H360" s="123">
        <v>0</v>
      </c>
      <c r="I360" s="123">
        <v>0</v>
      </c>
      <c r="J360" s="123">
        <v>0</v>
      </c>
      <c r="K360" s="123">
        <v>0</v>
      </c>
      <c r="L360" s="123">
        <v>0</v>
      </c>
      <c r="M360" s="123"/>
      <c r="N360" s="123"/>
      <c r="O360" s="123"/>
      <c r="P360" s="123"/>
      <c r="Q360" s="123"/>
      <c r="R360" s="123"/>
    </row>
    <row r="361" spans="1:18" x14ac:dyDescent="0.2">
      <c r="A361" s="12">
        <v>9</v>
      </c>
      <c r="B361" s="12" t="s">
        <v>372</v>
      </c>
      <c r="C361" s="12" t="s">
        <v>26</v>
      </c>
      <c r="D361" s="129">
        <v>40.229999999999997</v>
      </c>
      <c r="E361" s="12">
        <v>2003</v>
      </c>
      <c r="F361" s="123"/>
      <c r="G361" s="123">
        <v>0</v>
      </c>
      <c r="H361" s="123">
        <v>0</v>
      </c>
      <c r="I361" s="123">
        <v>0</v>
      </c>
      <c r="J361" s="123">
        <v>0</v>
      </c>
      <c r="K361" s="123">
        <v>0</v>
      </c>
      <c r="L361" s="123">
        <v>0</v>
      </c>
      <c r="M361" s="123"/>
      <c r="N361" s="123"/>
      <c r="O361" s="123"/>
      <c r="P361" s="123"/>
      <c r="Q361" s="123"/>
      <c r="R361" s="123"/>
    </row>
    <row r="362" spans="1:18" x14ac:dyDescent="0.2">
      <c r="A362" s="12">
        <v>9</v>
      </c>
      <c r="B362" s="12" t="s">
        <v>373</v>
      </c>
      <c r="C362" s="12" t="s">
        <v>26</v>
      </c>
      <c r="D362" s="129">
        <v>24.85</v>
      </c>
      <c r="E362" s="12">
        <v>2003</v>
      </c>
      <c r="F362" s="123"/>
      <c r="G362" s="123">
        <v>0</v>
      </c>
      <c r="H362" s="123">
        <v>0</v>
      </c>
      <c r="I362" s="123">
        <v>0</v>
      </c>
      <c r="J362" s="123">
        <v>0</v>
      </c>
      <c r="K362" s="123">
        <v>0</v>
      </c>
      <c r="L362" s="123">
        <v>0</v>
      </c>
      <c r="M362" s="123"/>
      <c r="N362" s="123"/>
      <c r="O362" s="123"/>
      <c r="P362" s="123"/>
      <c r="Q362" s="123"/>
      <c r="R362" s="123"/>
    </row>
    <row r="363" spans="1:18" x14ac:dyDescent="0.2">
      <c r="A363" s="12">
        <v>9</v>
      </c>
      <c r="B363" s="12" t="s">
        <v>374</v>
      </c>
      <c r="C363" s="12" t="s">
        <v>26</v>
      </c>
      <c r="D363" s="129">
        <v>15.16</v>
      </c>
      <c r="E363" s="12">
        <v>2003</v>
      </c>
      <c r="F363" s="123"/>
      <c r="G363" s="123">
        <v>0</v>
      </c>
      <c r="H363" s="123">
        <v>0</v>
      </c>
      <c r="I363" s="123">
        <v>0</v>
      </c>
      <c r="J363" s="123">
        <v>0</v>
      </c>
      <c r="K363" s="123">
        <v>0</v>
      </c>
      <c r="L363" s="123">
        <v>0</v>
      </c>
      <c r="M363" s="123"/>
      <c r="N363" s="123"/>
      <c r="O363" s="123"/>
      <c r="P363" s="123"/>
      <c r="Q363" s="123"/>
      <c r="R363" s="123"/>
    </row>
    <row r="364" spans="1:18" x14ac:dyDescent="0.2">
      <c r="A364" s="12">
        <v>9</v>
      </c>
      <c r="B364" s="12" t="s">
        <v>375</v>
      </c>
      <c r="C364" s="12" t="s">
        <v>26</v>
      </c>
      <c r="D364" s="129">
        <v>6.11</v>
      </c>
      <c r="E364" s="12">
        <v>2003</v>
      </c>
      <c r="F364" s="123"/>
      <c r="G364" s="123">
        <v>0</v>
      </c>
      <c r="H364" s="123">
        <v>0</v>
      </c>
      <c r="I364" s="123">
        <v>0</v>
      </c>
      <c r="J364" s="123">
        <v>0</v>
      </c>
      <c r="K364" s="123">
        <v>0</v>
      </c>
      <c r="L364" s="123">
        <v>0</v>
      </c>
      <c r="M364" s="123"/>
      <c r="N364" s="123"/>
      <c r="O364" s="123"/>
      <c r="P364" s="123"/>
      <c r="Q364" s="123"/>
      <c r="R364" s="123"/>
    </row>
    <row r="365" spans="1:18" x14ac:dyDescent="0.2">
      <c r="A365" s="12">
        <v>9</v>
      </c>
      <c r="B365" s="12" t="s">
        <v>376</v>
      </c>
      <c r="C365" s="12" t="s">
        <v>26</v>
      </c>
      <c r="D365" s="129">
        <v>30.32</v>
      </c>
      <c r="E365" s="12">
        <v>1998</v>
      </c>
      <c r="F365" s="123"/>
      <c r="G365" s="123">
        <v>0</v>
      </c>
      <c r="H365" s="123">
        <v>0</v>
      </c>
      <c r="I365" s="123">
        <v>0</v>
      </c>
      <c r="J365" s="123">
        <v>0</v>
      </c>
      <c r="K365" s="123">
        <v>0</v>
      </c>
      <c r="L365" s="123">
        <v>0</v>
      </c>
      <c r="M365" s="123"/>
      <c r="N365" s="123"/>
      <c r="O365" s="123"/>
      <c r="P365" s="123"/>
      <c r="Q365" s="123"/>
      <c r="R365" s="123"/>
    </row>
    <row r="366" spans="1:18" x14ac:dyDescent="0.2">
      <c r="A366" s="12">
        <v>9</v>
      </c>
      <c r="B366" s="12" t="s">
        <v>377</v>
      </c>
      <c r="C366" s="12" t="s">
        <v>26</v>
      </c>
      <c r="D366" s="129">
        <v>28.32</v>
      </c>
      <c r="E366" s="12">
        <v>1998</v>
      </c>
      <c r="F366" s="123"/>
      <c r="G366" s="123">
        <v>0</v>
      </c>
      <c r="H366" s="123">
        <v>0</v>
      </c>
      <c r="I366" s="123">
        <v>0</v>
      </c>
      <c r="J366" s="123">
        <v>0</v>
      </c>
      <c r="K366" s="123">
        <v>0</v>
      </c>
      <c r="L366" s="123">
        <v>0</v>
      </c>
      <c r="M366" s="123"/>
      <c r="N366" s="123"/>
      <c r="O366" s="123"/>
      <c r="P366" s="123"/>
      <c r="Q366" s="123"/>
      <c r="R366" s="123"/>
    </row>
    <row r="367" spans="1:18" x14ac:dyDescent="0.2">
      <c r="A367" s="12">
        <v>9</v>
      </c>
      <c r="B367" s="12" t="s">
        <v>378</v>
      </c>
      <c r="C367" s="12" t="s">
        <v>26</v>
      </c>
      <c r="D367" s="129">
        <v>30.13</v>
      </c>
      <c r="E367" s="12">
        <v>1997</v>
      </c>
      <c r="F367" s="123"/>
      <c r="G367" s="123">
        <v>0</v>
      </c>
      <c r="H367" s="123">
        <v>0</v>
      </c>
      <c r="I367" s="123">
        <v>0</v>
      </c>
      <c r="J367" s="123">
        <v>0</v>
      </c>
      <c r="K367" s="123">
        <v>0</v>
      </c>
      <c r="L367" s="123">
        <v>0</v>
      </c>
      <c r="M367" s="123"/>
      <c r="N367" s="123"/>
      <c r="O367" s="123"/>
      <c r="P367" s="123"/>
      <c r="Q367" s="123"/>
      <c r="R367" s="123"/>
    </row>
    <row r="368" spans="1:18" x14ac:dyDescent="0.2">
      <c r="A368" s="12">
        <v>9</v>
      </c>
      <c r="B368" s="12" t="s">
        <v>379</v>
      </c>
      <c r="C368" s="12" t="s">
        <v>26</v>
      </c>
      <c r="D368" s="129">
        <v>30.48</v>
      </c>
      <c r="E368" s="12">
        <v>1997</v>
      </c>
      <c r="F368" s="123"/>
      <c r="G368" s="123">
        <v>0</v>
      </c>
      <c r="H368" s="123">
        <v>0</v>
      </c>
      <c r="I368" s="123">
        <v>0</v>
      </c>
      <c r="J368" s="123">
        <v>0</v>
      </c>
      <c r="K368" s="123">
        <v>0</v>
      </c>
      <c r="L368" s="123">
        <v>0</v>
      </c>
      <c r="M368" s="123"/>
      <c r="N368" s="123"/>
      <c r="O368" s="123"/>
      <c r="P368" s="123"/>
      <c r="Q368" s="123"/>
      <c r="R368" s="123"/>
    </row>
    <row r="369" spans="1:18" x14ac:dyDescent="0.2">
      <c r="A369" s="12">
        <v>9</v>
      </c>
      <c r="B369" s="12" t="s">
        <v>380</v>
      </c>
      <c r="C369" s="12" t="s">
        <v>26</v>
      </c>
      <c r="D369" s="129">
        <v>29.14</v>
      </c>
      <c r="E369" s="12">
        <v>1998</v>
      </c>
      <c r="F369" s="123"/>
      <c r="G369" s="123">
        <v>0</v>
      </c>
      <c r="H369" s="123">
        <v>0</v>
      </c>
      <c r="I369" s="123">
        <v>0</v>
      </c>
      <c r="J369" s="123">
        <v>0</v>
      </c>
      <c r="K369" s="123">
        <v>0</v>
      </c>
      <c r="L369" s="123">
        <v>0</v>
      </c>
      <c r="M369" s="123"/>
      <c r="N369" s="123"/>
      <c r="O369" s="123"/>
      <c r="P369" s="123"/>
      <c r="Q369" s="123"/>
      <c r="R369" s="123"/>
    </row>
    <row r="370" spans="1:18" x14ac:dyDescent="0.2">
      <c r="A370" s="12">
        <v>9</v>
      </c>
      <c r="B370" s="12" t="s">
        <v>381</v>
      </c>
      <c r="C370" s="12" t="s">
        <v>26</v>
      </c>
      <c r="D370" s="129">
        <v>29.49</v>
      </c>
      <c r="E370" s="12">
        <v>1997</v>
      </c>
      <c r="F370" s="123"/>
      <c r="G370" s="123">
        <v>0</v>
      </c>
      <c r="H370" s="123">
        <v>0</v>
      </c>
      <c r="I370" s="123">
        <v>0</v>
      </c>
      <c r="J370" s="123">
        <v>0</v>
      </c>
      <c r="K370" s="123">
        <v>0</v>
      </c>
      <c r="L370" s="123">
        <v>0</v>
      </c>
      <c r="M370" s="123"/>
      <c r="N370" s="123"/>
      <c r="O370" s="123"/>
      <c r="P370" s="123"/>
      <c r="Q370" s="123"/>
      <c r="R370" s="123"/>
    </row>
    <row r="371" spans="1:18" x14ac:dyDescent="0.2">
      <c r="A371" s="12">
        <v>9</v>
      </c>
      <c r="B371" s="12" t="s">
        <v>382</v>
      </c>
      <c r="C371" s="12" t="s">
        <v>26</v>
      </c>
      <c r="D371" s="129">
        <v>30.05</v>
      </c>
      <c r="E371" s="12">
        <v>1997</v>
      </c>
      <c r="F371" s="123"/>
      <c r="G371" s="123">
        <v>0</v>
      </c>
      <c r="H371" s="123">
        <v>0</v>
      </c>
      <c r="I371" s="123">
        <v>0</v>
      </c>
      <c r="J371" s="123">
        <v>0</v>
      </c>
      <c r="K371" s="123">
        <v>0</v>
      </c>
      <c r="L371" s="123">
        <v>0</v>
      </c>
      <c r="M371" s="123"/>
      <c r="N371" s="123"/>
      <c r="O371" s="123"/>
      <c r="P371" s="123"/>
      <c r="Q371" s="123"/>
      <c r="R371" s="123"/>
    </row>
    <row r="372" spans="1:18" x14ac:dyDescent="0.2">
      <c r="A372" s="12">
        <v>9</v>
      </c>
      <c r="B372" s="12" t="s">
        <v>383</v>
      </c>
      <c r="C372" s="12" t="s">
        <v>26</v>
      </c>
      <c r="D372" s="129">
        <v>16.12</v>
      </c>
      <c r="E372" s="12">
        <v>2005</v>
      </c>
      <c r="F372" s="123"/>
      <c r="G372" s="123">
        <v>0</v>
      </c>
      <c r="H372" s="123">
        <v>0</v>
      </c>
      <c r="I372" s="123">
        <v>0</v>
      </c>
      <c r="J372" s="123">
        <v>0</v>
      </c>
      <c r="K372" s="123">
        <v>0</v>
      </c>
      <c r="L372" s="123">
        <v>0</v>
      </c>
      <c r="M372" s="123"/>
      <c r="N372" s="123"/>
      <c r="O372" s="123"/>
      <c r="P372" s="123"/>
      <c r="Q372" s="123"/>
      <c r="R372" s="123"/>
    </row>
    <row r="373" spans="1:18" x14ac:dyDescent="0.2">
      <c r="A373" s="12">
        <v>9</v>
      </c>
      <c r="B373" s="12" t="s">
        <v>384</v>
      </c>
      <c r="C373" s="12" t="s">
        <v>26</v>
      </c>
      <c r="D373" s="129">
        <v>30.17</v>
      </c>
      <c r="E373" s="12">
        <v>1998</v>
      </c>
      <c r="F373" s="123"/>
      <c r="G373" s="123">
        <v>0</v>
      </c>
      <c r="H373" s="123">
        <v>0</v>
      </c>
      <c r="I373" s="123">
        <v>0</v>
      </c>
      <c r="J373" s="123">
        <v>0</v>
      </c>
      <c r="K373" s="123">
        <v>0</v>
      </c>
      <c r="L373" s="123">
        <v>0</v>
      </c>
      <c r="M373" s="123"/>
      <c r="N373" s="123"/>
      <c r="O373" s="123"/>
      <c r="P373" s="123"/>
      <c r="Q373" s="123"/>
      <c r="R373" s="123"/>
    </row>
    <row r="374" spans="1:18" x14ac:dyDescent="0.2">
      <c r="A374" s="12">
        <v>9</v>
      </c>
      <c r="B374" s="12" t="s">
        <v>385</v>
      </c>
      <c r="C374" s="12" t="s">
        <v>26</v>
      </c>
      <c r="D374" s="129">
        <v>28.29</v>
      </c>
      <c r="E374" s="12">
        <v>1998</v>
      </c>
      <c r="F374" s="123"/>
      <c r="G374" s="123">
        <v>0</v>
      </c>
      <c r="H374" s="123">
        <v>0</v>
      </c>
      <c r="I374" s="123">
        <v>0</v>
      </c>
      <c r="J374" s="123">
        <v>0</v>
      </c>
      <c r="K374" s="123">
        <v>0</v>
      </c>
      <c r="L374" s="123">
        <v>0</v>
      </c>
      <c r="M374" s="123"/>
      <c r="N374" s="123"/>
      <c r="O374" s="123"/>
      <c r="P374" s="123"/>
      <c r="Q374" s="123"/>
      <c r="R374" s="123"/>
    </row>
    <row r="375" spans="1:18" x14ac:dyDescent="0.2">
      <c r="A375" s="12">
        <v>9</v>
      </c>
      <c r="B375" s="12" t="s">
        <v>386</v>
      </c>
      <c r="C375" s="12" t="s">
        <v>26</v>
      </c>
      <c r="D375" s="129">
        <v>28.62</v>
      </c>
      <c r="E375" s="12">
        <v>1997</v>
      </c>
      <c r="F375" s="123"/>
      <c r="G375" s="123">
        <v>0</v>
      </c>
      <c r="H375" s="123">
        <v>0</v>
      </c>
      <c r="I375" s="123">
        <v>0</v>
      </c>
      <c r="J375" s="123">
        <v>0</v>
      </c>
      <c r="K375" s="123">
        <v>0</v>
      </c>
      <c r="L375" s="123">
        <v>0</v>
      </c>
      <c r="M375" s="123"/>
      <c r="N375" s="123"/>
      <c r="O375" s="123"/>
      <c r="P375" s="123"/>
      <c r="Q375" s="123"/>
      <c r="R375" s="123"/>
    </row>
    <row r="376" spans="1:18" x14ac:dyDescent="0.2">
      <c r="A376" s="12">
        <v>9</v>
      </c>
      <c r="B376" s="12" t="s">
        <v>387</v>
      </c>
      <c r="C376" s="12" t="s">
        <v>26</v>
      </c>
      <c r="D376" s="129">
        <v>29.79</v>
      </c>
      <c r="E376" s="12">
        <v>1997</v>
      </c>
      <c r="F376" s="123"/>
      <c r="G376" s="123">
        <v>0</v>
      </c>
      <c r="H376" s="123">
        <v>0</v>
      </c>
      <c r="I376" s="123">
        <v>0</v>
      </c>
      <c r="J376" s="123">
        <v>0</v>
      </c>
      <c r="K376" s="123">
        <v>0</v>
      </c>
      <c r="L376" s="123">
        <v>0</v>
      </c>
      <c r="M376" s="123"/>
      <c r="N376" s="123"/>
      <c r="O376" s="123"/>
      <c r="P376" s="123"/>
      <c r="Q376" s="123"/>
      <c r="R376" s="123"/>
    </row>
    <row r="377" spans="1:18" x14ac:dyDescent="0.2">
      <c r="A377" s="12">
        <v>9</v>
      </c>
      <c r="B377" s="12" t="s">
        <v>388</v>
      </c>
      <c r="C377" s="12" t="s">
        <v>26</v>
      </c>
      <c r="D377" s="129">
        <v>29.85</v>
      </c>
      <c r="E377" s="12">
        <v>2005</v>
      </c>
      <c r="F377" s="123"/>
      <c r="G377" s="123">
        <v>0</v>
      </c>
      <c r="H377" s="123">
        <v>0</v>
      </c>
      <c r="I377" s="123">
        <v>0</v>
      </c>
      <c r="J377" s="123">
        <v>0</v>
      </c>
      <c r="K377" s="123">
        <v>0</v>
      </c>
      <c r="L377" s="123">
        <v>0</v>
      </c>
      <c r="M377" s="123"/>
      <c r="N377" s="123"/>
      <c r="O377" s="123"/>
      <c r="P377" s="123"/>
      <c r="Q377" s="123"/>
      <c r="R377" s="123"/>
    </row>
    <row r="378" spans="1:18" x14ac:dyDescent="0.2">
      <c r="A378" s="12">
        <v>9</v>
      </c>
      <c r="B378" s="12" t="s">
        <v>389</v>
      </c>
      <c r="C378" s="12" t="s">
        <v>26</v>
      </c>
      <c r="D378" s="129">
        <v>28.55</v>
      </c>
      <c r="E378" s="12">
        <v>1997</v>
      </c>
      <c r="F378" s="123"/>
      <c r="G378" s="123">
        <v>0</v>
      </c>
      <c r="H378" s="123">
        <v>0</v>
      </c>
      <c r="I378" s="123">
        <v>0</v>
      </c>
      <c r="J378" s="123">
        <v>0</v>
      </c>
      <c r="K378" s="123">
        <v>0</v>
      </c>
      <c r="L378" s="123">
        <v>0</v>
      </c>
      <c r="M378" s="123"/>
      <c r="N378" s="123"/>
      <c r="O378" s="123"/>
      <c r="P378" s="123"/>
      <c r="Q378" s="123"/>
      <c r="R378" s="123"/>
    </row>
    <row r="379" spans="1:18" x14ac:dyDescent="0.2">
      <c r="A379" s="12">
        <v>9</v>
      </c>
      <c r="B379" s="12" t="s">
        <v>390</v>
      </c>
      <c r="C379" s="12" t="s">
        <v>26</v>
      </c>
      <c r="D379" s="129">
        <v>20.5</v>
      </c>
      <c r="E379" s="12">
        <v>2005</v>
      </c>
      <c r="F379" s="123"/>
      <c r="G379" s="123">
        <v>0</v>
      </c>
      <c r="H379" s="123">
        <v>0</v>
      </c>
      <c r="I379" s="123">
        <v>0</v>
      </c>
      <c r="J379" s="123">
        <v>0</v>
      </c>
      <c r="K379" s="123">
        <v>0</v>
      </c>
      <c r="L379" s="123">
        <v>0</v>
      </c>
      <c r="M379" s="123"/>
      <c r="N379" s="123"/>
      <c r="O379" s="123"/>
      <c r="P379" s="123"/>
      <c r="Q379" s="123"/>
      <c r="R379" s="123"/>
    </row>
    <row r="380" spans="1:18" x14ac:dyDescent="0.2">
      <c r="A380" s="12">
        <v>9</v>
      </c>
      <c r="B380" s="12" t="s">
        <v>391</v>
      </c>
      <c r="C380" s="12" t="s">
        <v>26</v>
      </c>
      <c r="D380" s="129">
        <v>29.84</v>
      </c>
      <c r="E380" s="12">
        <v>1998</v>
      </c>
      <c r="F380" s="123"/>
      <c r="G380" s="123">
        <v>0</v>
      </c>
      <c r="H380" s="123">
        <v>0</v>
      </c>
      <c r="I380" s="123">
        <v>0</v>
      </c>
      <c r="J380" s="123">
        <v>0</v>
      </c>
      <c r="K380" s="123">
        <v>0</v>
      </c>
      <c r="L380" s="123">
        <v>0</v>
      </c>
      <c r="M380" s="123"/>
      <c r="N380" s="123"/>
      <c r="O380" s="123"/>
      <c r="P380" s="123"/>
      <c r="Q380" s="123"/>
      <c r="R380" s="123"/>
    </row>
    <row r="381" spans="1:18" x14ac:dyDescent="0.2">
      <c r="A381" s="12">
        <v>9</v>
      </c>
      <c r="B381" s="12" t="s">
        <v>392</v>
      </c>
      <c r="C381" s="12" t="s">
        <v>26</v>
      </c>
      <c r="D381" s="129">
        <v>28.03</v>
      </c>
      <c r="E381" s="12">
        <v>1998</v>
      </c>
      <c r="F381" s="123"/>
      <c r="G381" s="123">
        <v>0</v>
      </c>
      <c r="H381" s="123">
        <v>0</v>
      </c>
      <c r="I381" s="123">
        <v>0</v>
      </c>
      <c r="J381" s="123">
        <v>0</v>
      </c>
      <c r="K381" s="123">
        <v>0</v>
      </c>
      <c r="L381" s="123">
        <v>0</v>
      </c>
      <c r="M381" s="123"/>
      <c r="N381" s="123"/>
      <c r="O381" s="123"/>
      <c r="P381" s="123"/>
      <c r="Q381" s="123"/>
      <c r="R381" s="123"/>
    </row>
    <row r="382" spans="1:18" x14ac:dyDescent="0.2">
      <c r="A382" s="12">
        <v>9</v>
      </c>
      <c r="B382" s="12" t="s">
        <v>393</v>
      </c>
      <c r="C382" s="12" t="s">
        <v>26</v>
      </c>
      <c r="D382" s="129">
        <v>23.56</v>
      </c>
      <c r="E382" s="12">
        <v>2005</v>
      </c>
      <c r="F382" s="123"/>
      <c r="G382" s="123">
        <v>0</v>
      </c>
      <c r="H382" s="123">
        <v>0</v>
      </c>
      <c r="I382" s="123">
        <v>0</v>
      </c>
      <c r="J382" s="123">
        <v>0</v>
      </c>
      <c r="K382" s="123">
        <v>0</v>
      </c>
      <c r="L382" s="123">
        <v>0</v>
      </c>
      <c r="M382" s="123"/>
      <c r="N382" s="123"/>
      <c r="O382" s="123"/>
      <c r="P382" s="123"/>
      <c r="Q382" s="123"/>
      <c r="R382" s="123"/>
    </row>
    <row r="383" spans="1:18" x14ac:dyDescent="0.2">
      <c r="A383" s="12">
        <v>9</v>
      </c>
      <c r="B383" s="12" t="s">
        <v>394</v>
      </c>
      <c r="C383" s="12" t="s">
        <v>26</v>
      </c>
      <c r="D383" s="129">
        <v>16.489999999999998</v>
      </c>
      <c r="E383" s="12">
        <v>1998</v>
      </c>
      <c r="F383" s="123"/>
      <c r="G383" s="123">
        <v>0</v>
      </c>
      <c r="H383" s="123">
        <v>0</v>
      </c>
      <c r="I383" s="123">
        <v>0</v>
      </c>
      <c r="J383" s="123">
        <v>0</v>
      </c>
      <c r="K383" s="123">
        <v>0</v>
      </c>
      <c r="L383" s="123">
        <v>0</v>
      </c>
      <c r="M383" s="123"/>
      <c r="N383" s="123"/>
      <c r="O383" s="123"/>
      <c r="P383" s="123"/>
      <c r="Q383" s="123"/>
      <c r="R383" s="123"/>
    </row>
    <row r="384" spans="1:18" x14ac:dyDescent="0.2">
      <c r="A384" s="12">
        <v>9</v>
      </c>
      <c r="B384" s="12" t="s">
        <v>395</v>
      </c>
      <c r="C384" s="12" t="s">
        <v>26</v>
      </c>
      <c r="D384" s="129">
        <v>13.38</v>
      </c>
      <c r="E384" s="12">
        <v>2005</v>
      </c>
      <c r="F384" s="123"/>
      <c r="G384" s="123">
        <v>0</v>
      </c>
      <c r="H384" s="123">
        <v>0</v>
      </c>
      <c r="I384" s="123">
        <v>0</v>
      </c>
      <c r="J384" s="123">
        <v>0</v>
      </c>
      <c r="K384" s="123">
        <v>0</v>
      </c>
      <c r="L384" s="123">
        <v>0</v>
      </c>
      <c r="M384" s="123"/>
      <c r="N384" s="123"/>
      <c r="O384" s="123"/>
      <c r="P384" s="123"/>
      <c r="Q384" s="123"/>
      <c r="R384" s="123"/>
    </row>
    <row r="385" spans="1:18" x14ac:dyDescent="0.2">
      <c r="A385" s="12">
        <v>9</v>
      </c>
      <c r="B385" s="12" t="s">
        <v>396</v>
      </c>
      <c r="C385" s="12" t="s">
        <v>26</v>
      </c>
      <c r="D385" s="129">
        <v>6.86</v>
      </c>
      <c r="E385" s="12">
        <v>2005</v>
      </c>
      <c r="F385" s="123"/>
      <c r="G385" s="123">
        <v>0</v>
      </c>
      <c r="H385" s="123">
        <v>0</v>
      </c>
      <c r="I385" s="123">
        <v>0</v>
      </c>
      <c r="J385" s="123">
        <v>0</v>
      </c>
      <c r="K385" s="123">
        <v>0</v>
      </c>
      <c r="L385" s="123">
        <v>0</v>
      </c>
      <c r="M385" s="123"/>
      <c r="N385" s="123"/>
      <c r="O385" s="123"/>
      <c r="P385" s="123"/>
      <c r="Q385" s="123"/>
      <c r="R385" s="123"/>
    </row>
    <row r="386" spans="1:18" x14ac:dyDescent="0.2">
      <c r="A386" s="12">
        <v>9</v>
      </c>
      <c r="B386" s="12" t="s">
        <v>397</v>
      </c>
      <c r="C386" s="12" t="s">
        <v>26</v>
      </c>
      <c r="D386" s="129">
        <v>39.270000000000003</v>
      </c>
      <c r="E386" s="12">
        <v>2005</v>
      </c>
      <c r="F386" s="123"/>
      <c r="G386" s="123">
        <v>0</v>
      </c>
      <c r="H386" s="123">
        <v>0</v>
      </c>
      <c r="I386" s="123">
        <v>0</v>
      </c>
      <c r="J386" s="123">
        <v>0</v>
      </c>
      <c r="K386" s="123">
        <v>0</v>
      </c>
      <c r="L386" s="123">
        <v>0</v>
      </c>
      <c r="M386" s="123"/>
      <c r="N386" s="123"/>
      <c r="O386" s="123"/>
      <c r="P386" s="123"/>
      <c r="Q386" s="123"/>
      <c r="R386" s="123"/>
    </row>
    <row r="387" spans="1:18" x14ac:dyDescent="0.2">
      <c r="A387" s="12">
        <v>9</v>
      </c>
      <c r="B387" s="12" t="s">
        <v>398</v>
      </c>
      <c r="C387" s="12" t="s">
        <v>26</v>
      </c>
      <c r="D387" s="129">
        <v>32.32</v>
      </c>
      <c r="E387" s="12">
        <v>2005</v>
      </c>
      <c r="F387" s="123"/>
      <c r="G387" s="123">
        <v>0</v>
      </c>
      <c r="H387" s="123">
        <v>0</v>
      </c>
      <c r="I387" s="123">
        <v>0</v>
      </c>
      <c r="J387" s="123">
        <v>0</v>
      </c>
      <c r="K387" s="123">
        <v>0</v>
      </c>
      <c r="L387" s="123">
        <v>0</v>
      </c>
      <c r="M387" s="123"/>
      <c r="N387" s="123"/>
      <c r="O387" s="123"/>
      <c r="P387" s="123"/>
      <c r="Q387" s="123"/>
      <c r="R387" s="123"/>
    </row>
    <row r="388" spans="1:18" x14ac:dyDescent="0.2">
      <c r="A388" s="313" t="s">
        <v>71</v>
      </c>
      <c r="B388" s="314"/>
      <c r="C388" s="315"/>
      <c r="D388" s="150">
        <f>SUM(D346:D387)</f>
        <v>1138.08</v>
      </c>
      <c r="E388" s="125"/>
      <c r="F388" s="126"/>
      <c r="G388" s="123"/>
      <c r="H388" s="126"/>
      <c r="I388" s="126"/>
      <c r="J388" s="126"/>
      <c r="K388" s="126"/>
      <c r="L388" s="123"/>
      <c r="M388" s="126"/>
      <c r="N388" s="126"/>
      <c r="O388" s="126"/>
      <c r="P388" s="126"/>
      <c r="Q388" s="126"/>
      <c r="R388" s="126"/>
    </row>
    <row r="389" spans="1:18" x14ac:dyDescent="0.2">
      <c r="A389" s="12">
        <v>10</v>
      </c>
      <c r="B389" s="12" t="s">
        <v>399</v>
      </c>
      <c r="C389" s="12" t="s">
        <v>26</v>
      </c>
      <c r="D389" s="129">
        <v>31.47</v>
      </c>
      <c r="E389" s="12">
        <v>2005</v>
      </c>
      <c r="F389" s="123"/>
      <c r="G389" s="123">
        <v>0</v>
      </c>
      <c r="H389" s="123">
        <v>0</v>
      </c>
      <c r="I389" s="123">
        <v>0</v>
      </c>
      <c r="J389" s="123">
        <v>0</v>
      </c>
      <c r="K389" s="123">
        <v>0</v>
      </c>
      <c r="L389" s="123">
        <v>0</v>
      </c>
      <c r="M389" s="123"/>
      <c r="N389" s="123"/>
      <c r="O389" s="123"/>
      <c r="P389" s="123"/>
      <c r="Q389" s="123"/>
      <c r="R389" s="123"/>
    </row>
    <row r="390" spans="1:18" x14ac:dyDescent="0.2">
      <c r="A390" s="12">
        <v>10</v>
      </c>
      <c r="B390" s="12" t="s">
        <v>400</v>
      </c>
      <c r="C390" s="12" t="s">
        <v>26</v>
      </c>
      <c r="D390" s="129">
        <v>29.3</v>
      </c>
      <c r="E390" s="12">
        <v>2003</v>
      </c>
      <c r="F390" s="123"/>
      <c r="G390" s="123">
        <v>0</v>
      </c>
      <c r="H390" s="123">
        <v>0</v>
      </c>
      <c r="I390" s="123">
        <v>0</v>
      </c>
      <c r="J390" s="123">
        <v>0</v>
      </c>
      <c r="K390" s="123">
        <v>0</v>
      </c>
      <c r="L390" s="123">
        <v>0</v>
      </c>
      <c r="M390" s="123"/>
      <c r="N390" s="123"/>
      <c r="O390" s="123"/>
      <c r="P390" s="123"/>
      <c r="Q390" s="123"/>
      <c r="R390" s="123"/>
    </row>
    <row r="391" spans="1:18" x14ac:dyDescent="0.2">
      <c r="A391" s="12">
        <v>10</v>
      </c>
      <c r="B391" s="12" t="s">
        <v>401</v>
      </c>
      <c r="C391" s="12" t="s">
        <v>26</v>
      </c>
      <c r="D391" s="129">
        <v>29.7</v>
      </c>
      <c r="E391" s="12">
        <v>2004</v>
      </c>
      <c r="F391" s="123"/>
      <c r="G391" s="123">
        <v>0</v>
      </c>
      <c r="H391" s="123">
        <v>0</v>
      </c>
      <c r="I391" s="123">
        <v>0</v>
      </c>
      <c r="J391" s="123">
        <v>0</v>
      </c>
      <c r="K391" s="123">
        <v>0</v>
      </c>
      <c r="L391" s="123">
        <v>0</v>
      </c>
      <c r="M391" s="123"/>
      <c r="N391" s="123"/>
      <c r="O391" s="123"/>
      <c r="P391" s="123"/>
      <c r="Q391" s="123"/>
      <c r="R391" s="123"/>
    </row>
    <row r="392" spans="1:18" x14ac:dyDescent="0.2">
      <c r="A392" s="12">
        <v>10</v>
      </c>
      <c r="B392" s="12" t="s">
        <v>402</v>
      </c>
      <c r="C392" s="12" t="s">
        <v>26</v>
      </c>
      <c r="D392" s="129">
        <v>29.53</v>
      </c>
      <c r="E392" s="12">
        <v>1998</v>
      </c>
      <c r="F392" s="123"/>
      <c r="G392" s="123">
        <v>0</v>
      </c>
      <c r="H392" s="123">
        <v>0</v>
      </c>
      <c r="I392" s="123">
        <v>0</v>
      </c>
      <c r="J392" s="123">
        <v>0</v>
      </c>
      <c r="K392" s="123">
        <v>0</v>
      </c>
      <c r="L392" s="123">
        <v>0</v>
      </c>
      <c r="M392" s="123"/>
      <c r="N392" s="123"/>
      <c r="O392" s="123"/>
      <c r="P392" s="123"/>
      <c r="Q392" s="123"/>
      <c r="R392" s="123"/>
    </row>
    <row r="393" spans="1:18" x14ac:dyDescent="0.2">
      <c r="A393" s="12">
        <v>10</v>
      </c>
      <c r="B393" s="12" t="s">
        <v>403</v>
      </c>
      <c r="C393" s="12" t="s">
        <v>26</v>
      </c>
      <c r="D393" s="129">
        <v>30.31</v>
      </c>
      <c r="E393" s="12">
        <v>1998</v>
      </c>
      <c r="F393" s="123"/>
      <c r="G393" s="123">
        <v>0</v>
      </c>
      <c r="H393" s="123">
        <v>0</v>
      </c>
      <c r="I393" s="123">
        <v>0</v>
      </c>
      <c r="J393" s="123">
        <v>0</v>
      </c>
      <c r="K393" s="123">
        <v>0</v>
      </c>
      <c r="L393" s="123">
        <v>0</v>
      </c>
      <c r="M393" s="123"/>
      <c r="N393" s="123"/>
      <c r="O393" s="123"/>
      <c r="P393" s="123"/>
      <c r="Q393" s="123"/>
      <c r="R393" s="123"/>
    </row>
    <row r="394" spans="1:18" x14ac:dyDescent="0.2">
      <c r="A394" s="12">
        <v>10</v>
      </c>
      <c r="B394" s="12" t="s">
        <v>404</v>
      </c>
      <c r="C394" s="12" t="s">
        <v>26</v>
      </c>
      <c r="D394" s="129">
        <v>29.13</v>
      </c>
      <c r="E394" s="12">
        <v>1998</v>
      </c>
      <c r="F394" s="123"/>
      <c r="G394" s="123">
        <v>0</v>
      </c>
      <c r="H394" s="123">
        <v>0</v>
      </c>
      <c r="I394" s="123">
        <v>0</v>
      </c>
      <c r="J394" s="123">
        <v>0</v>
      </c>
      <c r="K394" s="123">
        <v>0</v>
      </c>
      <c r="L394" s="123">
        <v>0</v>
      </c>
      <c r="M394" s="123"/>
      <c r="N394" s="123"/>
      <c r="O394" s="123"/>
      <c r="P394" s="123"/>
      <c r="Q394" s="123"/>
      <c r="R394" s="123"/>
    </row>
    <row r="395" spans="1:18" x14ac:dyDescent="0.2">
      <c r="A395" s="12">
        <v>10</v>
      </c>
      <c r="B395" s="12" t="s">
        <v>405</v>
      </c>
      <c r="C395" s="12" t="s">
        <v>26</v>
      </c>
      <c r="D395" s="129">
        <v>20.56</v>
      </c>
      <c r="E395" s="12">
        <v>2005</v>
      </c>
      <c r="F395" s="123"/>
      <c r="G395" s="123">
        <v>0</v>
      </c>
      <c r="H395" s="123">
        <v>0</v>
      </c>
      <c r="I395" s="123">
        <v>0</v>
      </c>
      <c r="J395" s="123">
        <v>0</v>
      </c>
      <c r="K395" s="123">
        <v>0</v>
      </c>
      <c r="L395" s="123">
        <v>0</v>
      </c>
      <c r="M395" s="123"/>
      <c r="N395" s="123"/>
      <c r="O395" s="123"/>
      <c r="P395" s="123"/>
      <c r="Q395" s="123"/>
      <c r="R395" s="123"/>
    </row>
    <row r="396" spans="1:18" x14ac:dyDescent="0.2">
      <c r="A396" s="12">
        <v>10</v>
      </c>
      <c r="B396" s="12" t="s">
        <v>406</v>
      </c>
      <c r="C396" s="12" t="s">
        <v>26</v>
      </c>
      <c r="D396" s="129">
        <v>30.48</v>
      </c>
      <c r="E396" s="12">
        <v>2005</v>
      </c>
      <c r="F396" s="123"/>
      <c r="G396" s="123">
        <v>0</v>
      </c>
      <c r="H396" s="123">
        <v>0</v>
      </c>
      <c r="I396" s="123">
        <v>0</v>
      </c>
      <c r="J396" s="123">
        <v>0</v>
      </c>
      <c r="K396" s="123">
        <v>0</v>
      </c>
      <c r="L396" s="123">
        <v>0</v>
      </c>
      <c r="M396" s="123"/>
      <c r="N396" s="123"/>
      <c r="O396" s="123"/>
      <c r="P396" s="123"/>
      <c r="Q396" s="123"/>
      <c r="R396" s="123"/>
    </row>
    <row r="397" spans="1:18" x14ac:dyDescent="0.2">
      <c r="A397" s="12">
        <v>10</v>
      </c>
      <c r="B397" s="12" t="s">
        <v>407</v>
      </c>
      <c r="C397" s="12" t="s">
        <v>26</v>
      </c>
      <c r="D397" s="129">
        <v>29.43</v>
      </c>
      <c r="E397" s="12">
        <v>2004</v>
      </c>
      <c r="F397" s="123"/>
      <c r="G397" s="123">
        <v>0</v>
      </c>
      <c r="H397" s="123">
        <v>0</v>
      </c>
      <c r="I397" s="123">
        <v>0</v>
      </c>
      <c r="J397" s="123">
        <v>0</v>
      </c>
      <c r="K397" s="123">
        <v>0</v>
      </c>
      <c r="L397" s="123">
        <v>0</v>
      </c>
      <c r="M397" s="123"/>
      <c r="N397" s="123"/>
      <c r="O397" s="123"/>
      <c r="P397" s="123"/>
      <c r="Q397" s="123"/>
      <c r="R397" s="123"/>
    </row>
    <row r="398" spans="1:18" x14ac:dyDescent="0.2">
      <c r="A398" s="12">
        <v>10</v>
      </c>
      <c r="B398" s="12" t="s">
        <v>408</v>
      </c>
      <c r="C398" s="12" t="s">
        <v>26</v>
      </c>
      <c r="D398" s="129">
        <v>29.88</v>
      </c>
      <c r="E398" s="12">
        <v>2004</v>
      </c>
      <c r="F398" s="123"/>
      <c r="G398" s="123">
        <v>0</v>
      </c>
      <c r="H398" s="123">
        <v>0</v>
      </c>
      <c r="I398" s="123">
        <v>0</v>
      </c>
      <c r="J398" s="123">
        <v>0</v>
      </c>
      <c r="K398" s="123">
        <v>0</v>
      </c>
      <c r="L398" s="123">
        <v>0</v>
      </c>
      <c r="M398" s="123"/>
      <c r="N398" s="123"/>
      <c r="O398" s="123"/>
      <c r="P398" s="123"/>
      <c r="Q398" s="123"/>
      <c r="R398" s="123"/>
    </row>
    <row r="399" spans="1:18" x14ac:dyDescent="0.2">
      <c r="A399" s="12">
        <v>10</v>
      </c>
      <c r="B399" s="12" t="s">
        <v>409</v>
      </c>
      <c r="C399" s="12" t="s">
        <v>26</v>
      </c>
      <c r="D399" s="129">
        <v>30.7</v>
      </c>
      <c r="E399" s="12">
        <v>1998</v>
      </c>
      <c r="F399" s="123"/>
      <c r="G399" s="123">
        <v>0</v>
      </c>
      <c r="H399" s="123">
        <v>0</v>
      </c>
      <c r="I399" s="123">
        <v>0</v>
      </c>
      <c r="J399" s="123">
        <v>0</v>
      </c>
      <c r="K399" s="123">
        <v>0</v>
      </c>
      <c r="L399" s="123">
        <v>0</v>
      </c>
      <c r="M399" s="123"/>
      <c r="N399" s="123"/>
      <c r="O399" s="123"/>
      <c r="P399" s="123"/>
      <c r="Q399" s="123"/>
      <c r="R399" s="123"/>
    </row>
    <row r="400" spans="1:18" x14ac:dyDescent="0.2">
      <c r="A400" s="12">
        <v>10</v>
      </c>
      <c r="B400" s="12" t="s">
        <v>410</v>
      </c>
      <c r="C400" s="12" t="s">
        <v>26</v>
      </c>
      <c r="D400" s="129">
        <v>30.03</v>
      </c>
      <c r="E400" s="12">
        <v>1998</v>
      </c>
      <c r="F400" s="123"/>
      <c r="G400" s="123">
        <v>0</v>
      </c>
      <c r="H400" s="123">
        <v>0</v>
      </c>
      <c r="I400" s="123">
        <v>0</v>
      </c>
      <c r="J400" s="123">
        <v>0</v>
      </c>
      <c r="K400" s="123">
        <v>0</v>
      </c>
      <c r="L400" s="123">
        <v>0</v>
      </c>
      <c r="M400" s="123"/>
      <c r="N400" s="123"/>
      <c r="O400" s="123"/>
      <c r="P400" s="123"/>
      <c r="Q400" s="123"/>
      <c r="R400" s="123"/>
    </row>
    <row r="401" spans="1:18" x14ac:dyDescent="0.2">
      <c r="A401" s="12">
        <v>10</v>
      </c>
      <c r="B401" s="12" t="s">
        <v>411</v>
      </c>
      <c r="C401" s="12" t="s">
        <v>26</v>
      </c>
      <c r="D401" s="129">
        <v>20.010000000000002</v>
      </c>
      <c r="E401" s="12">
        <v>2005</v>
      </c>
      <c r="F401" s="123"/>
      <c r="G401" s="123">
        <v>0</v>
      </c>
      <c r="H401" s="123">
        <v>0</v>
      </c>
      <c r="I401" s="123">
        <v>0</v>
      </c>
      <c r="J401" s="123">
        <v>0</v>
      </c>
      <c r="K401" s="123">
        <v>0</v>
      </c>
      <c r="L401" s="123">
        <v>0</v>
      </c>
      <c r="M401" s="123"/>
      <c r="N401" s="123"/>
      <c r="O401" s="123"/>
      <c r="P401" s="123"/>
      <c r="Q401" s="123"/>
      <c r="R401" s="123"/>
    </row>
    <row r="402" spans="1:18" x14ac:dyDescent="0.2">
      <c r="A402" s="12">
        <v>10</v>
      </c>
      <c r="B402" s="12" t="s">
        <v>412</v>
      </c>
      <c r="C402" s="12" t="s">
        <v>26</v>
      </c>
      <c r="D402" s="129">
        <v>28.2</v>
      </c>
      <c r="E402" s="12">
        <v>2005</v>
      </c>
      <c r="F402" s="123"/>
      <c r="G402" s="123">
        <v>0</v>
      </c>
      <c r="H402" s="123">
        <v>0</v>
      </c>
      <c r="I402" s="123">
        <v>0</v>
      </c>
      <c r="J402" s="123">
        <v>0</v>
      </c>
      <c r="K402" s="123">
        <v>0</v>
      </c>
      <c r="L402" s="123">
        <v>0</v>
      </c>
      <c r="M402" s="123"/>
      <c r="N402" s="123"/>
      <c r="O402" s="123"/>
      <c r="P402" s="123"/>
      <c r="Q402" s="123"/>
      <c r="R402" s="123"/>
    </row>
    <row r="403" spans="1:18" x14ac:dyDescent="0.2">
      <c r="A403" s="12">
        <v>10</v>
      </c>
      <c r="B403" s="12" t="s">
        <v>413</v>
      </c>
      <c r="C403" s="12" t="s">
        <v>26</v>
      </c>
      <c r="D403" s="129">
        <v>30.71</v>
      </c>
      <c r="E403" s="12">
        <v>2005</v>
      </c>
      <c r="F403" s="123"/>
      <c r="G403" s="123">
        <v>0</v>
      </c>
      <c r="H403" s="123">
        <v>0</v>
      </c>
      <c r="I403" s="123">
        <v>0</v>
      </c>
      <c r="J403" s="123">
        <v>0</v>
      </c>
      <c r="K403" s="123">
        <v>0</v>
      </c>
      <c r="L403" s="123">
        <v>0</v>
      </c>
      <c r="M403" s="123"/>
      <c r="N403" s="123"/>
      <c r="O403" s="123"/>
      <c r="P403" s="123"/>
      <c r="Q403" s="123"/>
      <c r="R403" s="123"/>
    </row>
    <row r="404" spans="1:18" x14ac:dyDescent="0.2">
      <c r="A404" s="12">
        <v>10</v>
      </c>
      <c r="B404" s="12" t="s">
        <v>414</v>
      </c>
      <c r="C404" s="12" t="s">
        <v>26</v>
      </c>
      <c r="D404" s="129">
        <v>29.51</v>
      </c>
      <c r="E404" s="12">
        <v>2004</v>
      </c>
      <c r="F404" s="123"/>
      <c r="G404" s="123">
        <v>0</v>
      </c>
      <c r="H404" s="123">
        <v>0</v>
      </c>
      <c r="I404" s="123">
        <v>0</v>
      </c>
      <c r="J404" s="123">
        <v>0</v>
      </c>
      <c r="K404" s="123">
        <v>0</v>
      </c>
      <c r="L404" s="123">
        <v>0</v>
      </c>
      <c r="M404" s="123"/>
      <c r="N404" s="123"/>
      <c r="O404" s="123"/>
      <c r="P404" s="123"/>
      <c r="Q404" s="123"/>
      <c r="R404" s="123"/>
    </row>
    <row r="405" spans="1:18" x14ac:dyDescent="0.2">
      <c r="A405" s="12">
        <v>10</v>
      </c>
      <c r="B405" s="12" t="s">
        <v>415</v>
      </c>
      <c r="C405" s="12" t="s">
        <v>26</v>
      </c>
      <c r="D405" s="129">
        <v>29.94</v>
      </c>
      <c r="E405" s="12">
        <v>1999</v>
      </c>
      <c r="F405" s="123"/>
      <c r="G405" s="123">
        <v>0</v>
      </c>
      <c r="H405" s="123">
        <v>0</v>
      </c>
      <c r="I405" s="123">
        <v>0</v>
      </c>
      <c r="J405" s="123">
        <v>0</v>
      </c>
      <c r="K405" s="123">
        <v>0</v>
      </c>
      <c r="L405" s="123">
        <v>0</v>
      </c>
      <c r="M405" s="123"/>
      <c r="N405" s="123"/>
      <c r="O405" s="123"/>
      <c r="P405" s="123"/>
      <c r="Q405" s="123"/>
      <c r="R405" s="123"/>
    </row>
    <row r="406" spans="1:18" x14ac:dyDescent="0.2">
      <c r="A406" s="12">
        <v>10</v>
      </c>
      <c r="B406" s="12" t="s">
        <v>416</v>
      </c>
      <c r="C406" s="12" t="s">
        <v>26</v>
      </c>
      <c r="D406" s="129">
        <v>31.13</v>
      </c>
      <c r="E406" s="12">
        <v>1998</v>
      </c>
      <c r="F406" s="123"/>
      <c r="G406" s="123">
        <v>0</v>
      </c>
      <c r="H406" s="123">
        <v>0</v>
      </c>
      <c r="I406" s="123">
        <v>0</v>
      </c>
      <c r="J406" s="123">
        <v>0</v>
      </c>
      <c r="K406" s="123">
        <v>0</v>
      </c>
      <c r="L406" s="123">
        <v>0</v>
      </c>
      <c r="M406" s="123"/>
      <c r="N406" s="123"/>
      <c r="O406" s="123"/>
      <c r="P406" s="123"/>
      <c r="Q406" s="123"/>
      <c r="R406" s="123"/>
    </row>
    <row r="407" spans="1:18" x14ac:dyDescent="0.2">
      <c r="A407" s="12">
        <v>10</v>
      </c>
      <c r="B407" s="12" t="s">
        <v>417</v>
      </c>
      <c r="C407" s="12" t="s">
        <v>26</v>
      </c>
      <c r="D407" s="129">
        <v>29.82</v>
      </c>
      <c r="E407" s="12">
        <v>1998</v>
      </c>
      <c r="F407" s="123"/>
      <c r="G407" s="123">
        <v>0</v>
      </c>
      <c r="H407" s="123">
        <v>0</v>
      </c>
      <c r="I407" s="123">
        <v>0</v>
      </c>
      <c r="J407" s="123">
        <v>0</v>
      </c>
      <c r="K407" s="123">
        <v>0</v>
      </c>
      <c r="L407" s="123">
        <v>0</v>
      </c>
      <c r="M407" s="123"/>
      <c r="N407" s="123"/>
      <c r="O407" s="123"/>
      <c r="P407" s="123"/>
      <c r="Q407" s="123"/>
      <c r="R407" s="123"/>
    </row>
    <row r="408" spans="1:18" x14ac:dyDescent="0.2">
      <c r="A408" s="12">
        <v>10</v>
      </c>
      <c r="B408" s="12" t="s">
        <v>418</v>
      </c>
      <c r="C408" s="12" t="s">
        <v>26</v>
      </c>
      <c r="D408" s="129">
        <v>27.73</v>
      </c>
      <c r="E408" s="12">
        <v>2005</v>
      </c>
      <c r="F408" s="123"/>
      <c r="G408" s="123">
        <v>0</v>
      </c>
      <c r="H408" s="123">
        <v>0</v>
      </c>
      <c r="I408" s="123">
        <v>0</v>
      </c>
      <c r="J408" s="123">
        <v>0</v>
      </c>
      <c r="K408" s="123">
        <v>0</v>
      </c>
      <c r="L408" s="123">
        <v>0</v>
      </c>
      <c r="M408" s="123"/>
      <c r="N408" s="123"/>
      <c r="O408" s="123"/>
      <c r="P408" s="123"/>
      <c r="Q408" s="123"/>
      <c r="R408" s="123"/>
    </row>
    <row r="409" spans="1:18" x14ac:dyDescent="0.2">
      <c r="A409" s="12">
        <v>10</v>
      </c>
      <c r="B409" s="12" t="s">
        <v>419</v>
      </c>
      <c r="C409" s="12" t="s">
        <v>26</v>
      </c>
      <c r="D409" s="129">
        <v>29.41</v>
      </c>
      <c r="E409" s="12">
        <v>2005</v>
      </c>
      <c r="F409" s="123"/>
      <c r="G409" s="123">
        <v>0</v>
      </c>
      <c r="H409" s="123">
        <v>0</v>
      </c>
      <c r="I409" s="123">
        <v>0</v>
      </c>
      <c r="J409" s="123">
        <v>0</v>
      </c>
      <c r="K409" s="123">
        <v>0</v>
      </c>
      <c r="L409" s="123">
        <v>0</v>
      </c>
      <c r="M409" s="123"/>
      <c r="N409" s="123"/>
      <c r="O409" s="123"/>
      <c r="P409" s="123"/>
      <c r="Q409" s="123"/>
      <c r="R409" s="123"/>
    </row>
    <row r="410" spans="1:18" x14ac:dyDescent="0.2">
      <c r="A410" s="12">
        <v>10</v>
      </c>
      <c r="B410" s="12" t="s">
        <v>420</v>
      </c>
      <c r="C410" s="12" t="s">
        <v>26</v>
      </c>
      <c r="D410" s="129">
        <v>30.7</v>
      </c>
      <c r="E410" s="12">
        <v>2005</v>
      </c>
      <c r="F410" s="123"/>
      <c r="G410" s="123">
        <v>0</v>
      </c>
      <c r="H410" s="123">
        <v>0</v>
      </c>
      <c r="I410" s="123">
        <v>0</v>
      </c>
      <c r="J410" s="123">
        <v>0</v>
      </c>
      <c r="K410" s="123">
        <v>0</v>
      </c>
      <c r="L410" s="123">
        <v>0</v>
      </c>
      <c r="M410" s="123"/>
      <c r="N410" s="123"/>
      <c r="O410" s="123"/>
      <c r="P410" s="123"/>
      <c r="Q410" s="123"/>
      <c r="R410" s="123"/>
    </row>
    <row r="411" spans="1:18" x14ac:dyDescent="0.2">
      <c r="A411" s="12">
        <v>10</v>
      </c>
      <c r="B411" s="12" t="s">
        <v>421</v>
      </c>
      <c r="C411" s="12" t="s">
        <v>26</v>
      </c>
      <c r="D411" s="129">
        <v>29.28</v>
      </c>
      <c r="E411" s="12">
        <v>2005</v>
      </c>
      <c r="F411" s="123"/>
      <c r="G411" s="123">
        <v>0</v>
      </c>
      <c r="H411" s="123">
        <v>0</v>
      </c>
      <c r="I411" s="123">
        <v>0</v>
      </c>
      <c r="J411" s="123">
        <v>0</v>
      </c>
      <c r="K411" s="123">
        <v>0</v>
      </c>
      <c r="L411" s="123">
        <v>0</v>
      </c>
      <c r="M411" s="123"/>
      <c r="N411" s="123"/>
      <c r="O411" s="123"/>
      <c r="P411" s="123"/>
      <c r="Q411" s="123"/>
      <c r="R411" s="123"/>
    </row>
    <row r="412" spans="1:18" x14ac:dyDescent="0.2">
      <c r="A412" s="12">
        <v>10</v>
      </c>
      <c r="B412" s="12" t="s">
        <v>422</v>
      </c>
      <c r="C412" s="12" t="s">
        <v>26</v>
      </c>
      <c r="D412" s="129">
        <v>27.75</v>
      </c>
      <c r="E412" s="12">
        <v>1999</v>
      </c>
      <c r="F412" s="123"/>
      <c r="G412" s="123">
        <v>0</v>
      </c>
      <c r="H412" s="123">
        <v>0</v>
      </c>
      <c r="I412" s="123">
        <v>0</v>
      </c>
      <c r="J412" s="123">
        <v>0</v>
      </c>
      <c r="K412" s="123">
        <v>0</v>
      </c>
      <c r="L412" s="123">
        <v>0</v>
      </c>
      <c r="M412" s="123"/>
      <c r="N412" s="123"/>
      <c r="O412" s="123"/>
      <c r="P412" s="123"/>
      <c r="Q412" s="123"/>
      <c r="R412" s="123"/>
    </row>
    <row r="413" spans="1:18" x14ac:dyDescent="0.2">
      <c r="A413" s="12">
        <v>10</v>
      </c>
      <c r="B413" s="12" t="s">
        <v>423</v>
      </c>
      <c r="C413" s="12" t="s">
        <v>26</v>
      </c>
      <c r="D413" s="129">
        <v>30.47</v>
      </c>
      <c r="E413" s="12">
        <v>2004</v>
      </c>
      <c r="F413" s="123"/>
      <c r="G413" s="123">
        <v>0</v>
      </c>
      <c r="H413" s="123">
        <v>0</v>
      </c>
      <c r="I413" s="123">
        <v>0</v>
      </c>
      <c r="J413" s="123">
        <v>0</v>
      </c>
      <c r="K413" s="123">
        <v>0</v>
      </c>
      <c r="L413" s="123">
        <v>0</v>
      </c>
      <c r="M413" s="123"/>
      <c r="N413" s="123"/>
      <c r="O413" s="123"/>
      <c r="P413" s="123"/>
      <c r="Q413" s="123"/>
      <c r="R413" s="123"/>
    </row>
    <row r="414" spans="1:18" x14ac:dyDescent="0.2">
      <c r="A414" s="12">
        <v>10</v>
      </c>
      <c r="B414" s="12" t="s">
        <v>424</v>
      </c>
      <c r="C414" s="12" t="s">
        <v>26</v>
      </c>
      <c r="D414" s="129">
        <v>29.64</v>
      </c>
      <c r="E414" s="12">
        <v>1998</v>
      </c>
      <c r="F414" s="123"/>
      <c r="G414" s="123">
        <v>0</v>
      </c>
      <c r="H414" s="123">
        <v>0</v>
      </c>
      <c r="I414" s="123">
        <v>0</v>
      </c>
      <c r="J414" s="123">
        <v>0</v>
      </c>
      <c r="K414" s="123">
        <v>0</v>
      </c>
      <c r="L414" s="123">
        <v>0</v>
      </c>
      <c r="M414" s="123"/>
      <c r="N414" s="123"/>
      <c r="O414" s="123"/>
      <c r="P414" s="123"/>
      <c r="Q414" s="123"/>
      <c r="R414" s="123"/>
    </row>
    <row r="415" spans="1:18" x14ac:dyDescent="0.2">
      <c r="A415" s="12">
        <v>10</v>
      </c>
      <c r="B415" s="12" t="s">
        <v>425</v>
      </c>
      <c r="C415" s="12" t="s">
        <v>26</v>
      </c>
      <c r="D415" s="129">
        <v>19.600000000000001</v>
      </c>
      <c r="E415" s="12">
        <v>2005</v>
      </c>
      <c r="F415" s="123"/>
      <c r="G415" s="123">
        <v>0</v>
      </c>
      <c r="H415" s="123">
        <v>0</v>
      </c>
      <c r="I415" s="123">
        <v>0</v>
      </c>
      <c r="J415" s="123">
        <v>0</v>
      </c>
      <c r="K415" s="123">
        <v>0</v>
      </c>
      <c r="L415" s="123">
        <v>0</v>
      </c>
      <c r="M415" s="123"/>
      <c r="N415" s="123"/>
      <c r="O415" s="123"/>
      <c r="P415" s="123"/>
      <c r="Q415" s="123"/>
      <c r="R415" s="123"/>
    </row>
    <row r="416" spans="1:18" x14ac:dyDescent="0.2">
      <c r="A416" s="12">
        <v>10</v>
      </c>
      <c r="B416" s="12" t="s">
        <v>426</v>
      </c>
      <c r="C416" s="12" t="s">
        <v>26</v>
      </c>
      <c r="D416" s="129">
        <v>30.05</v>
      </c>
      <c r="E416" s="12">
        <v>2005</v>
      </c>
      <c r="F416" s="123"/>
      <c r="G416" s="123">
        <v>0</v>
      </c>
      <c r="H416" s="123">
        <v>0</v>
      </c>
      <c r="I416" s="123">
        <v>0</v>
      </c>
      <c r="J416" s="123">
        <v>0</v>
      </c>
      <c r="K416" s="123">
        <v>0</v>
      </c>
      <c r="L416" s="123">
        <v>0</v>
      </c>
      <c r="M416" s="123"/>
      <c r="N416" s="123"/>
      <c r="O416" s="123"/>
      <c r="P416" s="123"/>
      <c r="Q416" s="123"/>
      <c r="R416" s="123"/>
    </row>
    <row r="417" spans="1:18" x14ac:dyDescent="0.2">
      <c r="A417" s="12">
        <v>10</v>
      </c>
      <c r="B417" s="12" t="s">
        <v>427</v>
      </c>
      <c r="C417" s="12" t="s">
        <v>26</v>
      </c>
      <c r="D417" s="129">
        <v>30.94</v>
      </c>
      <c r="E417" s="12">
        <v>2005</v>
      </c>
      <c r="F417" s="123"/>
      <c r="G417" s="123">
        <v>0</v>
      </c>
      <c r="H417" s="123">
        <v>0</v>
      </c>
      <c r="I417" s="123">
        <v>0</v>
      </c>
      <c r="J417" s="123">
        <v>0</v>
      </c>
      <c r="K417" s="123">
        <v>0</v>
      </c>
      <c r="L417" s="123">
        <v>0</v>
      </c>
      <c r="M417" s="123"/>
      <c r="N417" s="123"/>
      <c r="O417" s="123"/>
      <c r="P417" s="123"/>
      <c r="Q417" s="123"/>
      <c r="R417" s="123"/>
    </row>
    <row r="418" spans="1:18" x14ac:dyDescent="0.2">
      <c r="A418" s="12">
        <v>10</v>
      </c>
      <c r="B418" s="12" t="s">
        <v>428</v>
      </c>
      <c r="C418" s="12" t="s">
        <v>26</v>
      </c>
      <c r="D418" s="129">
        <v>28.47</v>
      </c>
      <c r="E418" s="12">
        <v>2005</v>
      </c>
      <c r="F418" s="123"/>
      <c r="G418" s="123">
        <v>0</v>
      </c>
      <c r="H418" s="123">
        <v>0</v>
      </c>
      <c r="I418" s="123">
        <v>0</v>
      </c>
      <c r="J418" s="123">
        <v>0</v>
      </c>
      <c r="K418" s="123">
        <v>0</v>
      </c>
      <c r="L418" s="123">
        <v>0</v>
      </c>
      <c r="M418" s="123"/>
      <c r="N418" s="123"/>
      <c r="O418" s="123"/>
      <c r="P418" s="123"/>
      <c r="Q418" s="123"/>
      <c r="R418" s="123"/>
    </row>
    <row r="419" spans="1:18" x14ac:dyDescent="0.2">
      <c r="A419" s="12">
        <v>10</v>
      </c>
      <c r="B419" s="12" t="s">
        <v>429</v>
      </c>
      <c r="C419" s="12" t="s">
        <v>26</v>
      </c>
      <c r="D419" s="129">
        <v>29.48</v>
      </c>
      <c r="E419" s="12">
        <v>2005</v>
      </c>
      <c r="F419" s="123"/>
      <c r="G419" s="123">
        <v>0</v>
      </c>
      <c r="H419" s="123">
        <v>0</v>
      </c>
      <c r="I419" s="123">
        <v>0</v>
      </c>
      <c r="J419" s="123">
        <v>0</v>
      </c>
      <c r="K419" s="123">
        <v>0</v>
      </c>
      <c r="L419" s="123">
        <v>0</v>
      </c>
      <c r="M419" s="123"/>
      <c r="N419" s="123"/>
      <c r="O419" s="123"/>
      <c r="P419" s="123"/>
      <c r="Q419" s="123"/>
      <c r="R419" s="123"/>
    </row>
    <row r="420" spans="1:18" x14ac:dyDescent="0.2">
      <c r="A420" s="12">
        <v>10</v>
      </c>
      <c r="B420" s="12" t="s">
        <v>430</v>
      </c>
      <c r="C420" s="12" t="s">
        <v>26</v>
      </c>
      <c r="D420" s="129">
        <v>29.95</v>
      </c>
      <c r="E420" s="12">
        <v>2005</v>
      </c>
      <c r="F420" s="123"/>
      <c r="G420" s="123">
        <v>0</v>
      </c>
      <c r="H420" s="123">
        <v>0</v>
      </c>
      <c r="I420" s="123">
        <v>0</v>
      </c>
      <c r="J420" s="123">
        <v>0</v>
      </c>
      <c r="K420" s="123">
        <v>0</v>
      </c>
      <c r="L420" s="123">
        <v>0</v>
      </c>
      <c r="M420" s="123"/>
      <c r="N420" s="123"/>
      <c r="O420" s="123"/>
      <c r="P420" s="123"/>
      <c r="Q420" s="123"/>
      <c r="R420" s="123"/>
    </row>
    <row r="421" spans="1:18" x14ac:dyDescent="0.2">
      <c r="A421" s="12">
        <v>10</v>
      </c>
      <c r="B421" s="12" t="s">
        <v>431</v>
      </c>
      <c r="C421" s="12" t="s">
        <v>26</v>
      </c>
      <c r="D421" s="129">
        <v>29.72</v>
      </c>
      <c r="E421" s="12">
        <v>2005</v>
      </c>
      <c r="F421" s="123"/>
      <c r="G421" s="123">
        <v>0</v>
      </c>
      <c r="H421" s="123">
        <v>0</v>
      </c>
      <c r="I421" s="123">
        <v>0</v>
      </c>
      <c r="J421" s="123">
        <v>0</v>
      </c>
      <c r="K421" s="123">
        <v>0</v>
      </c>
      <c r="L421" s="123">
        <v>0</v>
      </c>
      <c r="M421" s="123"/>
      <c r="N421" s="123"/>
      <c r="O421" s="123"/>
      <c r="P421" s="123"/>
      <c r="Q421" s="123"/>
      <c r="R421" s="123"/>
    </row>
    <row r="422" spans="1:18" x14ac:dyDescent="0.2">
      <c r="A422" s="12">
        <v>10</v>
      </c>
      <c r="B422" s="12" t="s">
        <v>432</v>
      </c>
      <c r="C422" s="12" t="s">
        <v>26</v>
      </c>
      <c r="D422" s="129">
        <v>18.61</v>
      </c>
      <c r="E422" s="12">
        <v>2006</v>
      </c>
      <c r="F422" s="123"/>
      <c r="G422" s="123">
        <v>0</v>
      </c>
      <c r="H422" s="123">
        <v>0</v>
      </c>
      <c r="I422" s="123">
        <v>0</v>
      </c>
      <c r="J422" s="123">
        <v>0</v>
      </c>
      <c r="K422" s="123">
        <v>0</v>
      </c>
      <c r="L422" s="123">
        <v>0</v>
      </c>
      <c r="M422" s="123"/>
      <c r="N422" s="123"/>
      <c r="O422" s="123"/>
      <c r="P422" s="123"/>
      <c r="Q422" s="123"/>
      <c r="R422" s="123"/>
    </row>
    <row r="423" spans="1:18" x14ac:dyDescent="0.2">
      <c r="A423" s="12">
        <v>10</v>
      </c>
      <c r="B423" s="12" t="s">
        <v>433</v>
      </c>
      <c r="C423" s="12" t="s">
        <v>26</v>
      </c>
      <c r="D423" s="129">
        <v>36.96</v>
      </c>
      <c r="E423" s="12">
        <v>2006</v>
      </c>
      <c r="F423" s="123"/>
      <c r="G423" s="123">
        <v>0</v>
      </c>
      <c r="H423" s="123">
        <v>0</v>
      </c>
      <c r="I423" s="123">
        <v>0</v>
      </c>
      <c r="J423" s="123">
        <v>0</v>
      </c>
      <c r="K423" s="123">
        <v>0</v>
      </c>
      <c r="L423" s="123">
        <v>0</v>
      </c>
      <c r="M423" s="123"/>
      <c r="N423" s="123"/>
      <c r="O423" s="123"/>
      <c r="P423" s="123"/>
      <c r="Q423" s="123"/>
      <c r="R423" s="123"/>
    </row>
    <row r="424" spans="1:18" x14ac:dyDescent="0.2">
      <c r="A424" s="12">
        <v>10</v>
      </c>
      <c r="B424" s="12" t="s">
        <v>434</v>
      </c>
      <c r="C424" s="12" t="s">
        <v>26</v>
      </c>
      <c r="D424" s="129">
        <v>35.15</v>
      </c>
      <c r="E424" s="12">
        <v>2006</v>
      </c>
      <c r="F424" s="123"/>
      <c r="G424" s="123">
        <v>0</v>
      </c>
      <c r="H424" s="123">
        <v>0</v>
      </c>
      <c r="I424" s="123">
        <v>0</v>
      </c>
      <c r="J424" s="123">
        <v>0</v>
      </c>
      <c r="K424" s="123">
        <v>0</v>
      </c>
      <c r="L424" s="123">
        <v>0</v>
      </c>
      <c r="M424" s="123"/>
      <c r="N424" s="123"/>
      <c r="O424" s="123"/>
      <c r="P424" s="123"/>
      <c r="Q424" s="123"/>
      <c r="R424" s="123"/>
    </row>
    <row r="425" spans="1:18" x14ac:dyDescent="0.2">
      <c r="A425" s="12">
        <v>10</v>
      </c>
      <c r="B425" s="12" t="s">
        <v>435</v>
      </c>
      <c r="C425" s="12" t="s">
        <v>26</v>
      </c>
      <c r="D425" s="129">
        <v>26.85</v>
      </c>
      <c r="E425" s="12">
        <v>2006</v>
      </c>
      <c r="F425" s="123"/>
      <c r="G425" s="123">
        <v>0</v>
      </c>
      <c r="H425" s="123">
        <v>0</v>
      </c>
      <c r="I425" s="123">
        <v>0</v>
      </c>
      <c r="J425" s="123">
        <v>0</v>
      </c>
      <c r="K425" s="123">
        <v>0</v>
      </c>
      <c r="L425" s="123">
        <v>0</v>
      </c>
      <c r="M425" s="123"/>
      <c r="N425" s="123"/>
      <c r="O425" s="123"/>
      <c r="P425" s="123"/>
      <c r="Q425" s="123"/>
      <c r="R425" s="123"/>
    </row>
    <row r="426" spans="1:18" x14ac:dyDescent="0.2">
      <c r="A426" s="12">
        <v>10</v>
      </c>
      <c r="B426" s="12" t="s">
        <v>436</v>
      </c>
      <c r="C426" s="12" t="s">
        <v>26</v>
      </c>
      <c r="D426" s="129">
        <v>24.09</v>
      </c>
      <c r="E426" s="12">
        <v>2006</v>
      </c>
      <c r="F426" s="123"/>
      <c r="G426" s="123">
        <v>0</v>
      </c>
      <c r="H426" s="123">
        <v>0</v>
      </c>
      <c r="I426" s="123">
        <v>0</v>
      </c>
      <c r="J426" s="123">
        <v>0</v>
      </c>
      <c r="K426" s="123">
        <v>0</v>
      </c>
      <c r="L426" s="123">
        <v>0</v>
      </c>
      <c r="M426" s="123"/>
      <c r="N426" s="123"/>
      <c r="O426" s="123"/>
      <c r="P426" s="123"/>
      <c r="Q426" s="123"/>
      <c r="R426" s="123"/>
    </row>
    <row r="427" spans="1:18" x14ac:dyDescent="0.2">
      <c r="A427" s="12">
        <v>10</v>
      </c>
      <c r="B427" s="12" t="s">
        <v>437</v>
      </c>
      <c r="C427" s="12" t="s">
        <v>26</v>
      </c>
      <c r="D427" s="129">
        <v>16.02</v>
      </c>
      <c r="E427" s="12">
        <v>2006</v>
      </c>
      <c r="F427" s="123"/>
      <c r="G427" s="123">
        <v>0</v>
      </c>
      <c r="H427" s="123">
        <v>0</v>
      </c>
      <c r="I427" s="123">
        <v>0</v>
      </c>
      <c r="J427" s="123">
        <v>0</v>
      </c>
      <c r="K427" s="123">
        <v>0</v>
      </c>
      <c r="L427" s="123">
        <v>0</v>
      </c>
      <c r="M427" s="123"/>
      <c r="N427" s="123"/>
      <c r="O427" s="123"/>
      <c r="P427" s="123"/>
      <c r="Q427" s="123"/>
      <c r="R427" s="123"/>
    </row>
    <row r="428" spans="1:18" x14ac:dyDescent="0.2">
      <c r="A428" s="12">
        <v>10</v>
      </c>
      <c r="B428" s="12" t="s">
        <v>438</v>
      </c>
      <c r="C428" s="12" t="s">
        <v>26</v>
      </c>
      <c r="D428" s="129">
        <v>12.88</v>
      </c>
      <c r="E428" s="12">
        <v>2005</v>
      </c>
      <c r="F428" s="123"/>
      <c r="G428" s="123">
        <v>0</v>
      </c>
      <c r="H428" s="123">
        <v>0</v>
      </c>
      <c r="I428" s="123">
        <v>0</v>
      </c>
      <c r="J428" s="123">
        <v>0</v>
      </c>
      <c r="K428" s="123">
        <v>0</v>
      </c>
      <c r="L428" s="123">
        <v>0</v>
      </c>
      <c r="M428" s="123"/>
      <c r="N428" s="123"/>
      <c r="O428" s="123"/>
      <c r="P428" s="123"/>
      <c r="Q428" s="123"/>
      <c r="R428" s="123"/>
    </row>
    <row r="429" spans="1:18" x14ac:dyDescent="0.2">
      <c r="A429" s="313" t="s">
        <v>71</v>
      </c>
      <c r="B429" s="314"/>
      <c r="C429" s="315"/>
      <c r="D429" s="150">
        <f>SUM(D389:D428)</f>
        <v>1123.5900000000001</v>
      </c>
      <c r="E429" s="125"/>
      <c r="F429" s="126"/>
      <c r="G429" s="123"/>
      <c r="H429" s="126"/>
      <c r="I429" s="126"/>
      <c r="J429" s="126"/>
      <c r="K429" s="126"/>
      <c r="L429" s="123"/>
      <c r="M429" s="126"/>
      <c r="N429" s="126"/>
      <c r="O429" s="126"/>
      <c r="P429" s="126"/>
      <c r="Q429" s="126"/>
      <c r="R429" s="126"/>
    </row>
  </sheetData>
  <autoFilter ref="A7:R429" xr:uid="{00000000-0009-0000-0000-000000000000}"/>
  <mergeCells count="18">
    <mergeCell ref="A1:R2"/>
    <mergeCell ref="A5:A7"/>
    <mergeCell ref="B5:B7"/>
    <mergeCell ref="C5:C7"/>
    <mergeCell ref="D5:D7"/>
    <mergeCell ref="E5:E7"/>
    <mergeCell ref="F5:R5"/>
    <mergeCell ref="G6:R6"/>
    <mergeCell ref="A304:C304"/>
    <mergeCell ref="A345:C345"/>
    <mergeCell ref="A388:C388"/>
    <mergeCell ref="A429:C429"/>
    <mergeCell ref="A53:C53"/>
    <mergeCell ref="A92:C92"/>
    <mergeCell ref="A132:C132"/>
    <mergeCell ref="A175:C175"/>
    <mergeCell ref="A218:C218"/>
    <mergeCell ref="A255:C255"/>
  </mergeCells>
  <conditionalFormatting sqref="F8:R429">
    <cfRule type="cellIs" dxfId="27" priority="1" operator="greaterThanOrEqual">
      <formula>5</formula>
    </cfRule>
    <cfRule type="containsBlanks" dxfId="26" priority="2">
      <formula>LEN(TRIM(F8))=0</formula>
    </cfRule>
    <cfRule type="cellIs" dxfId="25" priority="3" operator="between">
      <formula>0.01</formula>
      <formula>2</formula>
    </cfRule>
    <cfRule type="cellIs" dxfId="24" priority="4" operator="between">
      <formula>2.01</formula>
      <formula>4.99</formula>
    </cfRule>
    <cfRule type="cellIs" dxfId="23" priority="5" operator="greaterThan">
      <formula>5</formula>
    </cfRule>
    <cfRule type="cellIs" dxfId="22" priority="8" operator="equal">
      <formula>0</formula>
    </cfRule>
    <cfRule type="cellIs" dxfId="21" priority="9" operator="lessThanOrEqual">
      <formula>2</formula>
    </cfRule>
  </conditionalFormatting>
  <pageMargins left="0.7" right="0.7" top="0.75" bottom="0.75" header="0.3" footer="0.3"/>
  <pageSetup paperSize="9" orientation="portrait" r:id="rId1"/>
  <ignoredErrors>
    <ignoredError sqref="J40:J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B48"/>
  <sheetViews>
    <sheetView workbookViewId="0">
      <selection activeCell="A49" sqref="A49"/>
    </sheetView>
  </sheetViews>
  <sheetFormatPr baseColWidth="10" defaultColWidth="8.83203125" defaultRowHeight="15" x14ac:dyDescent="0.2"/>
  <sheetData>
    <row r="1" spans="1:28" x14ac:dyDescent="0.2">
      <c r="A1" s="305" t="s">
        <v>0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</row>
    <row r="2" spans="1:28" x14ac:dyDescent="0.2">
      <c r="A2" s="305"/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  <c r="AA2" s="305"/>
    </row>
    <row r="3" spans="1:28" x14ac:dyDescent="0.2">
      <c r="A3" s="1" t="s">
        <v>1</v>
      </c>
      <c r="B3" s="1" t="s">
        <v>2</v>
      </c>
      <c r="C3" s="2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8" x14ac:dyDescent="0.2">
      <c r="A5" s="306" t="s">
        <v>5</v>
      </c>
      <c r="B5" s="320" t="s">
        <v>439</v>
      </c>
      <c r="C5" s="306" t="s">
        <v>10</v>
      </c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306"/>
      <c r="T5" s="306"/>
      <c r="U5" s="306"/>
      <c r="V5" s="306"/>
      <c r="W5" s="306"/>
      <c r="X5" s="306"/>
      <c r="Y5" s="306"/>
      <c r="Z5" s="306"/>
      <c r="AA5" s="306"/>
      <c r="AB5" s="306"/>
    </row>
    <row r="6" spans="1:28" ht="15" customHeight="1" x14ac:dyDescent="0.2">
      <c r="A6" s="306"/>
      <c r="B6" s="320"/>
      <c r="C6" s="306">
        <v>2025</v>
      </c>
      <c r="D6" s="306"/>
      <c r="E6" s="306" t="s">
        <v>11</v>
      </c>
      <c r="F6" s="306"/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W6" s="306"/>
      <c r="X6" s="306"/>
      <c r="Y6" s="306"/>
      <c r="Z6" s="306"/>
      <c r="AA6" s="306"/>
      <c r="AB6" s="306"/>
    </row>
    <row r="7" spans="1:28" x14ac:dyDescent="0.2">
      <c r="A7" s="306"/>
      <c r="B7" s="320"/>
      <c r="C7" s="320" t="s">
        <v>12</v>
      </c>
      <c r="D7" s="320"/>
      <c r="E7" s="306" t="s">
        <v>13</v>
      </c>
      <c r="F7" s="306"/>
      <c r="G7" s="306" t="s">
        <v>14</v>
      </c>
      <c r="H7" s="306"/>
      <c r="I7" s="306" t="s">
        <v>15</v>
      </c>
      <c r="J7" s="306"/>
      <c r="K7" s="306" t="s">
        <v>16</v>
      </c>
      <c r="L7" s="306"/>
      <c r="M7" s="306" t="s">
        <v>17</v>
      </c>
      <c r="N7" s="306"/>
      <c r="O7" s="306" t="s">
        <v>18</v>
      </c>
      <c r="P7" s="306"/>
      <c r="Q7" s="306" t="s">
        <v>19</v>
      </c>
      <c r="R7" s="306"/>
      <c r="S7" s="306" t="s">
        <v>20</v>
      </c>
      <c r="T7" s="306"/>
      <c r="U7" s="306" t="s">
        <v>21</v>
      </c>
      <c r="V7" s="306"/>
      <c r="W7" s="306" t="s">
        <v>22</v>
      </c>
      <c r="X7" s="306"/>
      <c r="Y7" s="306" t="s">
        <v>23</v>
      </c>
      <c r="Z7" s="306"/>
      <c r="AA7" s="306" t="s">
        <v>24</v>
      </c>
      <c r="AB7" s="306"/>
    </row>
    <row r="8" spans="1:28" ht="32" x14ac:dyDescent="0.2">
      <c r="A8" s="306"/>
      <c r="B8" s="320"/>
      <c r="C8" s="11" t="s">
        <v>8</v>
      </c>
      <c r="D8" s="11" t="s">
        <v>440</v>
      </c>
      <c r="E8" s="11" t="s">
        <v>8</v>
      </c>
      <c r="F8" s="11" t="s">
        <v>440</v>
      </c>
      <c r="G8" s="11" t="s">
        <v>8</v>
      </c>
      <c r="H8" s="11" t="s">
        <v>440</v>
      </c>
      <c r="I8" s="11" t="s">
        <v>8</v>
      </c>
      <c r="J8" s="11" t="s">
        <v>440</v>
      </c>
      <c r="K8" s="11" t="s">
        <v>8</v>
      </c>
      <c r="L8" s="11" t="s">
        <v>440</v>
      </c>
      <c r="M8" s="11" t="s">
        <v>8</v>
      </c>
      <c r="N8" s="11" t="s">
        <v>440</v>
      </c>
      <c r="O8" s="11" t="s">
        <v>8</v>
      </c>
      <c r="P8" s="11" t="s">
        <v>440</v>
      </c>
      <c r="Q8" s="11" t="s">
        <v>8</v>
      </c>
      <c r="R8" s="11" t="s">
        <v>440</v>
      </c>
      <c r="S8" s="11" t="s">
        <v>8</v>
      </c>
      <c r="T8" s="11" t="s">
        <v>440</v>
      </c>
      <c r="U8" s="11" t="s">
        <v>8</v>
      </c>
      <c r="V8" s="11" t="s">
        <v>440</v>
      </c>
      <c r="W8" s="11" t="s">
        <v>8</v>
      </c>
      <c r="X8" s="11" t="s">
        <v>440</v>
      </c>
      <c r="Y8" s="11" t="s">
        <v>8</v>
      </c>
      <c r="Z8" s="11" t="s">
        <v>440</v>
      </c>
      <c r="AA8" s="11" t="s">
        <v>8</v>
      </c>
      <c r="AB8" s="11" t="s">
        <v>440</v>
      </c>
    </row>
    <row r="9" spans="1:28" x14ac:dyDescent="0.2">
      <c r="A9" s="319">
        <v>1</v>
      </c>
      <c r="B9" s="155">
        <v>0</v>
      </c>
      <c r="C9" s="14"/>
      <c r="D9" s="14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 x14ac:dyDescent="0.2">
      <c r="A10" s="319"/>
      <c r="B10" s="156" t="s">
        <v>610</v>
      </c>
      <c r="C10" s="14"/>
      <c r="D10" s="14"/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1:28" x14ac:dyDescent="0.2">
      <c r="A11" s="319"/>
      <c r="B11" s="157" t="s">
        <v>611</v>
      </c>
      <c r="C11" s="14"/>
      <c r="D11" s="14"/>
      <c r="E11" s="14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28" x14ac:dyDescent="0.2">
      <c r="A12" s="319"/>
      <c r="B12" s="158" t="s">
        <v>609</v>
      </c>
      <c r="C12" s="14"/>
      <c r="D12" s="14"/>
      <c r="E12" s="14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 x14ac:dyDescent="0.2">
      <c r="A13" s="319">
        <v>2</v>
      </c>
      <c r="B13" s="155">
        <v>0</v>
      </c>
      <c r="C13" s="14"/>
      <c r="D13" s="14"/>
      <c r="E13" s="14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 x14ac:dyDescent="0.2">
      <c r="A14" s="319"/>
      <c r="B14" s="156" t="s">
        <v>610</v>
      </c>
      <c r="C14" s="14"/>
      <c r="D14" s="14"/>
      <c r="E14" s="14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spans="1:28" x14ac:dyDescent="0.2">
      <c r="A15" s="319"/>
      <c r="B15" s="157" t="s">
        <v>611</v>
      </c>
      <c r="C15" s="14"/>
      <c r="D15" s="14"/>
      <c r="E15" s="14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28" x14ac:dyDescent="0.2">
      <c r="A16" s="319"/>
      <c r="B16" s="158" t="s">
        <v>609</v>
      </c>
      <c r="C16" s="14"/>
      <c r="D16" s="14"/>
      <c r="E16" s="14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1:28" x14ac:dyDescent="0.2">
      <c r="A17" s="319">
        <v>3</v>
      </c>
      <c r="B17" s="155">
        <v>0</v>
      </c>
      <c r="C17" s="14"/>
      <c r="D17" s="14"/>
      <c r="E17" s="14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1:28" x14ac:dyDescent="0.2">
      <c r="A18" s="319"/>
      <c r="B18" s="156" t="s">
        <v>610</v>
      </c>
      <c r="C18" s="14"/>
      <c r="D18" s="14"/>
      <c r="E18" s="14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spans="1:28" x14ac:dyDescent="0.2">
      <c r="A19" s="319"/>
      <c r="B19" s="157" t="s">
        <v>611</v>
      </c>
      <c r="C19" s="14"/>
      <c r="D19" s="14"/>
      <c r="E19" s="14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1:28" x14ac:dyDescent="0.2">
      <c r="A20" s="319"/>
      <c r="B20" s="158" t="s">
        <v>609</v>
      </c>
      <c r="C20" s="14"/>
      <c r="D20" s="14"/>
      <c r="E20" s="14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spans="1:28" x14ac:dyDescent="0.2">
      <c r="A21" s="319">
        <v>4</v>
      </c>
      <c r="B21" s="155">
        <v>0</v>
      </c>
      <c r="C21" s="14"/>
      <c r="D21" s="14"/>
      <c r="E21" s="14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spans="1:28" x14ac:dyDescent="0.2">
      <c r="A22" s="319"/>
      <c r="B22" s="156" t="s">
        <v>610</v>
      </c>
      <c r="C22" s="14"/>
      <c r="D22" s="14"/>
      <c r="E22" s="14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spans="1:28" x14ac:dyDescent="0.2">
      <c r="A23" s="319"/>
      <c r="B23" s="157" t="s">
        <v>611</v>
      </c>
      <c r="C23" s="14"/>
      <c r="D23" s="14"/>
      <c r="E23" s="14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spans="1:28" x14ac:dyDescent="0.2">
      <c r="A24" s="319"/>
      <c r="B24" s="158" t="s">
        <v>609</v>
      </c>
      <c r="C24" s="14"/>
      <c r="D24" s="14"/>
      <c r="E24" s="14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spans="1:28" x14ac:dyDescent="0.2">
      <c r="A25" s="319">
        <v>5</v>
      </c>
      <c r="B25" s="155">
        <v>0</v>
      </c>
      <c r="C25" s="14"/>
      <c r="D25" s="14"/>
      <c r="E25" s="14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spans="1:28" x14ac:dyDescent="0.2">
      <c r="A26" s="319"/>
      <c r="B26" s="156" t="s">
        <v>610</v>
      </c>
      <c r="C26" s="14"/>
      <c r="D26" s="14"/>
      <c r="E26" s="14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spans="1:28" x14ac:dyDescent="0.2">
      <c r="A27" s="319"/>
      <c r="B27" s="157" t="s">
        <v>611</v>
      </c>
      <c r="C27" s="14"/>
      <c r="D27" s="14"/>
      <c r="E27" s="14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spans="1:28" x14ac:dyDescent="0.2">
      <c r="A28" s="319"/>
      <c r="B28" s="158" t="s">
        <v>609</v>
      </c>
      <c r="C28" s="14"/>
      <c r="D28" s="14"/>
      <c r="E28" s="14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spans="1:28" x14ac:dyDescent="0.2">
      <c r="A29" s="319">
        <v>6</v>
      </c>
      <c r="B29" s="155">
        <v>0</v>
      </c>
      <c r="C29" s="14"/>
      <c r="D29" s="14"/>
      <c r="E29" s="14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spans="1:28" x14ac:dyDescent="0.2">
      <c r="A30" s="319"/>
      <c r="B30" s="156" t="s">
        <v>610</v>
      </c>
      <c r="C30" s="14"/>
      <c r="D30" s="14"/>
      <c r="E30" s="14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spans="1:28" x14ac:dyDescent="0.2">
      <c r="A31" s="319"/>
      <c r="B31" s="157" t="s">
        <v>611</v>
      </c>
      <c r="C31" s="14"/>
      <c r="D31" s="14"/>
      <c r="E31" s="14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spans="1:28" x14ac:dyDescent="0.2">
      <c r="A32" s="319"/>
      <c r="B32" s="158" t="s">
        <v>609</v>
      </c>
      <c r="C32" s="14"/>
      <c r="D32" s="14"/>
      <c r="E32" s="14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spans="1:28" x14ac:dyDescent="0.2">
      <c r="A33" s="319">
        <v>7</v>
      </c>
      <c r="B33" s="155">
        <v>0</v>
      </c>
      <c r="C33" s="14"/>
      <c r="D33" s="14"/>
      <c r="E33" s="14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spans="1:28" x14ac:dyDescent="0.2">
      <c r="A34" s="319"/>
      <c r="B34" s="156" t="s">
        <v>610</v>
      </c>
      <c r="C34" s="14"/>
      <c r="D34" s="14"/>
      <c r="E34" s="14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spans="1:28" x14ac:dyDescent="0.2">
      <c r="A35" s="319"/>
      <c r="B35" s="157" t="s">
        <v>611</v>
      </c>
      <c r="C35" s="14"/>
      <c r="D35" s="14"/>
      <c r="E35" s="14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spans="1:28" x14ac:dyDescent="0.2">
      <c r="A36" s="319"/>
      <c r="B36" s="158" t="s">
        <v>609</v>
      </c>
      <c r="C36" s="14"/>
      <c r="D36" s="14"/>
      <c r="E36" s="14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28" x14ac:dyDescent="0.2">
      <c r="A37" s="319">
        <v>8</v>
      </c>
      <c r="B37" s="155">
        <v>0</v>
      </c>
      <c r="C37" s="14"/>
      <c r="D37" s="14"/>
      <c r="E37" s="1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spans="1:28" x14ac:dyDescent="0.2">
      <c r="A38" s="319"/>
      <c r="B38" s="156" t="s">
        <v>610</v>
      </c>
      <c r="C38" s="14"/>
      <c r="D38" s="14"/>
      <c r="E38" s="14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spans="1:28" x14ac:dyDescent="0.2">
      <c r="A39" s="319"/>
      <c r="B39" s="157" t="s">
        <v>611</v>
      </c>
      <c r="C39" s="14"/>
      <c r="D39" s="14"/>
      <c r="E39" s="14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spans="1:28" x14ac:dyDescent="0.2">
      <c r="A40" s="319"/>
      <c r="B40" s="158" t="s">
        <v>609</v>
      </c>
      <c r="C40" s="14"/>
      <c r="D40" s="14"/>
      <c r="E40" s="1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spans="1:28" x14ac:dyDescent="0.2">
      <c r="A41" s="319">
        <v>9</v>
      </c>
      <c r="B41" s="155">
        <v>0</v>
      </c>
      <c r="C41" s="14"/>
      <c r="D41" s="14"/>
      <c r="E41" s="1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spans="1:28" x14ac:dyDescent="0.2">
      <c r="A42" s="319"/>
      <c r="B42" s="156" t="s">
        <v>610</v>
      </c>
      <c r="C42" s="14"/>
      <c r="D42" s="14"/>
      <c r="E42" s="1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spans="1:28" x14ac:dyDescent="0.2">
      <c r="A43" s="319"/>
      <c r="B43" s="157" t="s">
        <v>611</v>
      </c>
      <c r="C43" s="14"/>
      <c r="D43" s="14"/>
      <c r="E43" s="14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spans="1:28" x14ac:dyDescent="0.2">
      <c r="A44" s="319"/>
      <c r="B44" s="158" t="s">
        <v>609</v>
      </c>
      <c r="C44" s="14"/>
      <c r="D44" s="14"/>
      <c r="E44" s="14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spans="1:28" x14ac:dyDescent="0.2">
      <c r="A45" s="319">
        <v>10</v>
      </c>
      <c r="B45" s="155">
        <v>0</v>
      </c>
      <c r="C45" s="14"/>
      <c r="D45" s="14"/>
      <c r="E45" s="14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spans="1:28" x14ac:dyDescent="0.2">
      <c r="A46" s="319"/>
      <c r="B46" s="156" t="s">
        <v>610</v>
      </c>
      <c r="C46" s="14"/>
      <c r="D46" s="14"/>
      <c r="E46" s="14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spans="1:28" x14ac:dyDescent="0.2">
      <c r="A47" s="319"/>
      <c r="B47" s="157" t="s">
        <v>611</v>
      </c>
      <c r="C47" s="14"/>
      <c r="D47" s="14"/>
      <c r="E47" s="14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spans="1:28" x14ac:dyDescent="0.2">
      <c r="A48" s="319"/>
      <c r="B48" s="158" t="s">
        <v>609</v>
      </c>
      <c r="C48" s="14"/>
      <c r="D48" s="14"/>
      <c r="E48" s="14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</sheetData>
  <mergeCells count="29">
    <mergeCell ref="A45:A48"/>
    <mergeCell ref="A25:A28"/>
    <mergeCell ref="A29:A32"/>
    <mergeCell ref="A33:A36"/>
    <mergeCell ref="A37:A40"/>
    <mergeCell ref="A41:A44"/>
    <mergeCell ref="A1:AA2"/>
    <mergeCell ref="A5:A8"/>
    <mergeCell ref="B5:B8"/>
    <mergeCell ref="C5:AB5"/>
    <mergeCell ref="C6:D6"/>
    <mergeCell ref="E6:AB6"/>
    <mergeCell ref="C7:D7"/>
    <mergeCell ref="E7:F7"/>
    <mergeCell ref="G7:H7"/>
    <mergeCell ref="I7:J7"/>
    <mergeCell ref="A21:A24"/>
    <mergeCell ref="W7:X7"/>
    <mergeCell ref="Y7:Z7"/>
    <mergeCell ref="AA7:AB7"/>
    <mergeCell ref="A9:A12"/>
    <mergeCell ref="A13:A16"/>
    <mergeCell ref="A17:A20"/>
    <mergeCell ref="K7:L7"/>
    <mergeCell ref="M7:N7"/>
    <mergeCell ref="O7:P7"/>
    <mergeCell ref="Q7:R7"/>
    <mergeCell ref="S7:T7"/>
    <mergeCell ref="U7:V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P148"/>
  <sheetViews>
    <sheetView topLeftCell="A3" workbookViewId="0">
      <selection activeCell="F20" sqref="F20"/>
    </sheetView>
  </sheetViews>
  <sheetFormatPr baseColWidth="10" defaultColWidth="14.5" defaultRowHeight="15" customHeight="1" x14ac:dyDescent="0.2"/>
  <cols>
    <col min="1" max="3" width="9" style="211" customWidth="1"/>
    <col min="4" max="4" width="8.5" style="211" customWidth="1"/>
    <col min="5" max="5" width="11.33203125" style="211" customWidth="1"/>
    <col min="6" max="6" width="9" style="211" customWidth="1"/>
    <col min="7" max="7" width="11.5" style="211" customWidth="1"/>
    <col min="8" max="8" width="14.6640625" style="211" customWidth="1"/>
    <col min="9" max="9" width="16" style="211" customWidth="1"/>
    <col min="10" max="10" width="10.1640625" style="211" customWidth="1"/>
    <col min="11" max="14" width="8.83203125" style="211" customWidth="1"/>
    <col min="15" max="15" width="9.6640625" style="211" customWidth="1"/>
    <col min="16" max="16" width="11.6640625" style="254" customWidth="1"/>
    <col min="17" max="21" width="11.6640625" style="211" customWidth="1"/>
    <col min="22" max="22" width="11.83203125" style="211" customWidth="1"/>
    <col min="23" max="23" width="11" style="211" customWidth="1"/>
    <col min="24" max="24" width="10.33203125" style="211" customWidth="1"/>
    <col min="25" max="25" width="10" style="211" customWidth="1"/>
    <col min="26" max="26" width="10.1640625" style="211" customWidth="1"/>
    <col min="27" max="27" width="12" style="211" customWidth="1"/>
    <col min="28" max="42" width="8.83203125" style="211" customWidth="1"/>
    <col min="43" max="16384" width="14.5" style="211"/>
  </cols>
  <sheetData>
    <row r="1" spans="1:42" ht="13.5" hidden="1" customHeight="1" x14ac:dyDescent="0.2">
      <c r="A1" s="207"/>
      <c r="B1" s="207"/>
      <c r="C1" s="207"/>
      <c r="D1" s="208"/>
      <c r="E1" s="209"/>
      <c r="F1" s="209"/>
      <c r="G1" s="207"/>
      <c r="H1" s="207"/>
      <c r="I1" s="207"/>
      <c r="J1" s="209"/>
      <c r="K1" s="209"/>
      <c r="L1" s="209"/>
      <c r="M1" s="209"/>
      <c r="N1" s="209"/>
      <c r="O1" s="209"/>
      <c r="P1" s="210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</row>
    <row r="2" spans="1:42" ht="13.5" hidden="1" customHeight="1" x14ac:dyDescent="0.2">
      <c r="A2" s="207"/>
      <c r="B2" s="207"/>
      <c r="C2" s="207"/>
      <c r="D2" s="208"/>
      <c r="E2" s="209"/>
      <c r="F2" s="209"/>
      <c r="G2" s="207"/>
      <c r="H2" s="207"/>
      <c r="I2" s="207"/>
      <c r="J2" s="209"/>
      <c r="K2" s="209"/>
      <c r="L2" s="209"/>
      <c r="M2" s="209"/>
      <c r="N2" s="209"/>
      <c r="O2" s="209"/>
      <c r="P2" s="210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</row>
    <row r="3" spans="1:42" ht="13.5" customHeight="1" x14ac:dyDescent="0.2">
      <c r="A3" s="207" t="s">
        <v>690</v>
      </c>
      <c r="B3" s="207"/>
      <c r="C3" s="207"/>
      <c r="D3" s="208"/>
      <c r="E3" s="209"/>
      <c r="F3" s="209"/>
      <c r="G3" s="207"/>
      <c r="H3" s="207"/>
      <c r="I3" s="207"/>
      <c r="J3" s="209"/>
      <c r="K3" s="209"/>
      <c r="L3" s="209"/>
      <c r="M3" s="209"/>
      <c r="N3" s="209"/>
      <c r="O3" s="209"/>
      <c r="P3" s="210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7"/>
      <c r="AN3" s="207"/>
      <c r="AO3" s="207"/>
      <c r="AP3" s="207"/>
    </row>
    <row r="4" spans="1:42" ht="13.5" customHeight="1" x14ac:dyDescent="0.2">
      <c r="A4" s="207" t="s">
        <v>691</v>
      </c>
      <c r="B4" s="207"/>
      <c r="C4" s="207"/>
      <c r="D4" s="208"/>
      <c r="E4" s="209"/>
      <c r="F4" s="209"/>
      <c r="G4" s="207"/>
      <c r="H4" s="207"/>
      <c r="I4" s="207"/>
      <c r="J4" s="209"/>
      <c r="K4" s="209"/>
      <c r="L4" s="209"/>
      <c r="M4" s="209"/>
      <c r="N4" s="209"/>
      <c r="O4" s="209"/>
      <c r="P4" s="210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</row>
    <row r="5" spans="1:42" ht="13.5" customHeight="1" x14ac:dyDescent="0.2">
      <c r="A5" s="207" t="s">
        <v>692</v>
      </c>
      <c r="B5" s="207"/>
      <c r="C5" s="207"/>
      <c r="D5" s="208"/>
      <c r="E5" s="209"/>
      <c r="F5" s="209"/>
      <c r="G5" s="207"/>
      <c r="H5" s="207"/>
      <c r="I5" s="207"/>
      <c r="J5" s="209"/>
      <c r="K5" s="209"/>
      <c r="L5" s="209"/>
      <c r="M5" s="209"/>
      <c r="N5" s="209"/>
      <c r="O5" s="209"/>
      <c r="P5" s="210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</row>
    <row r="6" spans="1:42" ht="13.5" customHeight="1" x14ac:dyDescent="0.2">
      <c r="A6" s="207"/>
      <c r="B6" s="207"/>
      <c r="C6" s="207"/>
      <c r="D6" s="208"/>
      <c r="E6" s="209"/>
      <c r="F6" s="209"/>
      <c r="G6" s="207"/>
      <c r="H6" s="207"/>
      <c r="I6" s="207"/>
      <c r="J6" s="209"/>
      <c r="K6" s="209"/>
      <c r="L6" s="209"/>
      <c r="M6" s="209"/>
      <c r="N6" s="209"/>
      <c r="O6" s="209"/>
      <c r="P6" s="210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207"/>
      <c r="AK6" s="207"/>
      <c r="AL6" s="207"/>
      <c r="AM6" s="207"/>
      <c r="AN6" s="207"/>
      <c r="AO6" s="207"/>
      <c r="AP6" s="207"/>
    </row>
    <row r="7" spans="1:42" ht="14.25" customHeight="1" x14ac:dyDescent="0.2">
      <c r="A7" s="337" t="s">
        <v>679</v>
      </c>
      <c r="B7" s="337" t="s">
        <v>616</v>
      </c>
      <c r="C7" s="338" t="s">
        <v>693</v>
      </c>
      <c r="D7" s="349" t="s">
        <v>694</v>
      </c>
      <c r="E7" s="333" t="s">
        <v>617</v>
      </c>
      <c r="F7" s="333" t="s">
        <v>641</v>
      </c>
      <c r="G7" s="337" t="s">
        <v>695</v>
      </c>
      <c r="H7" s="337"/>
      <c r="I7" s="337"/>
      <c r="J7" s="337"/>
      <c r="K7" s="337"/>
      <c r="L7" s="337"/>
      <c r="M7" s="337"/>
      <c r="N7" s="337"/>
      <c r="O7" s="337"/>
      <c r="P7" s="338" t="s">
        <v>696</v>
      </c>
      <c r="Q7" s="338"/>
      <c r="R7" s="338"/>
      <c r="S7" s="338"/>
      <c r="T7" s="338"/>
      <c r="U7" s="338"/>
      <c r="V7" s="339" t="s">
        <v>697</v>
      </c>
      <c r="W7" s="339"/>
      <c r="X7" s="339"/>
      <c r="Y7" s="339"/>
      <c r="Z7" s="339"/>
      <c r="AA7" s="340" t="s">
        <v>698</v>
      </c>
      <c r="AB7" s="207"/>
      <c r="AC7" s="207"/>
      <c r="AD7" s="207"/>
      <c r="AE7" s="207"/>
      <c r="AF7" s="207"/>
      <c r="AG7" s="207"/>
      <c r="AH7" s="207"/>
      <c r="AI7" s="207"/>
      <c r="AJ7" s="207"/>
      <c r="AK7" s="207"/>
      <c r="AL7" s="207"/>
      <c r="AM7" s="207"/>
      <c r="AN7" s="207"/>
      <c r="AO7" s="207"/>
      <c r="AP7" s="207"/>
    </row>
    <row r="8" spans="1:42" ht="44.5" customHeight="1" x14ac:dyDescent="0.2">
      <c r="A8" s="337"/>
      <c r="B8" s="337"/>
      <c r="C8" s="338"/>
      <c r="D8" s="349"/>
      <c r="E8" s="333"/>
      <c r="F8" s="333"/>
      <c r="G8" s="337"/>
      <c r="H8" s="337"/>
      <c r="I8" s="337"/>
      <c r="J8" s="337"/>
      <c r="K8" s="337"/>
      <c r="L8" s="337"/>
      <c r="M8" s="337"/>
      <c r="N8" s="337"/>
      <c r="O8" s="337"/>
      <c r="P8" s="343" t="s">
        <v>699</v>
      </c>
      <c r="Q8" s="344"/>
      <c r="R8" s="345" t="s">
        <v>700</v>
      </c>
      <c r="S8" s="346"/>
      <c r="T8" s="343" t="s">
        <v>701</v>
      </c>
      <c r="U8" s="344"/>
      <c r="V8" s="339"/>
      <c r="W8" s="339"/>
      <c r="X8" s="339"/>
      <c r="Y8" s="339"/>
      <c r="Z8" s="339"/>
      <c r="AA8" s="341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</row>
    <row r="9" spans="1:42" ht="32" customHeight="1" x14ac:dyDescent="0.2">
      <c r="A9" s="337"/>
      <c r="B9" s="337"/>
      <c r="C9" s="338"/>
      <c r="D9" s="349"/>
      <c r="E9" s="333"/>
      <c r="F9" s="333"/>
      <c r="G9" s="338" t="s">
        <v>617</v>
      </c>
      <c r="H9" s="338" t="s">
        <v>622</v>
      </c>
      <c r="I9" s="338" t="s">
        <v>702</v>
      </c>
      <c r="J9" s="331" t="s">
        <v>703</v>
      </c>
      <c r="K9" s="333" t="s">
        <v>704</v>
      </c>
      <c r="L9" s="334"/>
      <c r="M9" s="334"/>
      <c r="N9" s="334"/>
      <c r="O9" s="335" t="s">
        <v>705</v>
      </c>
      <c r="P9" s="212" t="s">
        <v>706</v>
      </c>
      <c r="Q9" s="212" t="s">
        <v>707</v>
      </c>
      <c r="R9" s="212" t="s">
        <v>706</v>
      </c>
      <c r="S9" s="212" t="s">
        <v>708</v>
      </c>
      <c r="T9" s="212" t="s">
        <v>706</v>
      </c>
      <c r="U9" s="213" t="s">
        <v>709</v>
      </c>
      <c r="V9" s="327" t="s">
        <v>710</v>
      </c>
      <c r="W9" s="327" t="s">
        <v>711</v>
      </c>
      <c r="X9" s="327" t="s">
        <v>712</v>
      </c>
      <c r="Y9" s="327" t="s">
        <v>705</v>
      </c>
      <c r="Z9" s="327" t="s">
        <v>713</v>
      </c>
      <c r="AA9" s="341"/>
      <c r="AB9" s="207"/>
      <c r="AC9" s="207"/>
      <c r="AD9" s="207"/>
      <c r="AE9" s="207"/>
      <c r="AF9" s="207"/>
      <c r="AG9" s="207"/>
      <c r="AH9" s="207"/>
      <c r="AI9" s="207"/>
      <c r="AJ9" s="207"/>
      <c r="AK9" s="207"/>
      <c r="AL9" s="207"/>
      <c r="AM9" s="207"/>
      <c r="AN9" s="207"/>
      <c r="AO9" s="207"/>
      <c r="AP9" s="207"/>
    </row>
    <row r="10" spans="1:42" ht="13.5" customHeight="1" x14ac:dyDescent="0.2">
      <c r="A10" s="348"/>
      <c r="B10" s="348"/>
      <c r="C10" s="347"/>
      <c r="D10" s="350"/>
      <c r="E10" s="351"/>
      <c r="F10" s="351"/>
      <c r="G10" s="347"/>
      <c r="H10" s="347"/>
      <c r="I10" s="347"/>
      <c r="J10" s="332"/>
      <c r="K10" s="216" t="s">
        <v>714</v>
      </c>
      <c r="L10" s="216" t="s">
        <v>615</v>
      </c>
      <c r="M10" s="216" t="s">
        <v>715</v>
      </c>
      <c r="N10" s="216" t="s">
        <v>579</v>
      </c>
      <c r="O10" s="336"/>
      <c r="P10" s="215">
        <v>0.15</v>
      </c>
      <c r="Q10" s="214">
        <v>2.5</v>
      </c>
      <c r="R10" s="214">
        <v>0.6</v>
      </c>
      <c r="S10" s="214">
        <v>9.8000000000000004E-2</v>
      </c>
      <c r="T10" s="217">
        <f>435*2/1000</f>
        <v>0.87</v>
      </c>
      <c r="U10" s="218">
        <f>435*1/1000</f>
        <v>0.435</v>
      </c>
      <c r="V10" s="327"/>
      <c r="W10" s="327"/>
      <c r="X10" s="327"/>
      <c r="Y10" s="327"/>
      <c r="Z10" s="327"/>
      <c r="AA10" s="342"/>
      <c r="AB10" s="207"/>
      <c r="AC10" s="207"/>
      <c r="AD10" s="207"/>
      <c r="AE10" s="207"/>
      <c r="AF10" s="207"/>
      <c r="AG10" s="207"/>
      <c r="AH10" s="207"/>
      <c r="AI10" s="207"/>
      <c r="AJ10" s="207"/>
      <c r="AK10" s="207"/>
      <c r="AL10" s="207"/>
      <c r="AM10" s="207"/>
      <c r="AN10" s="207"/>
      <c r="AO10" s="207"/>
      <c r="AP10" s="207"/>
    </row>
    <row r="11" spans="1:42" ht="13.5" customHeight="1" x14ac:dyDescent="0.2">
      <c r="A11" s="219">
        <v>5</v>
      </c>
      <c r="B11" s="220" t="s">
        <v>195</v>
      </c>
      <c r="C11" s="221" t="s">
        <v>716</v>
      </c>
      <c r="D11" s="222">
        <v>3868</v>
      </c>
      <c r="E11" s="223">
        <v>30.89</v>
      </c>
      <c r="F11" s="222">
        <v>125.218517319521</v>
      </c>
      <c r="G11" s="223">
        <v>30.89</v>
      </c>
      <c r="H11" s="224" t="s">
        <v>717</v>
      </c>
      <c r="I11" s="225" t="s">
        <v>718</v>
      </c>
      <c r="J11" s="222">
        <v>21</v>
      </c>
      <c r="K11" s="222">
        <v>106</v>
      </c>
      <c r="L11" s="222">
        <v>2</v>
      </c>
      <c r="M11" s="222">
        <v>0</v>
      </c>
      <c r="N11" s="222">
        <f>SUM(K11:M11)</f>
        <v>108</v>
      </c>
      <c r="O11" s="226">
        <f>IFERROR(N11/J11,0)</f>
        <v>5.1428571428571432</v>
      </c>
      <c r="P11" s="227">
        <f>E11*P10</f>
        <v>4.6334999999999997</v>
      </c>
      <c r="Q11" s="223">
        <f>Q10*E11</f>
        <v>77.224999999999994</v>
      </c>
      <c r="R11" s="223"/>
      <c r="S11" s="223"/>
      <c r="T11" s="223"/>
      <c r="U11" s="228"/>
      <c r="V11" s="229" t="s">
        <v>719</v>
      </c>
      <c r="W11" s="230">
        <v>21</v>
      </c>
      <c r="X11" s="231">
        <v>4</v>
      </c>
      <c r="Y11" s="232">
        <f>IFERROR(X11/W11,0)</f>
        <v>0.19047619047619047</v>
      </c>
      <c r="Z11" s="223"/>
      <c r="AA11" s="233">
        <f>((100-(Y11/O11*100)))</f>
        <v>96.296296296296291</v>
      </c>
      <c r="AB11" s="207"/>
      <c r="AC11" s="207"/>
      <c r="AD11" s="207"/>
      <c r="AE11" s="207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7"/>
    </row>
    <row r="12" spans="1:42" ht="13.5" customHeight="1" x14ac:dyDescent="0.2">
      <c r="A12" s="219"/>
      <c r="B12" s="234"/>
      <c r="C12" s="221"/>
      <c r="D12" s="222"/>
      <c r="E12" s="223"/>
      <c r="F12" s="222"/>
      <c r="G12" s="223"/>
      <c r="H12" s="224"/>
      <c r="I12" s="224"/>
      <c r="J12" s="222"/>
      <c r="K12" s="222"/>
      <c r="L12" s="222"/>
      <c r="M12" s="222"/>
      <c r="N12" s="222"/>
      <c r="O12" s="226">
        <f t="shared" ref="O12:O16" si="0">IFERROR(N12/J12,0)</f>
        <v>0</v>
      </c>
      <c r="P12" s="235"/>
      <c r="Q12" s="222"/>
      <c r="R12" s="222"/>
      <c r="S12" s="222"/>
      <c r="T12" s="222"/>
      <c r="U12" s="222"/>
      <c r="V12" s="223"/>
      <c r="W12" s="236"/>
      <c r="X12" s="237"/>
      <c r="Y12" s="232">
        <f t="shared" ref="Y12:Y16" si="1">IFERROR(X12/W12,0)</f>
        <v>0</v>
      </c>
      <c r="Z12" s="223"/>
      <c r="AA12" s="233"/>
      <c r="AB12" s="207"/>
      <c r="AC12" s="207"/>
      <c r="AD12" s="207"/>
      <c r="AE12" s="207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</row>
    <row r="13" spans="1:42" ht="13.5" customHeight="1" x14ac:dyDescent="0.2">
      <c r="A13" s="219"/>
      <c r="B13" s="220"/>
      <c r="C13" s="221"/>
      <c r="D13" s="222"/>
      <c r="E13" s="223"/>
      <c r="F13" s="222"/>
      <c r="G13" s="223"/>
      <c r="H13" s="224"/>
      <c r="I13" s="224"/>
      <c r="J13" s="222"/>
      <c r="K13" s="222"/>
      <c r="L13" s="222"/>
      <c r="M13" s="222"/>
      <c r="N13" s="222"/>
      <c r="O13" s="226">
        <f t="shared" si="0"/>
        <v>0</v>
      </c>
      <c r="P13" s="235"/>
      <c r="Q13" s="222"/>
      <c r="R13" s="222"/>
      <c r="S13" s="222"/>
      <c r="T13" s="222"/>
      <c r="U13" s="222"/>
      <c r="V13" s="223"/>
      <c r="W13" s="222"/>
      <c r="X13" s="223"/>
      <c r="Y13" s="232">
        <f t="shared" si="1"/>
        <v>0</v>
      </c>
      <c r="Z13" s="223"/>
      <c r="AA13" s="233"/>
      <c r="AB13" s="207"/>
      <c r="AC13" s="207"/>
      <c r="AD13" s="207"/>
      <c r="AE13" s="238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</row>
    <row r="14" spans="1:42" ht="13.5" customHeight="1" x14ac:dyDescent="0.2">
      <c r="A14" s="219"/>
      <c r="B14" s="220"/>
      <c r="C14" s="221"/>
      <c r="D14" s="222"/>
      <c r="E14" s="223"/>
      <c r="F14" s="222"/>
      <c r="G14" s="223"/>
      <c r="H14" s="224"/>
      <c r="I14" s="224"/>
      <c r="J14" s="222"/>
      <c r="K14" s="222"/>
      <c r="L14" s="222"/>
      <c r="M14" s="222"/>
      <c r="N14" s="222"/>
      <c r="O14" s="226">
        <f t="shared" si="0"/>
        <v>0</v>
      </c>
      <c r="P14" s="235"/>
      <c r="Q14" s="222"/>
      <c r="R14" s="222"/>
      <c r="S14" s="222"/>
      <c r="T14" s="222"/>
      <c r="U14" s="222"/>
      <c r="V14" s="223"/>
      <c r="W14" s="222"/>
      <c r="X14" s="223"/>
      <c r="Y14" s="232">
        <f t="shared" si="1"/>
        <v>0</v>
      </c>
      <c r="Z14" s="223"/>
      <c r="AA14" s="233"/>
      <c r="AB14" s="207"/>
      <c r="AC14" s="207"/>
      <c r="AD14" s="207"/>
      <c r="AE14" s="207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</row>
    <row r="15" spans="1:42" ht="13.5" customHeight="1" x14ac:dyDescent="0.2">
      <c r="A15" s="219"/>
      <c r="B15" s="220"/>
      <c r="C15" s="221"/>
      <c r="D15" s="222"/>
      <c r="E15" s="223"/>
      <c r="F15" s="222"/>
      <c r="G15" s="223"/>
      <c r="H15" s="224"/>
      <c r="I15" s="224"/>
      <c r="J15" s="222"/>
      <c r="K15" s="222"/>
      <c r="L15" s="222"/>
      <c r="M15" s="222"/>
      <c r="N15" s="222"/>
      <c r="O15" s="226">
        <f t="shared" si="0"/>
        <v>0</v>
      </c>
      <c r="P15" s="235"/>
      <c r="Q15" s="222"/>
      <c r="R15" s="222"/>
      <c r="S15" s="222"/>
      <c r="T15" s="222"/>
      <c r="U15" s="222"/>
      <c r="V15" s="223"/>
      <c r="W15" s="222"/>
      <c r="X15" s="223"/>
      <c r="Y15" s="232">
        <f t="shared" si="1"/>
        <v>0</v>
      </c>
      <c r="Z15" s="223"/>
      <c r="AA15" s="233"/>
      <c r="AB15" s="207"/>
      <c r="AC15" s="207"/>
      <c r="AD15" s="207"/>
      <c r="AE15" s="207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</row>
    <row r="16" spans="1:42" ht="13.5" customHeight="1" x14ac:dyDescent="0.2">
      <c r="A16" s="219"/>
      <c r="B16" s="220"/>
      <c r="C16" s="221"/>
      <c r="D16" s="222"/>
      <c r="E16" s="223"/>
      <c r="F16" s="222"/>
      <c r="G16" s="223"/>
      <c r="H16" s="224"/>
      <c r="I16" s="224"/>
      <c r="J16" s="236"/>
      <c r="K16" s="222"/>
      <c r="L16" s="222"/>
      <c r="M16" s="222"/>
      <c r="N16" s="222"/>
      <c r="O16" s="226">
        <f t="shared" si="0"/>
        <v>0</v>
      </c>
      <c r="P16" s="235"/>
      <c r="Q16" s="222"/>
      <c r="R16" s="222"/>
      <c r="S16" s="222"/>
      <c r="T16" s="222"/>
      <c r="U16" s="222"/>
      <c r="V16" s="223"/>
      <c r="W16" s="222"/>
      <c r="X16" s="223"/>
      <c r="Y16" s="232">
        <f t="shared" si="1"/>
        <v>0</v>
      </c>
      <c r="Z16" s="223"/>
      <c r="AA16" s="233"/>
      <c r="AB16" s="207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</row>
    <row r="17" spans="1:42" ht="13.5" customHeight="1" x14ac:dyDescent="0.2">
      <c r="A17" s="219"/>
      <c r="B17" s="220"/>
      <c r="C17" s="221"/>
      <c r="D17" s="222"/>
      <c r="E17" s="223"/>
      <c r="F17" s="222"/>
      <c r="G17" s="223"/>
      <c r="H17" s="224"/>
      <c r="I17" s="224"/>
      <c r="J17" s="236"/>
      <c r="K17" s="222"/>
      <c r="L17" s="222"/>
      <c r="M17" s="222"/>
      <c r="N17" s="222"/>
      <c r="O17" s="222"/>
      <c r="P17" s="235"/>
      <c r="Q17" s="222"/>
      <c r="R17" s="222"/>
      <c r="S17" s="222"/>
      <c r="T17" s="222"/>
      <c r="U17" s="222"/>
      <c r="V17" s="239"/>
      <c r="W17" s="236"/>
      <c r="X17" s="237"/>
      <c r="Y17" s="223"/>
      <c r="Z17" s="223"/>
      <c r="AA17" s="236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</row>
    <row r="18" spans="1:42" ht="13.5" customHeight="1" x14ac:dyDescent="0.2">
      <c r="A18" s="219"/>
      <c r="B18" s="220"/>
      <c r="C18" s="221"/>
      <c r="D18" s="222"/>
      <c r="E18" s="223"/>
      <c r="F18" s="222"/>
      <c r="G18" s="223"/>
      <c r="H18" s="224"/>
      <c r="I18" s="224"/>
      <c r="J18" s="222"/>
      <c r="K18" s="222"/>
      <c r="L18" s="222"/>
      <c r="M18" s="222"/>
      <c r="N18" s="222"/>
      <c r="O18" s="222"/>
      <c r="P18" s="235"/>
      <c r="Q18" s="222"/>
      <c r="R18" s="222"/>
      <c r="S18" s="222"/>
      <c r="T18" s="222"/>
      <c r="U18" s="222"/>
      <c r="V18" s="239"/>
      <c r="W18" s="236"/>
      <c r="X18" s="237"/>
      <c r="Y18" s="223"/>
      <c r="Z18" s="223"/>
      <c r="AA18" s="236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</row>
    <row r="19" spans="1:42" ht="13.5" customHeight="1" x14ac:dyDescent="0.2">
      <c r="A19" s="219"/>
      <c r="B19" s="220"/>
      <c r="C19" s="221"/>
      <c r="D19" s="222"/>
      <c r="E19" s="223"/>
      <c r="F19" s="222"/>
      <c r="G19" s="223"/>
      <c r="H19" s="224"/>
      <c r="I19" s="224"/>
      <c r="J19" s="236"/>
      <c r="K19" s="222"/>
      <c r="L19" s="222"/>
      <c r="M19" s="222"/>
      <c r="N19" s="222"/>
      <c r="O19" s="222"/>
      <c r="P19" s="235"/>
      <c r="Q19" s="222"/>
      <c r="R19" s="222"/>
      <c r="S19" s="222"/>
      <c r="T19" s="222"/>
      <c r="U19" s="222"/>
      <c r="V19" s="239"/>
      <c r="W19" s="236"/>
      <c r="X19" s="237"/>
      <c r="Y19" s="223"/>
      <c r="Z19" s="223"/>
      <c r="AA19" s="236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</row>
    <row r="20" spans="1:42" ht="13.5" customHeight="1" x14ac:dyDescent="0.2">
      <c r="A20" s="219"/>
      <c r="B20" s="220"/>
      <c r="C20" s="221"/>
      <c r="D20" s="222"/>
      <c r="E20" s="223"/>
      <c r="F20" s="222"/>
      <c r="G20" s="223"/>
      <c r="H20" s="224"/>
      <c r="I20" s="224"/>
      <c r="J20" s="236"/>
      <c r="K20" s="222"/>
      <c r="L20" s="222"/>
      <c r="M20" s="222"/>
      <c r="N20" s="222"/>
      <c r="O20" s="222"/>
      <c r="P20" s="235"/>
      <c r="Q20" s="222"/>
      <c r="R20" s="222"/>
      <c r="S20" s="222"/>
      <c r="T20" s="222"/>
      <c r="U20" s="222"/>
      <c r="V20" s="239"/>
      <c r="W20" s="236"/>
      <c r="X20" s="237"/>
      <c r="Y20" s="223"/>
      <c r="Z20" s="223"/>
      <c r="AA20" s="236"/>
      <c r="AB20" s="207"/>
      <c r="AC20" s="207"/>
      <c r="AD20" s="207"/>
      <c r="AE20" s="207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</row>
    <row r="21" spans="1:42" ht="13.5" customHeight="1" x14ac:dyDescent="0.2">
      <c r="A21" s="219"/>
      <c r="B21" s="220"/>
      <c r="C21" s="221"/>
      <c r="D21" s="222"/>
      <c r="E21" s="223"/>
      <c r="F21" s="222"/>
      <c r="G21" s="223"/>
      <c r="H21" s="224"/>
      <c r="I21" s="224"/>
      <c r="J21" s="236"/>
      <c r="K21" s="222"/>
      <c r="L21" s="222"/>
      <c r="M21" s="222"/>
      <c r="N21" s="222"/>
      <c r="O21" s="222"/>
      <c r="P21" s="235"/>
      <c r="Q21" s="222"/>
      <c r="R21" s="222"/>
      <c r="S21" s="222"/>
      <c r="T21" s="222"/>
      <c r="U21" s="222"/>
      <c r="V21" s="239"/>
      <c r="W21" s="236"/>
      <c r="X21" s="237"/>
      <c r="Y21" s="223"/>
      <c r="Z21" s="223"/>
      <c r="AA21" s="236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</row>
    <row r="22" spans="1:42" ht="13.5" customHeight="1" x14ac:dyDescent="0.2">
      <c r="A22" s="219"/>
      <c r="B22" s="220"/>
      <c r="C22" s="221"/>
      <c r="D22" s="222"/>
      <c r="E22" s="223"/>
      <c r="F22" s="222"/>
      <c r="G22" s="223"/>
      <c r="H22" s="224"/>
      <c r="I22" s="224"/>
      <c r="J22" s="222"/>
      <c r="K22" s="222"/>
      <c r="L22" s="222"/>
      <c r="M22" s="222"/>
      <c r="N22" s="222"/>
      <c r="O22" s="223"/>
      <c r="P22" s="227"/>
      <c r="Q22" s="223"/>
      <c r="R22" s="223"/>
      <c r="S22" s="223"/>
      <c r="T22" s="223"/>
      <c r="U22" s="223"/>
      <c r="V22" s="223"/>
      <c r="W22" s="222"/>
      <c r="X22" s="223"/>
      <c r="Y22" s="223"/>
      <c r="Z22" s="223"/>
      <c r="AA22" s="223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</row>
    <row r="23" spans="1:42" ht="13.5" customHeight="1" x14ac:dyDescent="0.2">
      <c r="A23" s="219"/>
      <c r="B23" s="220"/>
      <c r="C23" s="221"/>
      <c r="D23" s="222"/>
      <c r="E23" s="223"/>
      <c r="F23" s="222"/>
      <c r="G23" s="223"/>
      <c r="H23" s="224"/>
      <c r="I23" s="224"/>
      <c r="J23" s="222"/>
      <c r="K23" s="222"/>
      <c r="L23" s="222"/>
      <c r="M23" s="222"/>
      <c r="N23" s="222"/>
      <c r="O23" s="223"/>
      <c r="P23" s="227"/>
      <c r="Q23" s="223"/>
      <c r="R23" s="223"/>
      <c r="S23" s="223"/>
      <c r="T23" s="223"/>
      <c r="U23" s="223"/>
      <c r="V23" s="223"/>
      <c r="W23" s="222"/>
      <c r="X23" s="223"/>
      <c r="Y23" s="223"/>
      <c r="Z23" s="223"/>
      <c r="AA23" s="223"/>
      <c r="AB23" s="207"/>
      <c r="AC23" s="207"/>
      <c r="AD23" s="207"/>
      <c r="AE23" s="207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</row>
    <row r="24" spans="1:42" ht="13.5" customHeight="1" x14ac:dyDescent="0.2">
      <c r="A24" s="219"/>
      <c r="B24" s="220"/>
      <c r="C24" s="221"/>
      <c r="D24" s="222"/>
      <c r="E24" s="223"/>
      <c r="F24" s="222"/>
      <c r="G24" s="223"/>
      <c r="H24" s="240"/>
      <c r="I24" s="240"/>
      <c r="J24" s="222"/>
      <c r="K24" s="222"/>
      <c r="L24" s="222"/>
      <c r="M24" s="222"/>
      <c r="N24" s="222"/>
      <c r="O24" s="222"/>
      <c r="P24" s="235"/>
      <c r="Q24" s="222"/>
      <c r="R24" s="222"/>
      <c r="S24" s="222"/>
      <c r="T24" s="222"/>
      <c r="U24" s="222"/>
      <c r="V24" s="223"/>
      <c r="W24" s="222"/>
      <c r="X24" s="223"/>
      <c r="Y24" s="223"/>
      <c r="Z24" s="223"/>
      <c r="AA24" s="223"/>
      <c r="AB24" s="207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</row>
    <row r="25" spans="1:42" ht="13.5" customHeight="1" x14ac:dyDescent="0.2">
      <c r="A25" s="219"/>
      <c r="B25" s="220"/>
      <c r="C25" s="221"/>
      <c r="D25" s="222"/>
      <c r="E25" s="223"/>
      <c r="F25" s="222"/>
      <c r="G25" s="223"/>
      <c r="H25" s="240"/>
      <c r="I25" s="240"/>
      <c r="J25" s="236"/>
      <c r="K25" s="222"/>
      <c r="L25" s="222"/>
      <c r="M25" s="222"/>
      <c r="N25" s="222"/>
      <c r="O25" s="222"/>
      <c r="P25" s="235"/>
      <c r="Q25" s="222"/>
      <c r="R25" s="222"/>
      <c r="S25" s="222"/>
      <c r="T25" s="222"/>
      <c r="U25" s="222"/>
      <c r="V25" s="223"/>
      <c r="W25" s="222"/>
      <c r="X25" s="223"/>
      <c r="Y25" s="223"/>
      <c r="Z25" s="223"/>
      <c r="AA25" s="223"/>
      <c r="AB25" s="207"/>
      <c r="AC25" s="207"/>
      <c r="AD25" s="207"/>
      <c r="AE25" s="207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</row>
    <row r="26" spans="1:42" ht="13.5" customHeight="1" x14ac:dyDescent="0.2">
      <c r="A26" s="219"/>
      <c r="B26" s="220"/>
      <c r="C26" s="221"/>
      <c r="D26" s="222"/>
      <c r="E26" s="223"/>
      <c r="F26" s="222"/>
      <c r="G26" s="223"/>
      <c r="H26" s="240"/>
      <c r="I26" s="240"/>
      <c r="J26" s="236"/>
      <c r="K26" s="222"/>
      <c r="L26" s="222"/>
      <c r="M26" s="222"/>
      <c r="N26" s="222"/>
      <c r="O26" s="222"/>
      <c r="P26" s="235"/>
      <c r="Q26" s="222"/>
      <c r="R26" s="222"/>
      <c r="S26" s="222"/>
      <c r="T26" s="222"/>
      <c r="U26" s="222"/>
      <c r="V26" s="223"/>
      <c r="W26" s="222"/>
      <c r="X26" s="223"/>
      <c r="Y26" s="223"/>
      <c r="Z26" s="223"/>
      <c r="AA26" s="223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</row>
    <row r="27" spans="1:42" ht="13.5" customHeight="1" x14ac:dyDescent="0.2">
      <c r="A27" s="219"/>
      <c r="B27" s="220"/>
      <c r="C27" s="221"/>
      <c r="D27" s="222"/>
      <c r="E27" s="223"/>
      <c r="F27" s="222"/>
      <c r="G27" s="223"/>
      <c r="H27" s="240"/>
      <c r="I27" s="240"/>
      <c r="J27" s="222"/>
      <c r="K27" s="222"/>
      <c r="L27" s="222"/>
      <c r="M27" s="222"/>
      <c r="N27" s="222"/>
      <c r="O27" s="222"/>
      <c r="P27" s="235"/>
      <c r="Q27" s="222"/>
      <c r="R27" s="222"/>
      <c r="S27" s="222"/>
      <c r="T27" s="222"/>
      <c r="U27" s="222"/>
      <c r="V27" s="239"/>
      <c r="W27" s="236"/>
      <c r="X27" s="237"/>
      <c r="Y27" s="223"/>
      <c r="Z27" s="223"/>
      <c r="AA27" s="236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</row>
    <row r="28" spans="1:42" ht="13.5" customHeight="1" x14ac:dyDescent="0.2">
      <c r="A28" s="219"/>
      <c r="B28" s="220"/>
      <c r="C28" s="221"/>
      <c r="D28" s="222"/>
      <c r="E28" s="223"/>
      <c r="F28" s="222"/>
      <c r="G28" s="223"/>
      <c r="H28" s="240"/>
      <c r="I28" s="240"/>
      <c r="J28" s="222"/>
      <c r="K28" s="222"/>
      <c r="L28" s="222"/>
      <c r="M28" s="222"/>
      <c r="N28" s="222"/>
      <c r="O28" s="222"/>
      <c r="P28" s="235"/>
      <c r="Q28" s="222"/>
      <c r="R28" s="222"/>
      <c r="S28" s="222"/>
      <c r="T28" s="222"/>
      <c r="U28" s="222"/>
      <c r="V28" s="239"/>
      <c r="W28" s="236"/>
      <c r="X28" s="237"/>
      <c r="Y28" s="223"/>
      <c r="Z28" s="223"/>
      <c r="AA28" s="236"/>
      <c r="AB28" s="207"/>
      <c r="AC28" s="207"/>
      <c r="AD28" s="207"/>
      <c r="AE28" s="207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</row>
    <row r="29" spans="1:42" ht="13.5" customHeight="1" x14ac:dyDescent="0.2">
      <c r="A29" s="219"/>
      <c r="B29" s="220"/>
      <c r="C29" s="221"/>
      <c r="D29" s="222"/>
      <c r="E29" s="223"/>
      <c r="F29" s="222"/>
      <c r="G29" s="223"/>
      <c r="H29" s="240"/>
      <c r="I29" s="240"/>
      <c r="J29" s="222"/>
      <c r="K29" s="222"/>
      <c r="L29" s="222"/>
      <c r="M29" s="222"/>
      <c r="N29" s="222"/>
      <c r="O29" s="222"/>
      <c r="P29" s="235"/>
      <c r="Q29" s="222"/>
      <c r="R29" s="222"/>
      <c r="S29" s="222"/>
      <c r="T29" s="222"/>
      <c r="U29" s="222"/>
      <c r="V29" s="239"/>
      <c r="W29" s="236"/>
      <c r="X29" s="237"/>
      <c r="Y29" s="223"/>
      <c r="Z29" s="223"/>
      <c r="AA29" s="236"/>
      <c r="AB29" s="207"/>
      <c r="AC29" s="207"/>
      <c r="AD29" s="207"/>
      <c r="AE29" s="207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</row>
    <row r="30" spans="1:42" ht="13.5" customHeight="1" x14ac:dyDescent="0.2">
      <c r="A30" s="219"/>
      <c r="B30" s="220"/>
      <c r="C30" s="221"/>
      <c r="D30" s="222"/>
      <c r="E30" s="223"/>
      <c r="F30" s="222"/>
      <c r="G30" s="223"/>
      <c r="H30" s="240"/>
      <c r="I30" s="240"/>
      <c r="J30" s="222"/>
      <c r="K30" s="222"/>
      <c r="L30" s="222"/>
      <c r="M30" s="222"/>
      <c r="N30" s="222"/>
      <c r="O30" s="222"/>
      <c r="P30" s="235"/>
      <c r="Q30" s="222"/>
      <c r="R30" s="222"/>
      <c r="S30" s="222"/>
      <c r="T30" s="222"/>
      <c r="U30" s="222"/>
      <c r="V30" s="237"/>
      <c r="W30" s="237"/>
      <c r="X30" s="237"/>
      <c r="Y30" s="223"/>
      <c r="Z30" s="223"/>
      <c r="AA30" s="237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</row>
    <row r="31" spans="1:42" ht="13.5" customHeight="1" x14ac:dyDescent="0.2">
      <c r="A31" s="219"/>
      <c r="B31" s="220"/>
      <c r="C31" s="221"/>
      <c r="D31" s="222"/>
      <c r="E31" s="223"/>
      <c r="F31" s="222"/>
      <c r="G31" s="223"/>
      <c r="H31" s="240"/>
      <c r="I31" s="240"/>
      <c r="J31" s="222"/>
      <c r="K31" s="222"/>
      <c r="L31" s="222"/>
      <c r="M31" s="222"/>
      <c r="N31" s="222"/>
      <c r="O31" s="222"/>
      <c r="P31" s="235"/>
      <c r="Q31" s="222"/>
      <c r="R31" s="222"/>
      <c r="S31" s="222"/>
      <c r="T31" s="222"/>
      <c r="U31" s="222"/>
      <c r="V31" s="237"/>
      <c r="W31" s="237"/>
      <c r="X31" s="237"/>
      <c r="Y31" s="223"/>
      <c r="Z31" s="223"/>
      <c r="AA31" s="237"/>
      <c r="AB31" s="207"/>
      <c r="AC31" s="207"/>
      <c r="AD31" s="207"/>
      <c r="AE31" s="207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</row>
    <row r="32" spans="1:42" ht="13.5" customHeight="1" x14ac:dyDescent="0.2">
      <c r="A32" s="219"/>
      <c r="B32" s="220"/>
      <c r="C32" s="221"/>
      <c r="D32" s="222"/>
      <c r="E32" s="223"/>
      <c r="F32" s="222"/>
      <c r="G32" s="223"/>
      <c r="H32" s="240"/>
      <c r="I32" s="240"/>
      <c r="J32" s="222"/>
      <c r="K32" s="222"/>
      <c r="L32" s="222"/>
      <c r="M32" s="222"/>
      <c r="N32" s="222"/>
      <c r="O32" s="222"/>
      <c r="P32" s="235"/>
      <c r="Q32" s="222"/>
      <c r="R32" s="222"/>
      <c r="S32" s="222"/>
      <c r="T32" s="222"/>
      <c r="U32" s="222"/>
      <c r="V32" s="237"/>
      <c r="W32" s="237"/>
      <c r="X32" s="237"/>
      <c r="Y32" s="223"/>
      <c r="Z32" s="223"/>
      <c r="AA32" s="237"/>
      <c r="AB32" s="207"/>
      <c r="AC32" s="207"/>
      <c r="AD32" s="207"/>
      <c r="AE32" s="207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</row>
    <row r="33" spans="1:42" ht="13.5" customHeight="1" x14ac:dyDescent="0.2">
      <c r="A33" s="219"/>
      <c r="B33" s="220"/>
      <c r="C33" s="221"/>
      <c r="D33" s="222"/>
      <c r="E33" s="223"/>
      <c r="F33" s="222"/>
      <c r="G33" s="223"/>
      <c r="H33" s="240"/>
      <c r="I33" s="240"/>
      <c r="J33" s="236"/>
      <c r="K33" s="222"/>
      <c r="L33" s="222"/>
      <c r="M33" s="222"/>
      <c r="N33" s="222"/>
      <c r="O33" s="222"/>
      <c r="P33" s="235"/>
      <c r="Q33" s="222"/>
      <c r="R33" s="222"/>
      <c r="S33" s="222"/>
      <c r="T33" s="222"/>
      <c r="U33" s="222"/>
      <c r="V33" s="237"/>
      <c r="W33" s="237"/>
      <c r="X33" s="237"/>
      <c r="Y33" s="223"/>
      <c r="Z33" s="223"/>
      <c r="AA33" s="237"/>
      <c r="AB33" s="207"/>
      <c r="AC33" s="207"/>
      <c r="AD33" s="207"/>
      <c r="AE33" s="207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</row>
    <row r="34" spans="1:42" ht="13.5" customHeight="1" x14ac:dyDescent="0.2">
      <c r="A34" s="219"/>
      <c r="B34" s="220"/>
      <c r="C34" s="221"/>
      <c r="D34" s="222"/>
      <c r="E34" s="223"/>
      <c r="F34" s="222"/>
      <c r="G34" s="223"/>
      <c r="H34" s="240"/>
      <c r="I34" s="240"/>
      <c r="J34" s="236"/>
      <c r="K34" s="222"/>
      <c r="L34" s="222"/>
      <c r="M34" s="222"/>
      <c r="N34" s="222"/>
      <c r="O34" s="222"/>
      <c r="P34" s="235"/>
      <c r="Q34" s="222"/>
      <c r="R34" s="222"/>
      <c r="S34" s="222"/>
      <c r="T34" s="222"/>
      <c r="U34" s="222"/>
      <c r="V34" s="237"/>
      <c r="W34" s="237"/>
      <c r="X34" s="237"/>
      <c r="Y34" s="223"/>
      <c r="Z34" s="223"/>
      <c r="AA34" s="237"/>
      <c r="AB34" s="207"/>
      <c r="AC34" s="207"/>
      <c r="AD34" s="207"/>
      <c r="AE34" s="207"/>
      <c r="AF34" s="207"/>
      <c r="AG34" s="207"/>
      <c r="AH34" s="207"/>
      <c r="AI34" s="207"/>
      <c r="AJ34" s="207"/>
      <c r="AK34" s="207"/>
      <c r="AL34" s="207"/>
      <c r="AM34" s="207"/>
      <c r="AN34" s="207"/>
      <c r="AO34" s="207"/>
      <c r="AP34" s="207"/>
    </row>
    <row r="35" spans="1:42" ht="13.5" customHeight="1" x14ac:dyDescent="0.2">
      <c r="A35" s="219"/>
      <c r="B35" s="220"/>
      <c r="C35" s="221"/>
      <c r="D35" s="222"/>
      <c r="E35" s="223"/>
      <c r="F35" s="222"/>
      <c r="G35" s="223"/>
      <c r="H35" s="240"/>
      <c r="I35" s="240"/>
      <c r="J35" s="222"/>
      <c r="K35" s="222"/>
      <c r="L35" s="222"/>
      <c r="M35" s="222"/>
      <c r="N35" s="222"/>
      <c r="O35" s="222"/>
      <c r="P35" s="235"/>
      <c r="Q35" s="222"/>
      <c r="R35" s="222"/>
      <c r="S35" s="222"/>
      <c r="T35" s="222"/>
      <c r="U35" s="222"/>
      <c r="V35" s="237"/>
      <c r="W35" s="237"/>
      <c r="X35" s="237"/>
      <c r="Y35" s="223"/>
      <c r="Z35" s="223"/>
      <c r="AA35" s="237"/>
      <c r="AB35" s="207"/>
      <c r="AC35" s="207"/>
      <c r="AD35" s="207"/>
      <c r="AE35" s="207"/>
      <c r="AF35" s="207"/>
      <c r="AG35" s="207"/>
      <c r="AH35" s="207"/>
      <c r="AI35" s="207"/>
      <c r="AJ35" s="207"/>
      <c r="AK35" s="207"/>
      <c r="AL35" s="207"/>
      <c r="AM35" s="207"/>
      <c r="AN35" s="207"/>
      <c r="AO35" s="207"/>
      <c r="AP35" s="207"/>
    </row>
    <row r="36" spans="1:42" ht="13.5" customHeight="1" x14ac:dyDescent="0.2">
      <c r="A36" s="219"/>
      <c r="B36" s="220"/>
      <c r="C36" s="221"/>
      <c r="D36" s="222"/>
      <c r="E36" s="223"/>
      <c r="F36" s="222"/>
      <c r="G36" s="223"/>
      <c r="H36" s="241"/>
      <c r="I36" s="241"/>
      <c r="J36" s="236"/>
      <c r="K36" s="222"/>
      <c r="L36" s="222"/>
      <c r="M36" s="222"/>
      <c r="N36" s="222"/>
      <c r="O36" s="222"/>
      <c r="P36" s="235"/>
      <c r="Q36" s="222"/>
      <c r="R36" s="222"/>
      <c r="S36" s="222"/>
      <c r="T36" s="222"/>
      <c r="U36" s="222"/>
      <c r="V36" s="237"/>
      <c r="W36" s="237"/>
      <c r="X36" s="237"/>
      <c r="Y36" s="223"/>
      <c r="Z36" s="223"/>
      <c r="AA36" s="237"/>
      <c r="AB36" s="207"/>
      <c r="AC36" s="207"/>
      <c r="AD36" s="207"/>
      <c r="AE36" s="207"/>
      <c r="AF36" s="207"/>
      <c r="AG36" s="207"/>
      <c r="AH36" s="207"/>
      <c r="AI36" s="207"/>
      <c r="AJ36" s="207"/>
      <c r="AK36" s="207"/>
      <c r="AL36" s="207"/>
      <c r="AM36" s="207"/>
      <c r="AN36" s="207"/>
      <c r="AO36" s="207"/>
      <c r="AP36" s="207"/>
    </row>
    <row r="37" spans="1:42" ht="13.5" customHeight="1" x14ac:dyDescent="0.2">
      <c r="A37" s="219"/>
      <c r="B37" s="220"/>
      <c r="C37" s="221"/>
      <c r="D37" s="222"/>
      <c r="E37" s="223"/>
      <c r="F37" s="222"/>
      <c r="G37" s="223"/>
      <c r="H37" s="241"/>
      <c r="I37" s="241"/>
      <c r="J37" s="236"/>
      <c r="K37" s="222"/>
      <c r="L37" s="222"/>
      <c r="M37" s="222"/>
      <c r="N37" s="222"/>
      <c r="O37" s="222"/>
      <c r="P37" s="235"/>
      <c r="Q37" s="222"/>
      <c r="R37" s="222"/>
      <c r="S37" s="222"/>
      <c r="T37" s="222"/>
      <c r="U37" s="222"/>
      <c r="V37" s="237"/>
      <c r="W37" s="237"/>
      <c r="X37" s="237"/>
      <c r="Y37" s="223"/>
      <c r="Z37" s="223"/>
      <c r="AA37" s="237"/>
      <c r="AB37" s="207"/>
      <c r="AC37" s="207"/>
      <c r="AD37" s="207"/>
      <c r="AE37" s="207"/>
      <c r="AF37" s="207"/>
      <c r="AG37" s="207"/>
      <c r="AH37" s="207"/>
      <c r="AI37" s="207"/>
      <c r="AJ37" s="207"/>
      <c r="AK37" s="207"/>
      <c r="AL37" s="207"/>
      <c r="AM37" s="207"/>
      <c r="AN37" s="207"/>
      <c r="AO37" s="207"/>
      <c r="AP37" s="207"/>
    </row>
    <row r="38" spans="1:42" ht="13.5" customHeight="1" x14ac:dyDescent="0.2">
      <c r="A38" s="219"/>
      <c r="B38" s="220"/>
      <c r="C38" s="221"/>
      <c r="D38" s="222"/>
      <c r="E38" s="223"/>
      <c r="F38" s="222"/>
      <c r="G38" s="223"/>
      <c r="H38" s="241"/>
      <c r="I38" s="241"/>
      <c r="J38" s="236"/>
      <c r="K38" s="222"/>
      <c r="L38" s="222"/>
      <c r="M38" s="222"/>
      <c r="N38" s="222"/>
      <c r="O38" s="222"/>
      <c r="P38" s="235"/>
      <c r="Q38" s="222"/>
      <c r="R38" s="222"/>
      <c r="S38" s="222"/>
      <c r="T38" s="222"/>
      <c r="U38" s="222"/>
      <c r="V38" s="237"/>
      <c r="W38" s="237"/>
      <c r="X38" s="237"/>
      <c r="Y38" s="223"/>
      <c r="Z38" s="223"/>
      <c r="AA38" s="237"/>
      <c r="AB38" s="207"/>
      <c r="AC38" s="207"/>
      <c r="AD38" s="207"/>
      <c r="AE38" s="207"/>
      <c r="AF38" s="207"/>
      <c r="AG38" s="207"/>
      <c r="AH38" s="207"/>
      <c r="AI38" s="207"/>
      <c r="AJ38" s="207"/>
      <c r="AK38" s="207"/>
      <c r="AL38" s="207"/>
      <c r="AM38" s="207"/>
      <c r="AN38" s="207"/>
      <c r="AO38" s="207"/>
      <c r="AP38" s="207"/>
    </row>
    <row r="39" spans="1:42" ht="13.5" customHeight="1" x14ac:dyDescent="0.2">
      <c r="A39" s="219"/>
      <c r="B39" s="220"/>
      <c r="C39" s="221"/>
      <c r="D39" s="222"/>
      <c r="E39" s="223"/>
      <c r="F39" s="222"/>
      <c r="G39" s="223"/>
      <c r="H39" s="241"/>
      <c r="I39" s="241"/>
      <c r="J39" s="236"/>
      <c r="K39" s="222"/>
      <c r="L39" s="222"/>
      <c r="M39" s="222"/>
      <c r="N39" s="222"/>
      <c r="O39" s="222"/>
      <c r="P39" s="235"/>
      <c r="Q39" s="222"/>
      <c r="R39" s="222"/>
      <c r="S39" s="222"/>
      <c r="T39" s="222"/>
      <c r="U39" s="222"/>
      <c r="V39" s="237"/>
      <c r="W39" s="237"/>
      <c r="X39" s="237"/>
      <c r="Y39" s="223"/>
      <c r="Z39" s="223"/>
      <c r="AA39" s="237"/>
      <c r="AB39" s="207"/>
      <c r="AC39" s="207"/>
      <c r="AD39" s="207"/>
      <c r="AE39" s="207"/>
      <c r="AF39" s="207"/>
      <c r="AG39" s="207"/>
      <c r="AH39" s="207"/>
      <c r="AI39" s="207"/>
      <c r="AJ39" s="207"/>
      <c r="AK39" s="207"/>
      <c r="AL39" s="207"/>
      <c r="AM39" s="207"/>
      <c r="AN39" s="207"/>
      <c r="AO39" s="207"/>
      <c r="AP39" s="207"/>
    </row>
    <row r="40" spans="1:42" ht="13.5" customHeight="1" x14ac:dyDescent="0.2">
      <c r="A40" s="219"/>
      <c r="B40" s="220"/>
      <c r="C40" s="221"/>
      <c r="D40" s="222"/>
      <c r="E40" s="223"/>
      <c r="F40" s="222"/>
      <c r="G40" s="223"/>
      <c r="H40" s="241"/>
      <c r="I40" s="241"/>
      <c r="J40" s="236"/>
      <c r="K40" s="222"/>
      <c r="L40" s="222"/>
      <c r="M40" s="222"/>
      <c r="N40" s="222"/>
      <c r="O40" s="222"/>
      <c r="P40" s="235"/>
      <c r="Q40" s="222"/>
      <c r="R40" s="222"/>
      <c r="S40" s="222"/>
      <c r="T40" s="222"/>
      <c r="U40" s="222"/>
      <c r="V40" s="237"/>
      <c r="W40" s="237"/>
      <c r="X40" s="237"/>
      <c r="Y40" s="223"/>
      <c r="Z40" s="223"/>
      <c r="AA40" s="237"/>
      <c r="AB40" s="207"/>
      <c r="AC40" s="207"/>
      <c r="AD40" s="207"/>
      <c r="AE40" s="207"/>
      <c r="AF40" s="207"/>
      <c r="AG40" s="207"/>
      <c r="AH40" s="207"/>
      <c r="AI40" s="207"/>
      <c r="AJ40" s="207"/>
      <c r="AK40" s="207"/>
      <c r="AL40" s="207"/>
      <c r="AM40" s="207"/>
      <c r="AN40" s="207"/>
      <c r="AO40" s="207"/>
      <c r="AP40" s="207"/>
    </row>
    <row r="41" spans="1:42" ht="13.5" customHeight="1" x14ac:dyDescent="0.2">
      <c r="A41" s="219"/>
      <c r="B41" s="220"/>
      <c r="C41" s="221"/>
      <c r="D41" s="222"/>
      <c r="E41" s="223"/>
      <c r="F41" s="222"/>
      <c r="G41" s="223"/>
      <c r="H41" s="241"/>
      <c r="I41" s="241"/>
      <c r="J41" s="236"/>
      <c r="K41" s="222"/>
      <c r="L41" s="222"/>
      <c r="M41" s="222"/>
      <c r="N41" s="222"/>
      <c r="O41" s="222"/>
      <c r="P41" s="235"/>
      <c r="Q41" s="222"/>
      <c r="R41" s="222"/>
      <c r="S41" s="222"/>
      <c r="T41" s="222"/>
      <c r="U41" s="222"/>
      <c r="V41" s="237"/>
      <c r="W41" s="237"/>
      <c r="X41" s="237"/>
      <c r="Y41" s="223"/>
      <c r="Z41" s="223"/>
      <c r="AA41" s="237"/>
      <c r="AB41" s="207"/>
      <c r="AC41" s="207"/>
      <c r="AD41" s="207"/>
      <c r="AE41" s="207"/>
      <c r="AF41" s="207"/>
      <c r="AG41" s="207"/>
      <c r="AH41" s="207"/>
      <c r="AI41" s="207"/>
      <c r="AJ41" s="207"/>
      <c r="AK41" s="207"/>
      <c r="AL41" s="207"/>
      <c r="AM41" s="207"/>
      <c r="AN41" s="207"/>
      <c r="AO41" s="207"/>
      <c r="AP41" s="207"/>
    </row>
    <row r="42" spans="1:42" ht="13.5" customHeight="1" x14ac:dyDescent="0.2">
      <c r="A42" s="219"/>
      <c r="B42" s="220"/>
      <c r="C42" s="221"/>
      <c r="D42" s="222"/>
      <c r="E42" s="223"/>
      <c r="F42" s="222"/>
      <c r="G42" s="223"/>
      <c r="H42" s="241"/>
      <c r="I42" s="241"/>
      <c r="J42" s="236"/>
      <c r="K42" s="222"/>
      <c r="L42" s="222"/>
      <c r="M42" s="222"/>
      <c r="N42" s="222"/>
      <c r="O42" s="222"/>
      <c r="P42" s="235"/>
      <c r="Q42" s="222"/>
      <c r="R42" s="222"/>
      <c r="S42" s="222"/>
      <c r="T42" s="222"/>
      <c r="U42" s="222"/>
      <c r="V42" s="237"/>
      <c r="W42" s="237"/>
      <c r="X42" s="237"/>
      <c r="Y42" s="223"/>
      <c r="Z42" s="223"/>
      <c r="AA42" s="237"/>
      <c r="AB42" s="207"/>
      <c r="AC42" s="207"/>
      <c r="AD42" s="207"/>
      <c r="AE42" s="207"/>
      <c r="AF42" s="207"/>
      <c r="AG42" s="207"/>
      <c r="AH42" s="207"/>
      <c r="AI42" s="207"/>
      <c r="AJ42" s="207"/>
      <c r="AK42" s="207"/>
      <c r="AL42" s="207"/>
      <c r="AM42" s="207"/>
      <c r="AN42" s="207"/>
      <c r="AO42" s="207"/>
      <c r="AP42" s="207"/>
    </row>
    <row r="43" spans="1:42" ht="13.5" customHeight="1" x14ac:dyDescent="0.2">
      <c r="A43" s="219"/>
      <c r="B43" s="220"/>
      <c r="C43" s="221"/>
      <c r="D43" s="222"/>
      <c r="E43" s="223"/>
      <c r="F43" s="222"/>
      <c r="G43" s="223"/>
      <c r="H43" s="241"/>
      <c r="I43" s="241"/>
      <c r="J43" s="236"/>
      <c r="K43" s="222"/>
      <c r="L43" s="222"/>
      <c r="M43" s="222"/>
      <c r="N43" s="222"/>
      <c r="O43" s="222"/>
      <c r="P43" s="235"/>
      <c r="Q43" s="222"/>
      <c r="R43" s="222"/>
      <c r="S43" s="222"/>
      <c r="T43" s="222"/>
      <c r="U43" s="222"/>
      <c r="V43" s="237"/>
      <c r="W43" s="237"/>
      <c r="X43" s="237"/>
      <c r="Y43" s="223"/>
      <c r="Z43" s="223"/>
      <c r="AA43" s="237"/>
      <c r="AB43" s="207"/>
      <c r="AC43" s="207"/>
      <c r="AD43" s="207"/>
      <c r="AE43" s="207"/>
      <c r="AF43" s="207"/>
      <c r="AG43" s="207"/>
      <c r="AH43" s="207"/>
      <c r="AI43" s="207"/>
      <c r="AJ43" s="207"/>
      <c r="AK43" s="207"/>
      <c r="AL43" s="207"/>
      <c r="AM43" s="207"/>
      <c r="AN43" s="207"/>
      <c r="AO43" s="207"/>
      <c r="AP43" s="207"/>
    </row>
    <row r="44" spans="1:42" ht="13.5" customHeight="1" x14ac:dyDescent="0.2">
      <c r="A44" s="219"/>
      <c r="B44" s="220"/>
      <c r="C44" s="221"/>
      <c r="D44" s="222"/>
      <c r="E44" s="223"/>
      <c r="F44" s="222"/>
      <c r="G44" s="223"/>
      <c r="H44" s="241"/>
      <c r="I44" s="241"/>
      <c r="J44" s="236"/>
      <c r="K44" s="222"/>
      <c r="L44" s="222"/>
      <c r="M44" s="222"/>
      <c r="N44" s="222"/>
      <c r="O44" s="222"/>
      <c r="P44" s="235"/>
      <c r="Q44" s="222"/>
      <c r="R44" s="222"/>
      <c r="S44" s="222"/>
      <c r="T44" s="222"/>
      <c r="U44" s="222"/>
      <c r="V44" s="237"/>
      <c r="W44" s="237"/>
      <c r="X44" s="237"/>
      <c r="Y44" s="223"/>
      <c r="Z44" s="223"/>
      <c r="AA44" s="237"/>
      <c r="AB44" s="207"/>
      <c r="AC44" s="207"/>
      <c r="AD44" s="207"/>
      <c r="AE44" s="207"/>
      <c r="AF44" s="207"/>
      <c r="AG44" s="207"/>
      <c r="AH44" s="207"/>
      <c r="AI44" s="207"/>
      <c r="AJ44" s="207"/>
      <c r="AK44" s="207"/>
      <c r="AL44" s="207"/>
      <c r="AM44" s="207"/>
      <c r="AN44" s="207"/>
      <c r="AO44" s="207"/>
      <c r="AP44" s="207"/>
    </row>
    <row r="45" spans="1:42" ht="13.5" customHeight="1" x14ac:dyDescent="0.2">
      <c r="A45" s="219"/>
      <c r="B45" s="220"/>
      <c r="C45" s="221"/>
      <c r="D45" s="222"/>
      <c r="E45" s="223"/>
      <c r="F45" s="222"/>
      <c r="G45" s="223"/>
      <c r="H45" s="241"/>
      <c r="I45" s="241"/>
      <c r="J45" s="236"/>
      <c r="K45" s="222"/>
      <c r="L45" s="222"/>
      <c r="M45" s="222"/>
      <c r="N45" s="222"/>
      <c r="O45" s="222"/>
      <c r="P45" s="235"/>
      <c r="Q45" s="222"/>
      <c r="R45" s="222"/>
      <c r="S45" s="222"/>
      <c r="T45" s="222"/>
      <c r="U45" s="222"/>
      <c r="V45" s="237"/>
      <c r="W45" s="237"/>
      <c r="X45" s="237"/>
      <c r="Y45" s="223"/>
      <c r="Z45" s="223"/>
      <c r="AA45" s="237"/>
      <c r="AB45" s="207"/>
      <c r="AC45" s="207"/>
      <c r="AD45" s="207"/>
      <c r="AE45" s="207"/>
      <c r="AF45" s="207"/>
      <c r="AG45" s="207"/>
      <c r="AH45" s="207"/>
      <c r="AI45" s="207"/>
      <c r="AJ45" s="207"/>
      <c r="AK45" s="207"/>
      <c r="AL45" s="207"/>
      <c r="AM45" s="207"/>
      <c r="AN45" s="207"/>
      <c r="AO45" s="207"/>
      <c r="AP45" s="207"/>
    </row>
    <row r="46" spans="1:42" ht="13.5" customHeight="1" x14ac:dyDescent="0.2">
      <c r="A46" s="219"/>
      <c r="B46" s="220"/>
      <c r="C46" s="221"/>
      <c r="D46" s="222"/>
      <c r="E46" s="223"/>
      <c r="F46" s="222"/>
      <c r="G46" s="223"/>
      <c r="H46" s="241"/>
      <c r="I46" s="241"/>
      <c r="J46" s="236"/>
      <c r="K46" s="222"/>
      <c r="L46" s="222"/>
      <c r="M46" s="222"/>
      <c r="N46" s="222"/>
      <c r="O46" s="222"/>
      <c r="P46" s="235"/>
      <c r="Q46" s="222"/>
      <c r="R46" s="222"/>
      <c r="S46" s="222"/>
      <c r="T46" s="222"/>
      <c r="U46" s="222"/>
      <c r="V46" s="237"/>
      <c r="W46" s="237"/>
      <c r="X46" s="237"/>
      <c r="Y46" s="223"/>
      <c r="Z46" s="223"/>
      <c r="AA46" s="237"/>
      <c r="AB46" s="207"/>
      <c r="AC46" s="207"/>
      <c r="AD46" s="207"/>
      <c r="AE46" s="207"/>
      <c r="AF46" s="207"/>
      <c r="AG46" s="207"/>
      <c r="AH46" s="207"/>
      <c r="AI46" s="207"/>
      <c r="AJ46" s="207"/>
      <c r="AK46" s="207"/>
      <c r="AL46" s="207"/>
      <c r="AM46" s="207"/>
      <c r="AN46" s="207"/>
      <c r="AO46" s="207"/>
      <c r="AP46" s="207"/>
    </row>
    <row r="47" spans="1:42" ht="13.5" customHeight="1" x14ac:dyDescent="0.2">
      <c r="A47" s="219"/>
      <c r="B47" s="220"/>
      <c r="C47" s="221"/>
      <c r="D47" s="222"/>
      <c r="E47" s="223"/>
      <c r="F47" s="222"/>
      <c r="G47" s="223"/>
      <c r="H47" s="241"/>
      <c r="I47" s="241"/>
      <c r="J47" s="236"/>
      <c r="K47" s="222"/>
      <c r="L47" s="222"/>
      <c r="M47" s="222"/>
      <c r="N47" s="222"/>
      <c r="O47" s="222"/>
      <c r="P47" s="235"/>
      <c r="Q47" s="222"/>
      <c r="R47" s="222"/>
      <c r="S47" s="222"/>
      <c r="T47" s="222"/>
      <c r="U47" s="222"/>
      <c r="V47" s="237"/>
      <c r="W47" s="237"/>
      <c r="X47" s="237"/>
      <c r="Y47" s="223"/>
      <c r="Z47" s="223"/>
      <c r="AA47" s="237"/>
      <c r="AB47" s="207"/>
      <c r="AC47" s="207"/>
      <c r="AD47" s="207"/>
      <c r="AE47" s="207"/>
      <c r="AF47" s="207"/>
      <c r="AG47" s="207"/>
      <c r="AH47" s="207"/>
      <c r="AI47" s="207"/>
      <c r="AJ47" s="207"/>
      <c r="AK47" s="207"/>
      <c r="AL47" s="207"/>
      <c r="AM47" s="207"/>
      <c r="AN47" s="207"/>
      <c r="AO47" s="207"/>
      <c r="AP47" s="207"/>
    </row>
    <row r="48" spans="1:42" ht="13.5" customHeight="1" x14ac:dyDescent="0.2">
      <c r="A48" s="219"/>
      <c r="B48" s="220"/>
      <c r="C48" s="221"/>
      <c r="D48" s="222"/>
      <c r="E48" s="223"/>
      <c r="F48" s="222"/>
      <c r="G48" s="223"/>
      <c r="H48" s="241"/>
      <c r="I48" s="241"/>
      <c r="J48" s="236"/>
      <c r="K48" s="222"/>
      <c r="L48" s="222"/>
      <c r="M48" s="222"/>
      <c r="N48" s="222"/>
      <c r="O48" s="222"/>
      <c r="P48" s="235"/>
      <c r="Q48" s="222"/>
      <c r="R48" s="222"/>
      <c r="S48" s="222"/>
      <c r="T48" s="222"/>
      <c r="U48" s="222"/>
      <c r="V48" s="237"/>
      <c r="W48" s="237"/>
      <c r="X48" s="237"/>
      <c r="Y48" s="223"/>
      <c r="Z48" s="223"/>
      <c r="AA48" s="237"/>
      <c r="AB48" s="207"/>
      <c r="AC48" s="207"/>
      <c r="AD48" s="207"/>
      <c r="AE48" s="207"/>
      <c r="AF48" s="207"/>
      <c r="AG48" s="207"/>
      <c r="AH48" s="207"/>
      <c r="AI48" s="207"/>
      <c r="AJ48" s="207"/>
      <c r="AK48" s="207"/>
      <c r="AL48" s="207"/>
      <c r="AM48" s="207"/>
      <c r="AN48" s="207"/>
      <c r="AO48" s="207"/>
      <c r="AP48" s="207"/>
    </row>
    <row r="49" spans="1:42" ht="13.5" hidden="1" customHeight="1" x14ac:dyDescent="0.2">
      <c r="A49" s="219"/>
      <c r="B49" s="221"/>
      <c r="C49" s="220"/>
      <c r="D49" s="222"/>
      <c r="E49" s="223"/>
      <c r="F49" s="222"/>
      <c r="G49" s="223"/>
      <c r="H49" s="223"/>
      <c r="I49" s="223"/>
      <c r="J49" s="222"/>
      <c r="K49" s="222"/>
      <c r="L49" s="222"/>
      <c r="M49" s="222"/>
      <c r="N49" s="222">
        <f t="shared" ref="N49:N112" si="2">SUM(K49:M49)</f>
        <v>0</v>
      </c>
      <c r="O49" s="222">
        <f t="shared" ref="O49:O112" si="3">IFERROR(N49/J49,0)</f>
        <v>0</v>
      </c>
      <c r="P49" s="227">
        <f t="shared" ref="P49:P112" si="4">IFERROR($P$10*$G49,0)</f>
        <v>0</v>
      </c>
      <c r="Q49" s="223">
        <f t="shared" ref="Q49:Q112" si="5">$Q$10*$G49</f>
        <v>0</v>
      </c>
      <c r="R49" s="223"/>
      <c r="S49" s="223"/>
      <c r="T49" s="223"/>
      <c r="U49" s="223"/>
      <c r="V49" s="223"/>
      <c r="W49" s="223"/>
      <c r="X49" s="223"/>
      <c r="Y49" s="223">
        <f t="shared" ref="Y49:Y112" si="6">IFERROR(X49/W49,0)</f>
        <v>0</v>
      </c>
      <c r="Z49" s="223"/>
      <c r="AA49" s="223">
        <f t="shared" ref="AA49:AA112" si="7">IFERROR(Y49/O49,0)</f>
        <v>0</v>
      </c>
      <c r="AB49" s="207"/>
      <c r="AC49" s="207"/>
      <c r="AD49" s="207"/>
      <c r="AE49" s="207"/>
      <c r="AF49" s="207"/>
      <c r="AG49" s="207"/>
      <c r="AH49" s="207"/>
      <c r="AI49" s="207"/>
      <c r="AJ49" s="207"/>
      <c r="AK49" s="207"/>
      <c r="AL49" s="207"/>
      <c r="AM49" s="207"/>
      <c r="AN49" s="207"/>
      <c r="AO49" s="207"/>
      <c r="AP49" s="207"/>
    </row>
    <row r="50" spans="1:42" ht="13.5" hidden="1" customHeight="1" x14ac:dyDescent="0.2">
      <c r="A50" s="219"/>
      <c r="B50" s="221"/>
      <c r="C50" s="220"/>
      <c r="D50" s="222"/>
      <c r="E50" s="223"/>
      <c r="F50" s="222"/>
      <c r="G50" s="223"/>
      <c r="H50" s="223"/>
      <c r="I50" s="223"/>
      <c r="J50" s="222"/>
      <c r="K50" s="222"/>
      <c r="L50" s="222"/>
      <c r="M50" s="222"/>
      <c r="N50" s="222">
        <f t="shared" si="2"/>
        <v>0</v>
      </c>
      <c r="O50" s="222">
        <f t="shared" si="3"/>
        <v>0</v>
      </c>
      <c r="P50" s="227">
        <f t="shared" si="4"/>
        <v>0</v>
      </c>
      <c r="Q50" s="223">
        <f t="shared" si="5"/>
        <v>0</v>
      </c>
      <c r="R50" s="223"/>
      <c r="S50" s="223"/>
      <c r="T50" s="223"/>
      <c r="U50" s="223"/>
      <c r="V50" s="223"/>
      <c r="W50" s="223"/>
      <c r="X50" s="223"/>
      <c r="Y50" s="223">
        <f t="shared" si="6"/>
        <v>0</v>
      </c>
      <c r="Z50" s="223"/>
      <c r="AA50" s="223">
        <f t="shared" si="7"/>
        <v>0</v>
      </c>
      <c r="AB50" s="207"/>
      <c r="AC50" s="207"/>
      <c r="AD50" s="207"/>
      <c r="AE50" s="207"/>
      <c r="AF50" s="207"/>
      <c r="AG50" s="207"/>
      <c r="AH50" s="207"/>
      <c r="AI50" s="207"/>
      <c r="AJ50" s="207"/>
      <c r="AK50" s="207"/>
      <c r="AL50" s="207"/>
      <c r="AM50" s="207"/>
      <c r="AN50" s="207"/>
      <c r="AO50" s="207"/>
      <c r="AP50" s="207"/>
    </row>
    <row r="51" spans="1:42" ht="13.5" hidden="1" customHeight="1" x14ac:dyDescent="0.2">
      <c r="A51" s="219"/>
      <c r="B51" s="221"/>
      <c r="C51" s="220"/>
      <c r="D51" s="222"/>
      <c r="E51" s="223"/>
      <c r="F51" s="222"/>
      <c r="G51" s="223"/>
      <c r="H51" s="223"/>
      <c r="I51" s="223"/>
      <c r="J51" s="222"/>
      <c r="K51" s="222"/>
      <c r="L51" s="222"/>
      <c r="M51" s="222"/>
      <c r="N51" s="222">
        <f t="shared" si="2"/>
        <v>0</v>
      </c>
      <c r="O51" s="222">
        <f t="shared" si="3"/>
        <v>0</v>
      </c>
      <c r="P51" s="227">
        <f t="shared" si="4"/>
        <v>0</v>
      </c>
      <c r="Q51" s="223">
        <f t="shared" si="5"/>
        <v>0</v>
      </c>
      <c r="R51" s="223"/>
      <c r="S51" s="223"/>
      <c r="T51" s="223"/>
      <c r="U51" s="223"/>
      <c r="V51" s="223"/>
      <c r="W51" s="223"/>
      <c r="X51" s="223"/>
      <c r="Y51" s="223">
        <f t="shared" si="6"/>
        <v>0</v>
      </c>
      <c r="Z51" s="223"/>
      <c r="AA51" s="223">
        <f t="shared" si="7"/>
        <v>0</v>
      </c>
      <c r="AB51" s="207"/>
      <c r="AC51" s="207"/>
      <c r="AD51" s="207"/>
      <c r="AE51" s="207"/>
      <c r="AF51" s="207"/>
      <c r="AG51" s="207"/>
      <c r="AH51" s="207"/>
      <c r="AI51" s="207"/>
      <c r="AJ51" s="207"/>
      <c r="AK51" s="207"/>
      <c r="AL51" s="207"/>
      <c r="AM51" s="207"/>
      <c r="AN51" s="207"/>
      <c r="AO51" s="207"/>
      <c r="AP51" s="207"/>
    </row>
    <row r="52" spans="1:42" ht="13.5" hidden="1" customHeight="1" x14ac:dyDescent="0.2">
      <c r="A52" s="219"/>
      <c r="B52" s="221"/>
      <c r="C52" s="220"/>
      <c r="D52" s="222"/>
      <c r="E52" s="223"/>
      <c r="F52" s="222"/>
      <c r="G52" s="223"/>
      <c r="H52" s="223"/>
      <c r="I52" s="223"/>
      <c r="J52" s="222"/>
      <c r="K52" s="222"/>
      <c r="L52" s="222"/>
      <c r="M52" s="222"/>
      <c r="N52" s="222">
        <f t="shared" si="2"/>
        <v>0</v>
      </c>
      <c r="O52" s="222">
        <f t="shared" si="3"/>
        <v>0</v>
      </c>
      <c r="P52" s="227">
        <f t="shared" si="4"/>
        <v>0</v>
      </c>
      <c r="Q52" s="223">
        <f t="shared" si="5"/>
        <v>0</v>
      </c>
      <c r="R52" s="223"/>
      <c r="S52" s="223"/>
      <c r="T52" s="223"/>
      <c r="U52" s="223"/>
      <c r="V52" s="223"/>
      <c r="W52" s="223"/>
      <c r="X52" s="223"/>
      <c r="Y52" s="223">
        <f t="shared" si="6"/>
        <v>0</v>
      </c>
      <c r="Z52" s="223"/>
      <c r="AA52" s="223">
        <f t="shared" si="7"/>
        <v>0</v>
      </c>
      <c r="AB52" s="207"/>
      <c r="AC52" s="207"/>
      <c r="AD52" s="207"/>
      <c r="AE52" s="207"/>
      <c r="AF52" s="207"/>
      <c r="AG52" s="207"/>
      <c r="AH52" s="207"/>
      <c r="AI52" s="207"/>
      <c r="AJ52" s="207"/>
      <c r="AK52" s="207"/>
      <c r="AL52" s="207"/>
      <c r="AM52" s="207"/>
      <c r="AN52" s="207"/>
      <c r="AO52" s="207"/>
      <c r="AP52" s="207"/>
    </row>
    <row r="53" spans="1:42" ht="13.5" hidden="1" customHeight="1" x14ac:dyDescent="0.2">
      <c r="A53" s="219"/>
      <c r="B53" s="221"/>
      <c r="C53" s="220"/>
      <c r="D53" s="222"/>
      <c r="E53" s="223"/>
      <c r="F53" s="222"/>
      <c r="G53" s="223"/>
      <c r="H53" s="223"/>
      <c r="I53" s="223"/>
      <c r="J53" s="222"/>
      <c r="K53" s="222"/>
      <c r="L53" s="222"/>
      <c r="M53" s="222"/>
      <c r="N53" s="222">
        <f t="shared" si="2"/>
        <v>0</v>
      </c>
      <c r="O53" s="222">
        <f t="shared" si="3"/>
        <v>0</v>
      </c>
      <c r="P53" s="227">
        <f t="shared" si="4"/>
        <v>0</v>
      </c>
      <c r="Q53" s="223">
        <f t="shared" si="5"/>
        <v>0</v>
      </c>
      <c r="R53" s="223"/>
      <c r="S53" s="223"/>
      <c r="T53" s="223"/>
      <c r="U53" s="223"/>
      <c r="V53" s="223"/>
      <c r="W53" s="223"/>
      <c r="X53" s="223"/>
      <c r="Y53" s="223">
        <f t="shared" si="6"/>
        <v>0</v>
      </c>
      <c r="Z53" s="223"/>
      <c r="AA53" s="223">
        <f t="shared" si="7"/>
        <v>0</v>
      </c>
      <c r="AB53" s="207"/>
      <c r="AC53" s="207"/>
      <c r="AD53" s="207"/>
      <c r="AE53" s="207"/>
      <c r="AF53" s="207"/>
      <c r="AG53" s="207"/>
      <c r="AH53" s="207"/>
      <c r="AI53" s="207"/>
      <c r="AJ53" s="207"/>
      <c r="AK53" s="207"/>
      <c r="AL53" s="207"/>
      <c r="AM53" s="207"/>
      <c r="AN53" s="207"/>
      <c r="AO53" s="207"/>
      <c r="AP53" s="207"/>
    </row>
    <row r="54" spans="1:42" ht="13.5" hidden="1" customHeight="1" x14ac:dyDescent="0.2">
      <c r="A54" s="219"/>
      <c r="B54" s="221"/>
      <c r="C54" s="220"/>
      <c r="D54" s="222"/>
      <c r="E54" s="223"/>
      <c r="F54" s="222"/>
      <c r="G54" s="223"/>
      <c r="H54" s="223"/>
      <c r="I54" s="223"/>
      <c r="J54" s="222"/>
      <c r="K54" s="222"/>
      <c r="L54" s="222"/>
      <c r="M54" s="222"/>
      <c r="N54" s="222">
        <f t="shared" si="2"/>
        <v>0</v>
      </c>
      <c r="O54" s="222">
        <f t="shared" si="3"/>
        <v>0</v>
      </c>
      <c r="P54" s="227">
        <f t="shared" si="4"/>
        <v>0</v>
      </c>
      <c r="Q54" s="223">
        <f t="shared" si="5"/>
        <v>0</v>
      </c>
      <c r="R54" s="223"/>
      <c r="S54" s="223"/>
      <c r="T54" s="223"/>
      <c r="U54" s="223"/>
      <c r="V54" s="223"/>
      <c r="W54" s="223"/>
      <c r="X54" s="223"/>
      <c r="Y54" s="223">
        <f t="shared" si="6"/>
        <v>0</v>
      </c>
      <c r="Z54" s="223"/>
      <c r="AA54" s="223">
        <f t="shared" si="7"/>
        <v>0</v>
      </c>
      <c r="AB54" s="207"/>
      <c r="AC54" s="207"/>
      <c r="AD54" s="207"/>
      <c r="AE54" s="207"/>
      <c r="AF54" s="207"/>
      <c r="AG54" s="207"/>
      <c r="AH54" s="207"/>
      <c r="AI54" s="207"/>
      <c r="AJ54" s="207"/>
      <c r="AK54" s="207"/>
      <c r="AL54" s="207"/>
      <c r="AM54" s="207"/>
      <c r="AN54" s="207"/>
      <c r="AO54" s="207"/>
      <c r="AP54" s="207"/>
    </row>
    <row r="55" spans="1:42" ht="13.5" hidden="1" customHeight="1" x14ac:dyDescent="0.2">
      <c r="A55" s="219"/>
      <c r="B55" s="221"/>
      <c r="C55" s="220"/>
      <c r="D55" s="222"/>
      <c r="E55" s="223"/>
      <c r="F55" s="222"/>
      <c r="G55" s="223"/>
      <c r="H55" s="223"/>
      <c r="I55" s="223"/>
      <c r="J55" s="222"/>
      <c r="K55" s="222"/>
      <c r="L55" s="222"/>
      <c r="M55" s="222"/>
      <c r="N55" s="222">
        <f t="shared" si="2"/>
        <v>0</v>
      </c>
      <c r="O55" s="222">
        <f t="shared" si="3"/>
        <v>0</v>
      </c>
      <c r="P55" s="227">
        <f t="shared" si="4"/>
        <v>0</v>
      </c>
      <c r="Q55" s="223">
        <f t="shared" si="5"/>
        <v>0</v>
      </c>
      <c r="R55" s="223"/>
      <c r="S55" s="223"/>
      <c r="T55" s="223"/>
      <c r="U55" s="223"/>
      <c r="V55" s="223"/>
      <c r="W55" s="223"/>
      <c r="X55" s="223"/>
      <c r="Y55" s="223">
        <f t="shared" si="6"/>
        <v>0</v>
      </c>
      <c r="Z55" s="223"/>
      <c r="AA55" s="223">
        <f t="shared" si="7"/>
        <v>0</v>
      </c>
      <c r="AB55" s="207"/>
      <c r="AC55" s="207"/>
      <c r="AD55" s="207"/>
      <c r="AE55" s="207"/>
      <c r="AF55" s="207"/>
      <c r="AG55" s="207"/>
      <c r="AH55" s="207"/>
      <c r="AI55" s="207"/>
      <c r="AJ55" s="207"/>
      <c r="AK55" s="207"/>
      <c r="AL55" s="207"/>
      <c r="AM55" s="207"/>
      <c r="AN55" s="207"/>
      <c r="AO55" s="207"/>
      <c r="AP55" s="207"/>
    </row>
    <row r="56" spans="1:42" ht="13.5" hidden="1" customHeight="1" x14ac:dyDescent="0.2">
      <c r="A56" s="219"/>
      <c r="B56" s="221"/>
      <c r="C56" s="220"/>
      <c r="D56" s="222"/>
      <c r="E56" s="223"/>
      <c r="F56" s="222"/>
      <c r="G56" s="223"/>
      <c r="H56" s="223"/>
      <c r="I56" s="223"/>
      <c r="J56" s="222"/>
      <c r="K56" s="222"/>
      <c r="L56" s="222"/>
      <c r="M56" s="222"/>
      <c r="N56" s="222">
        <f t="shared" si="2"/>
        <v>0</v>
      </c>
      <c r="O56" s="222">
        <f t="shared" si="3"/>
        <v>0</v>
      </c>
      <c r="P56" s="227">
        <f t="shared" si="4"/>
        <v>0</v>
      </c>
      <c r="Q56" s="223">
        <f t="shared" si="5"/>
        <v>0</v>
      </c>
      <c r="R56" s="223"/>
      <c r="S56" s="223"/>
      <c r="T56" s="223"/>
      <c r="U56" s="223"/>
      <c r="V56" s="223"/>
      <c r="W56" s="223"/>
      <c r="X56" s="223"/>
      <c r="Y56" s="223">
        <f t="shared" si="6"/>
        <v>0</v>
      </c>
      <c r="Z56" s="223"/>
      <c r="AA56" s="223">
        <f t="shared" si="7"/>
        <v>0</v>
      </c>
      <c r="AB56" s="207"/>
      <c r="AC56" s="207"/>
      <c r="AD56" s="207"/>
      <c r="AE56" s="207"/>
      <c r="AF56" s="207"/>
      <c r="AG56" s="207"/>
      <c r="AH56" s="207"/>
      <c r="AI56" s="207"/>
      <c r="AJ56" s="207"/>
      <c r="AK56" s="207"/>
      <c r="AL56" s="207"/>
      <c r="AM56" s="207"/>
      <c r="AN56" s="207"/>
      <c r="AO56" s="207"/>
      <c r="AP56" s="207"/>
    </row>
    <row r="57" spans="1:42" ht="13.5" hidden="1" customHeight="1" x14ac:dyDescent="0.2">
      <c r="A57" s="219"/>
      <c r="B57" s="221"/>
      <c r="C57" s="220"/>
      <c r="D57" s="222"/>
      <c r="E57" s="223"/>
      <c r="F57" s="222"/>
      <c r="G57" s="223"/>
      <c r="H57" s="223"/>
      <c r="I57" s="223"/>
      <c r="J57" s="222"/>
      <c r="K57" s="222"/>
      <c r="L57" s="222"/>
      <c r="M57" s="222"/>
      <c r="N57" s="222">
        <f t="shared" si="2"/>
        <v>0</v>
      </c>
      <c r="O57" s="222">
        <f t="shared" si="3"/>
        <v>0</v>
      </c>
      <c r="P57" s="227">
        <f t="shared" si="4"/>
        <v>0</v>
      </c>
      <c r="Q57" s="223">
        <f t="shared" si="5"/>
        <v>0</v>
      </c>
      <c r="R57" s="223"/>
      <c r="S57" s="223"/>
      <c r="T57" s="223"/>
      <c r="U57" s="223"/>
      <c r="V57" s="223"/>
      <c r="W57" s="223"/>
      <c r="X57" s="223"/>
      <c r="Y57" s="223">
        <f t="shared" si="6"/>
        <v>0</v>
      </c>
      <c r="Z57" s="223"/>
      <c r="AA57" s="223">
        <f t="shared" si="7"/>
        <v>0</v>
      </c>
      <c r="AB57" s="207"/>
      <c r="AC57" s="207"/>
      <c r="AD57" s="207"/>
      <c r="AE57" s="207"/>
      <c r="AF57" s="207"/>
      <c r="AG57" s="207"/>
      <c r="AH57" s="207"/>
      <c r="AI57" s="207"/>
      <c r="AJ57" s="207"/>
      <c r="AK57" s="207"/>
      <c r="AL57" s="207"/>
      <c r="AM57" s="207"/>
      <c r="AN57" s="207"/>
      <c r="AO57" s="207"/>
      <c r="AP57" s="207"/>
    </row>
    <row r="58" spans="1:42" ht="13.5" hidden="1" customHeight="1" x14ac:dyDescent="0.2">
      <c r="A58" s="219"/>
      <c r="B58" s="221"/>
      <c r="C58" s="220"/>
      <c r="D58" s="222"/>
      <c r="E58" s="223"/>
      <c r="F58" s="222"/>
      <c r="G58" s="223"/>
      <c r="H58" s="223"/>
      <c r="I58" s="223"/>
      <c r="J58" s="222"/>
      <c r="K58" s="222"/>
      <c r="L58" s="222"/>
      <c r="M58" s="222"/>
      <c r="N58" s="222">
        <f t="shared" si="2"/>
        <v>0</v>
      </c>
      <c r="O58" s="222">
        <f t="shared" si="3"/>
        <v>0</v>
      </c>
      <c r="P58" s="227">
        <f t="shared" si="4"/>
        <v>0</v>
      </c>
      <c r="Q58" s="223">
        <f t="shared" si="5"/>
        <v>0</v>
      </c>
      <c r="R58" s="223"/>
      <c r="S58" s="223"/>
      <c r="T58" s="223"/>
      <c r="U58" s="223"/>
      <c r="V58" s="223"/>
      <c r="W58" s="223"/>
      <c r="X58" s="223"/>
      <c r="Y58" s="223">
        <f t="shared" si="6"/>
        <v>0</v>
      </c>
      <c r="Z58" s="223"/>
      <c r="AA58" s="223">
        <f t="shared" si="7"/>
        <v>0</v>
      </c>
      <c r="AB58" s="207"/>
      <c r="AC58" s="207"/>
      <c r="AD58" s="207"/>
      <c r="AE58" s="207"/>
      <c r="AF58" s="207"/>
      <c r="AG58" s="207"/>
      <c r="AH58" s="207"/>
      <c r="AI58" s="207"/>
      <c r="AJ58" s="207"/>
      <c r="AK58" s="207"/>
      <c r="AL58" s="207"/>
      <c r="AM58" s="207"/>
      <c r="AN58" s="207"/>
      <c r="AO58" s="207"/>
      <c r="AP58" s="207"/>
    </row>
    <row r="59" spans="1:42" ht="13.5" hidden="1" customHeight="1" x14ac:dyDescent="0.2">
      <c r="A59" s="219"/>
      <c r="B59" s="221"/>
      <c r="C59" s="220"/>
      <c r="D59" s="222"/>
      <c r="E59" s="223"/>
      <c r="F59" s="222"/>
      <c r="G59" s="223"/>
      <c r="H59" s="223"/>
      <c r="I59" s="223"/>
      <c r="J59" s="222"/>
      <c r="K59" s="222"/>
      <c r="L59" s="222"/>
      <c r="M59" s="222"/>
      <c r="N59" s="222">
        <f t="shared" si="2"/>
        <v>0</v>
      </c>
      <c r="O59" s="222">
        <f t="shared" si="3"/>
        <v>0</v>
      </c>
      <c r="P59" s="227">
        <f t="shared" si="4"/>
        <v>0</v>
      </c>
      <c r="Q59" s="223">
        <f t="shared" si="5"/>
        <v>0</v>
      </c>
      <c r="R59" s="223"/>
      <c r="S59" s="223"/>
      <c r="T59" s="223"/>
      <c r="U59" s="223"/>
      <c r="V59" s="223"/>
      <c r="W59" s="223"/>
      <c r="X59" s="223"/>
      <c r="Y59" s="223">
        <f t="shared" si="6"/>
        <v>0</v>
      </c>
      <c r="Z59" s="223"/>
      <c r="AA59" s="223">
        <f t="shared" si="7"/>
        <v>0</v>
      </c>
      <c r="AB59" s="207"/>
      <c r="AC59" s="207"/>
      <c r="AD59" s="207"/>
      <c r="AE59" s="207"/>
      <c r="AF59" s="207"/>
      <c r="AG59" s="207"/>
      <c r="AH59" s="207"/>
      <c r="AI59" s="207"/>
      <c r="AJ59" s="207"/>
      <c r="AK59" s="207"/>
      <c r="AL59" s="207"/>
      <c r="AM59" s="207"/>
      <c r="AN59" s="207"/>
      <c r="AO59" s="207"/>
      <c r="AP59" s="207"/>
    </row>
    <row r="60" spans="1:42" ht="13.5" hidden="1" customHeight="1" x14ac:dyDescent="0.2">
      <c r="A60" s="219"/>
      <c r="B60" s="221"/>
      <c r="C60" s="220"/>
      <c r="D60" s="222"/>
      <c r="E60" s="223"/>
      <c r="F60" s="222"/>
      <c r="G60" s="223"/>
      <c r="H60" s="223"/>
      <c r="I60" s="223"/>
      <c r="J60" s="222"/>
      <c r="K60" s="222"/>
      <c r="L60" s="222"/>
      <c r="M60" s="222"/>
      <c r="N60" s="222">
        <f t="shared" si="2"/>
        <v>0</v>
      </c>
      <c r="O60" s="222">
        <f t="shared" si="3"/>
        <v>0</v>
      </c>
      <c r="P60" s="227">
        <f t="shared" si="4"/>
        <v>0</v>
      </c>
      <c r="Q60" s="223">
        <f t="shared" si="5"/>
        <v>0</v>
      </c>
      <c r="R60" s="223"/>
      <c r="S60" s="223"/>
      <c r="T60" s="223"/>
      <c r="U60" s="223"/>
      <c r="V60" s="223"/>
      <c r="W60" s="223"/>
      <c r="X60" s="223"/>
      <c r="Y60" s="223">
        <f t="shared" si="6"/>
        <v>0</v>
      </c>
      <c r="Z60" s="223"/>
      <c r="AA60" s="223">
        <f t="shared" si="7"/>
        <v>0</v>
      </c>
      <c r="AB60" s="207"/>
      <c r="AC60" s="207"/>
      <c r="AD60" s="207"/>
      <c r="AE60" s="207"/>
      <c r="AF60" s="207"/>
      <c r="AG60" s="207"/>
      <c r="AH60" s="207"/>
      <c r="AI60" s="207"/>
      <c r="AJ60" s="207"/>
      <c r="AK60" s="207"/>
      <c r="AL60" s="207"/>
      <c r="AM60" s="207"/>
      <c r="AN60" s="207"/>
      <c r="AO60" s="207"/>
      <c r="AP60" s="207"/>
    </row>
    <row r="61" spans="1:42" ht="13.5" hidden="1" customHeight="1" x14ac:dyDescent="0.2">
      <c r="A61" s="219"/>
      <c r="B61" s="221"/>
      <c r="C61" s="220"/>
      <c r="D61" s="222"/>
      <c r="E61" s="223"/>
      <c r="F61" s="222"/>
      <c r="G61" s="223"/>
      <c r="H61" s="223"/>
      <c r="I61" s="223"/>
      <c r="J61" s="222"/>
      <c r="K61" s="222"/>
      <c r="L61" s="222"/>
      <c r="M61" s="222"/>
      <c r="N61" s="222">
        <f t="shared" si="2"/>
        <v>0</v>
      </c>
      <c r="O61" s="222">
        <f t="shared" si="3"/>
        <v>0</v>
      </c>
      <c r="P61" s="227">
        <f t="shared" si="4"/>
        <v>0</v>
      </c>
      <c r="Q61" s="223">
        <f t="shared" si="5"/>
        <v>0</v>
      </c>
      <c r="R61" s="223"/>
      <c r="S61" s="223"/>
      <c r="T61" s="223"/>
      <c r="U61" s="223"/>
      <c r="V61" s="223"/>
      <c r="W61" s="223"/>
      <c r="X61" s="223"/>
      <c r="Y61" s="223">
        <f t="shared" si="6"/>
        <v>0</v>
      </c>
      <c r="Z61" s="223"/>
      <c r="AA61" s="223">
        <f t="shared" si="7"/>
        <v>0</v>
      </c>
      <c r="AB61" s="207"/>
      <c r="AC61" s="207"/>
      <c r="AD61" s="207"/>
      <c r="AE61" s="207"/>
      <c r="AF61" s="207"/>
      <c r="AG61" s="207"/>
      <c r="AH61" s="207"/>
      <c r="AI61" s="207"/>
      <c r="AJ61" s="207"/>
      <c r="AK61" s="207"/>
      <c r="AL61" s="207"/>
      <c r="AM61" s="207"/>
      <c r="AN61" s="207"/>
      <c r="AO61" s="207"/>
      <c r="AP61" s="207"/>
    </row>
    <row r="62" spans="1:42" ht="13.5" hidden="1" customHeight="1" x14ac:dyDescent="0.2">
      <c r="A62" s="219"/>
      <c r="B62" s="221"/>
      <c r="C62" s="220"/>
      <c r="D62" s="222"/>
      <c r="E62" s="223"/>
      <c r="F62" s="222"/>
      <c r="G62" s="223"/>
      <c r="H62" s="223"/>
      <c r="I62" s="223"/>
      <c r="J62" s="222"/>
      <c r="K62" s="222"/>
      <c r="L62" s="222"/>
      <c r="M62" s="222"/>
      <c r="N62" s="222">
        <f t="shared" si="2"/>
        <v>0</v>
      </c>
      <c r="O62" s="222">
        <f t="shared" si="3"/>
        <v>0</v>
      </c>
      <c r="P62" s="227">
        <f t="shared" si="4"/>
        <v>0</v>
      </c>
      <c r="Q62" s="223">
        <f t="shared" si="5"/>
        <v>0</v>
      </c>
      <c r="R62" s="223"/>
      <c r="S62" s="223"/>
      <c r="T62" s="223"/>
      <c r="U62" s="223"/>
      <c r="V62" s="223"/>
      <c r="W62" s="223"/>
      <c r="X62" s="223"/>
      <c r="Y62" s="223">
        <f t="shared" si="6"/>
        <v>0</v>
      </c>
      <c r="Z62" s="223"/>
      <c r="AA62" s="223">
        <f t="shared" si="7"/>
        <v>0</v>
      </c>
      <c r="AB62" s="207"/>
      <c r="AC62" s="207"/>
      <c r="AD62" s="207"/>
      <c r="AE62" s="207"/>
      <c r="AF62" s="207"/>
      <c r="AG62" s="207"/>
      <c r="AH62" s="207"/>
      <c r="AI62" s="207"/>
      <c r="AJ62" s="207"/>
      <c r="AK62" s="207"/>
      <c r="AL62" s="207"/>
      <c r="AM62" s="207"/>
      <c r="AN62" s="207"/>
      <c r="AO62" s="207"/>
      <c r="AP62" s="207"/>
    </row>
    <row r="63" spans="1:42" ht="13.5" hidden="1" customHeight="1" x14ac:dyDescent="0.2">
      <c r="A63" s="219"/>
      <c r="B63" s="221"/>
      <c r="C63" s="220"/>
      <c r="D63" s="222"/>
      <c r="E63" s="223"/>
      <c r="F63" s="222"/>
      <c r="G63" s="223"/>
      <c r="H63" s="223"/>
      <c r="I63" s="223"/>
      <c r="J63" s="222"/>
      <c r="K63" s="222"/>
      <c r="L63" s="222"/>
      <c r="M63" s="222"/>
      <c r="N63" s="222">
        <f t="shared" si="2"/>
        <v>0</v>
      </c>
      <c r="O63" s="222">
        <f t="shared" si="3"/>
        <v>0</v>
      </c>
      <c r="P63" s="227">
        <f t="shared" si="4"/>
        <v>0</v>
      </c>
      <c r="Q63" s="223">
        <f t="shared" si="5"/>
        <v>0</v>
      </c>
      <c r="R63" s="223"/>
      <c r="S63" s="223"/>
      <c r="T63" s="223"/>
      <c r="U63" s="223"/>
      <c r="V63" s="223"/>
      <c r="W63" s="223"/>
      <c r="X63" s="223"/>
      <c r="Y63" s="223">
        <f t="shared" si="6"/>
        <v>0</v>
      </c>
      <c r="Z63" s="223"/>
      <c r="AA63" s="223">
        <f t="shared" si="7"/>
        <v>0</v>
      </c>
      <c r="AB63" s="207"/>
      <c r="AC63" s="207"/>
      <c r="AD63" s="207"/>
      <c r="AE63" s="207"/>
      <c r="AF63" s="207"/>
      <c r="AG63" s="207"/>
      <c r="AH63" s="207"/>
      <c r="AI63" s="207"/>
      <c r="AJ63" s="207"/>
      <c r="AK63" s="207"/>
      <c r="AL63" s="207"/>
      <c r="AM63" s="207"/>
      <c r="AN63" s="207"/>
      <c r="AO63" s="207"/>
      <c r="AP63" s="207"/>
    </row>
    <row r="64" spans="1:42" ht="13.5" hidden="1" customHeight="1" x14ac:dyDescent="0.2">
      <c r="A64" s="219"/>
      <c r="B64" s="221"/>
      <c r="C64" s="220"/>
      <c r="D64" s="222"/>
      <c r="E64" s="223"/>
      <c r="F64" s="222"/>
      <c r="G64" s="223"/>
      <c r="H64" s="223"/>
      <c r="I64" s="223"/>
      <c r="J64" s="222"/>
      <c r="K64" s="222"/>
      <c r="L64" s="222"/>
      <c r="M64" s="222"/>
      <c r="N64" s="222">
        <f t="shared" si="2"/>
        <v>0</v>
      </c>
      <c r="O64" s="222">
        <f t="shared" si="3"/>
        <v>0</v>
      </c>
      <c r="P64" s="227">
        <f t="shared" si="4"/>
        <v>0</v>
      </c>
      <c r="Q64" s="223">
        <f t="shared" si="5"/>
        <v>0</v>
      </c>
      <c r="R64" s="223"/>
      <c r="S64" s="223"/>
      <c r="T64" s="223"/>
      <c r="U64" s="223"/>
      <c r="V64" s="223"/>
      <c r="W64" s="223"/>
      <c r="X64" s="223"/>
      <c r="Y64" s="223">
        <f t="shared" si="6"/>
        <v>0</v>
      </c>
      <c r="Z64" s="223"/>
      <c r="AA64" s="223">
        <f t="shared" si="7"/>
        <v>0</v>
      </c>
      <c r="AB64" s="207"/>
      <c r="AC64" s="207"/>
      <c r="AD64" s="207"/>
      <c r="AE64" s="207"/>
      <c r="AF64" s="207"/>
      <c r="AG64" s="207"/>
      <c r="AH64" s="207"/>
      <c r="AI64" s="207"/>
      <c r="AJ64" s="207"/>
      <c r="AK64" s="207"/>
      <c r="AL64" s="207"/>
      <c r="AM64" s="207"/>
      <c r="AN64" s="207"/>
      <c r="AO64" s="207"/>
      <c r="AP64" s="207"/>
    </row>
    <row r="65" spans="1:42" ht="13.5" hidden="1" customHeight="1" x14ac:dyDescent="0.2">
      <c r="A65" s="219"/>
      <c r="B65" s="221"/>
      <c r="C65" s="220"/>
      <c r="D65" s="222"/>
      <c r="E65" s="223"/>
      <c r="F65" s="222"/>
      <c r="G65" s="223"/>
      <c r="H65" s="223"/>
      <c r="I65" s="223"/>
      <c r="J65" s="222"/>
      <c r="K65" s="222"/>
      <c r="L65" s="222"/>
      <c r="M65" s="222"/>
      <c r="N65" s="222">
        <f t="shared" si="2"/>
        <v>0</v>
      </c>
      <c r="O65" s="222">
        <f t="shared" si="3"/>
        <v>0</v>
      </c>
      <c r="P65" s="227">
        <f t="shared" si="4"/>
        <v>0</v>
      </c>
      <c r="Q65" s="223">
        <f t="shared" si="5"/>
        <v>0</v>
      </c>
      <c r="R65" s="223"/>
      <c r="S65" s="223"/>
      <c r="T65" s="223"/>
      <c r="U65" s="223"/>
      <c r="V65" s="223"/>
      <c r="W65" s="223"/>
      <c r="X65" s="223"/>
      <c r="Y65" s="223">
        <f t="shared" si="6"/>
        <v>0</v>
      </c>
      <c r="Z65" s="223"/>
      <c r="AA65" s="223">
        <f t="shared" si="7"/>
        <v>0</v>
      </c>
      <c r="AB65" s="207"/>
      <c r="AC65" s="207"/>
      <c r="AD65" s="207"/>
      <c r="AE65" s="207"/>
      <c r="AF65" s="207"/>
      <c r="AG65" s="207"/>
      <c r="AH65" s="207"/>
      <c r="AI65" s="207"/>
      <c r="AJ65" s="207"/>
      <c r="AK65" s="207"/>
      <c r="AL65" s="207"/>
      <c r="AM65" s="207"/>
      <c r="AN65" s="207"/>
      <c r="AO65" s="207"/>
      <c r="AP65" s="207"/>
    </row>
    <row r="66" spans="1:42" ht="13.5" hidden="1" customHeight="1" x14ac:dyDescent="0.2">
      <c r="A66" s="219"/>
      <c r="B66" s="221"/>
      <c r="C66" s="220"/>
      <c r="D66" s="222"/>
      <c r="E66" s="223"/>
      <c r="F66" s="222"/>
      <c r="G66" s="223"/>
      <c r="H66" s="223"/>
      <c r="I66" s="223"/>
      <c r="J66" s="222"/>
      <c r="K66" s="222"/>
      <c r="L66" s="222"/>
      <c r="M66" s="222"/>
      <c r="N66" s="222">
        <f t="shared" si="2"/>
        <v>0</v>
      </c>
      <c r="O66" s="222">
        <f t="shared" si="3"/>
        <v>0</v>
      </c>
      <c r="P66" s="227">
        <f t="shared" si="4"/>
        <v>0</v>
      </c>
      <c r="Q66" s="223">
        <f t="shared" si="5"/>
        <v>0</v>
      </c>
      <c r="R66" s="223"/>
      <c r="S66" s="223"/>
      <c r="T66" s="223"/>
      <c r="U66" s="223"/>
      <c r="V66" s="223"/>
      <c r="W66" s="223"/>
      <c r="X66" s="223"/>
      <c r="Y66" s="223">
        <f t="shared" si="6"/>
        <v>0</v>
      </c>
      <c r="Z66" s="223"/>
      <c r="AA66" s="223">
        <f t="shared" si="7"/>
        <v>0</v>
      </c>
      <c r="AB66" s="207"/>
      <c r="AC66" s="207"/>
      <c r="AD66" s="207"/>
      <c r="AE66" s="207"/>
      <c r="AF66" s="207"/>
      <c r="AG66" s="207"/>
      <c r="AH66" s="207"/>
      <c r="AI66" s="207"/>
      <c r="AJ66" s="207"/>
      <c r="AK66" s="207"/>
      <c r="AL66" s="207"/>
      <c r="AM66" s="207"/>
      <c r="AN66" s="207"/>
      <c r="AO66" s="207"/>
      <c r="AP66" s="207"/>
    </row>
    <row r="67" spans="1:42" ht="13.5" hidden="1" customHeight="1" x14ac:dyDescent="0.2">
      <c r="A67" s="219"/>
      <c r="B67" s="221"/>
      <c r="C67" s="220"/>
      <c r="D67" s="222"/>
      <c r="E67" s="223"/>
      <c r="F67" s="222"/>
      <c r="G67" s="223">
        <v>28.92</v>
      </c>
      <c r="H67" s="223" t="s">
        <v>720</v>
      </c>
      <c r="I67" s="223"/>
      <c r="J67" s="222">
        <v>15</v>
      </c>
      <c r="K67" s="222">
        <v>105</v>
      </c>
      <c r="L67" s="222">
        <v>61</v>
      </c>
      <c r="M67" s="222">
        <v>23</v>
      </c>
      <c r="N67" s="222">
        <f t="shared" si="2"/>
        <v>189</v>
      </c>
      <c r="O67" s="222">
        <f t="shared" si="3"/>
        <v>12.6</v>
      </c>
      <c r="P67" s="227">
        <f t="shared" si="4"/>
        <v>4.3380000000000001</v>
      </c>
      <c r="Q67" s="223">
        <f t="shared" si="5"/>
        <v>72.300000000000011</v>
      </c>
      <c r="R67" s="223"/>
      <c r="S67" s="223"/>
      <c r="T67" s="223"/>
      <c r="U67" s="223"/>
      <c r="V67" s="223"/>
      <c r="W67" s="223"/>
      <c r="X67" s="223"/>
      <c r="Y67" s="223">
        <f t="shared" si="6"/>
        <v>0</v>
      </c>
      <c r="Z67" s="223"/>
      <c r="AA67" s="223">
        <f t="shared" si="7"/>
        <v>0</v>
      </c>
      <c r="AB67" s="207"/>
      <c r="AC67" s="207"/>
      <c r="AD67" s="207"/>
      <c r="AE67" s="207"/>
      <c r="AF67" s="207"/>
      <c r="AG67" s="207"/>
      <c r="AH67" s="207"/>
      <c r="AI67" s="207"/>
      <c r="AJ67" s="207"/>
      <c r="AK67" s="207"/>
      <c r="AL67" s="207"/>
      <c r="AM67" s="207"/>
      <c r="AN67" s="207"/>
      <c r="AO67" s="207"/>
      <c r="AP67" s="207"/>
    </row>
    <row r="68" spans="1:42" ht="13.5" hidden="1" customHeight="1" x14ac:dyDescent="0.2">
      <c r="A68" s="219"/>
      <c r="B68" s="221"/>
      <c r="C68" s="220"/>
      <c r="D68" s="222"/>
      <c r="E68" s="223"/>
      <c r="F68" s="222"/>
      <c r="G68" s="223">
        <v>28.55</v>
      </c>
      <c r="H68" s="223" t="s">
        <v>720</v>
      </c>
      <c r="I68" s="223"/>
      <c r="J68" s="222">
        <v>15</v>
      </c>
      <c r="K68" s="222">
        <v>39</v>
      </c>
      <c r="L68" s="222">
        <v>32</v>
      </c>
      <c r="M68" s="222">
        <v>18</v>
      </c>
      <c r="N68" s="222">
        <f t="shared" si="2"/>
        <v>89</v>
      </c>
      <c r="O68" s="222">
        <f t="shared" si="3"/>
        <v>5.9333333333333336</v>
      </c>
      <c r="P68" s="227">
        <f t="shared" si="4"/>
        <v>4.2824999999999998</v>
      </c>
      <c r="Q68" s="223">
        <f t="shared" si="5"/>
        <v>71.375</v>
      </c>
      <c r="R68" s="223"/>
      <c r="S68" s="223"/>
      <c r="T68" s="223"/>
      <c r="U68" s="223"/>
      <c r="V68" s="223"/>
      <c r="W68" s="223"/>
      <c r="X68" s="223"/>
      <c r="Y68" s="223">
        <f t="shared" si="6"/>
        <v>0</v>
      </c>
      <c r="Z68" s="223"/>
      <c r="AA68" s="223">
        <f t="shared" si="7"/>
        <v>0</v>
      </c>
      <c r="AB68" s="207"/>
      <c r="AC68" s="207"/>
      <c r="AD68" s="207"/>
      <c r="AE68" s="207"/>
      <c r="AF68" s="207"/>
      <c r="AG68" s="207"/>
      <c r="AH68" s="207"/>
      <c r="AI68" s="207"/>
      <c r="AJ68" s="207"/>
      <c r="AK68" s="207"/>
      <c r="AL68" s="207"/>
      <c r="AM68" s="207"/>
      <c r="AN68" s="207"/>
      <c r="AO68" s="207"/>
      <c r="AP68" s="207"/>
    </row>
    <row r="69" spans="1:42" ht="13.5" hidden="1" customHeight="1" x14ac:dyDescent="0.2">
      <c r="A69" s="219"/>
      <c r="B69" s="221"/>
      <c r="C69" s="220"/>
      <c r="D69" s="222"/>
      <c r="E69" s="223"/>
      <c r="F69" s="222"/>
      <c r="G69" s="223"/>
      <c r="H69" s="223"/>
      <c r="I69" s="223"/>
      <c r="J69" s="222"/>
      <c r="K69" s="222"/>
      <c r="L69" s="222"/>
      <c r="M69" s="222"/>
      <c r="N69" s="222">
        <f t="shared" si="2"/>
        <v>0</v>
      </c>
      <c r="O69" s="222">
        <f t="shared" si="3"/>
        <v>0</v>
      </c>
      <c r="P69" s="227">
        <f t="shared" si="4"/>
        <v>0</v>
      </c>
      <c r="Q69" s="223">
        <f t="shared" si="5"/>
        <v>0</v>
      </c>
      <c r="R69" s="223"/>
      <c r="S69" s="223"/>
      <c r="T69" s="223"/>
      <c r="U69" s="223"/>
      <c r="V69" s="223"/>
      <c r="W69" s="223"/>
      <c r="X69" s="223"/>
      <c r="Y69" s="223">
        <f t="shared" si="6"/>
        <v>0</v>
      </c>
      <c r="Z69" s="223"/>
      <c r="AA69" s="223">
        <f t="shared" si="7"/>
        <v>0</v>
      </c>
      <c r="AB69" s="207"/>
      <c r="AC69" s="207"/>
      <c r="AD69" s="207"/>
      <c r="AE69" s="207"/>
      <c r="AF69" s="207"/>
      <c r="AG69" s="207"/>
      <c r="AH69" s="207"/>
      <c r="AI69" s="207"/>
      <c r="AJ69" s="207"/>
      <c r="AK69" s="207"/>
      <c r="AL69" s="207"/>
      <c r="AM69" s="207"/>
      <c r="AN69" s="207"/>
      <c r="AO69" s="207"/>
      <c r="AP69" s="207"/>
    </row>
    <row r="70" spans="1:42" ht="13.5" hidden="1" customHeight="1" x14ac:dyDescent="0.2">
      <c r="A70" s="219"/>
      <c r="B70" s="221"/>
      <c r="C70" s="220"/>
      <c r="D70" s="222"/>
      <c r="E70" s="223"/>
      <c r="F70" s="222"/>
      <c r="G70" s="223"/>
      <c r="H70" s="223"/>
      <c r="I70" s="223"/>
      <c r="J70" s="222"/>
      <c r="K70" s="222"/>
      <c r="L70" s="222"/>
      <c r="M70" s="222"/>
      <c r="N70" s="222">
        <f t="shared" si="2"/>
        <v>0</v>
      </c>
      <c r="O70" s="222">
        <f t="shared" si="3"/>
        <v>0</v>
      </c>
      <c r="P70" s="227">
        <f t="shared" si="4"/>
        <v>0</v>
      </c>
      <c r="Q70" s="223">
        <f t="shared" si="5"/>
        <v>0</v>
      </c>
      <c r="R70" s="223"/>
      <c r="S70" s="223"/>
      <c r="T70" s="223"/>
      <c r="U70" s="223"/>
      <c r="V70" s="223"/>
      <c r="W70" s="223"/>
      <c r="X70" s="223"/>
      <c r="Y70" s="223">
        <f t="shared" si="6"/>
        <v>0</v>
      </c>
      <c r="Z70" s="223"/>
      <c r="AA70" s="223">
        <f t="shared" si="7"/>
        <v>0</v>
      </c>
      <c r="AB70" s="207"/>
      <c r="AC70" s="207"/>
      <c r="AD70" s="207"/>
      <c r="AE70" s="207"/>
      <c r="AF70" s="207"/>
      <c r="AG70" s="207"/>
      <c r="AH70" s="207"/>
      <c r="AI70" s="207"/>
      <c r="AJ70" s="207"/>
      <c r="AK70" s="207"/>
      <c r="AL70" s="207"/>
      <c r="AM70" s="207"/>
      <c r="AN70" s="207"/>
      <c r="AO70" s="207"/>
      <c r="AP70" s="207"/>
    </row>
    <row r="71" spans="1:42" ht="13.5" hidden="1" customHeight="1" x14ac:dyDescent="0.2">
      <c r="A71" s="219"/>
      <c r="B71" s="221"/>
      <c r="C71" s="220"/>
      <c r="D71" s="222"/>
      <c r="E71" s="223"/>
      <c r="F71" s="222"/>
      <c r="G71" s="223"/>
      <c r="H71" s="223"/>
      <c r="I71" s="223"/>
      <c r="J71" s="222"/>
      <c r="K71" s="222"/>
      <c r="L71" s="222"/>
      <c r="M71" s="222"/>
      <c r="N71" s="222">
        <f t="shared" si="2"/>
        <v>0</v>
      </c>
      <c r="O71" s="222">
        <f t="shared" si="3"/>
        <v>0</v>
      </c>
      <c r="P71" s="227">
        <f t="shared" si="4"/>
        <v>0</v>
      </c>
      <c r="Q71" s="223">
        <f t="shared" si="5"/>
        <v>0</v>
      </c>
      <c r="R71" s="223"/>
      <c r="S71" s="223"/>
      <c r="T71" s="223"/>
      <c r="U71" s="223"/>
      <c r="V71" s="223"/>
      <c r="W71" s="223"/>
      <c r="X71" s="223"/>
      <c r="Y71" s="223">
        <f t="shared" si="6"/>
        <v>0</v>
      </c>
      <c r="Z71" s="223"/>
      <c r="AA71" s="223">
        <f t="shared" si="7"/>
        <v>0</v>
      </c>
      <c r="AB71" s="207"/>
      <c r="AC71" s="207"/>
      <c r="AD71" s="207"/>
      <c r="AE71" s="207"/>
      <c r="AF71" s="207"/>
      <c r="AG71" s="207"/>
      <c r="AH71" s="207"/>
      <c r="AI71" s="207"/>
      <c r="AJ71" s="207"/>
      <c r="AK71" s="207"/>
      <c r="AL71" s="207"/>
      <c r="AM71" s="207"/>
      <c r="AN71" s="207"/>
      <c r="AO71" s="207"/>
      <c r="AP71" s="207"/>
    </row>
    <row r="72" spans="1:42" ht="13.5" hidden="1" customHeight="1" x14ac:dyDescent="0.2">
      <c r="A72" s="219"/>
      <c r="B72" s="221"/>
      <c r="C72" s="220"/>
      <c r="D72" s="222"/>
      <c r="E72" s="223"/>
      <c r="F72" s="222"/>
      <c r="G72" s="223"/>
      <c r="H72" s="223"/>
      <c r="I72" s="223"/>
      <c r="J72" s="222"/>
      <c r="K72" s="222"/>
      <c r="L72" s="222"/>
      <c r="M72" s="222"/>
      <c r="N72" s="222">
        <f t="shared" si="2"/>
        <v>0</v>
      </c>
      <c r="O72" s="222">
        <f t="shared" si="3"/>
        <v>0</v>
      </c>
      <c r="P72" s="227">
        <f t="shared" si="4"/>
        <v>0</v>
      </c>
      <c r="Q72" s="223">
        <f t="shared" si="5"/>
        <v>0</v>
      </c>
      <c r="R72" s="223"/>
      <c r="S72" s="223"/>
      <c r="T72" s="223"/>
      <c r="U72" s="223"/>
      <c r="V72" s="223"/>
      <c r="W72" s="223"/>
      <c r="X72" s="223"/>
      <c r="Y72" s="223">
        <f t="shared" si="6"/>
        <v>0</v>
      </c>
      <c r="Z72" s="223"/>
      <c r="AA72" s="223">
        <f t="shared" si="7"/>
        <v>0</v>
      </c>
      <c r="AB72" s="207"/>
      <c r="AC72" s="207"/>
      <c r="AD72" s="207"/>
      <c r="AE72" s="207"/>
      <c r="AF72" s="207"/>
      <c r="AG72" s="207"/>
      <c r="AH72" s="207"/>
      <c r="AI72" s="207"/>
      <c r="AJ72" s="207"/>
      <c r="AK72" s="207"/>
      <c r="AL72" s="207"/>
      <c r="AM72" s="207"/>
      <c r="AN72" s="207"/>
      <c r="AO72" s="207"/>
      <c r="AP72" s="207"/>
    </row>
    <row r="73" spans="1:42" ht="13.5" hidden="1" customHeight="1" x14ac:dyDescent="0.2">
      <c r="A73" s="219"/>
      <c r="B73" s="221"/>
      <c r="C73" s="220"/>
      <c r="D73" s="222"/>
      <c r="E73" s="223"/>
      <c r="F73" s="222"/>
      <c r="G73" s="223"/>
      <c r="H73" s="223"/>
      <c r="I73" s="223"/>
      <c r="J73" s="222"/>
      <c r="K73" s="222"/>
      <c r="L73" s="222"/>
      <c r="M73" s="222"/>
      <c r="N73" s="222">
        <f t="shared" si="2"/>
        <v>0</v>
      </c>
      <c r="O73" s="222">
        <f t="shared" si="3"/>
        <v>0</v>
      </c>
      <c r="P73" s="227">
        <f t="shared" si="4"/>
        <v>0</v>
      </c>
      <c r="Q73" s="223">
        <f t="shared" si="5"/>
        <v>0</v>
      </c>
      <c r="R73" s="223"/>
      <c r="S73" s="223"/>
      <c r="T73" s="223"/>
      <c r="U73" s="223"/>
      <c r="V73" s="223"/>
      <c r="W73" s="223"/>
      <c r="X73" s="223"/>
      <c r="Y73" s="223">
        <f t="shared" si="6"/>
        <v>0</v>
      </c>
      <c r="Z73" s="223"/>
      <c r="AA73" s="223">
        <f t="shared" si="7"/>
        <v>0</v>
      </c>
      <c r="AB73" s="207"/>
      <c r="AC73" s="207"/>
      <c r="AD73" s="207"/>
      <c r="AE73" s="207"/>
      <c r="AF73" s="207"/>
      <c r="AG73" s="207"/>
      <c r="AH73" s="207"/>
      <c r="AI73" s="207"/>
      <c r="AJ73" s="207"/>
      <c r="AK73" s="207"/>
      <c r="AL73" s="207"/>
      <c r="AM73" s="207"/>
      <c r="AN73" s="207"/>
      <c r="AO73" s="207"/>
      <c r="AP73" s="207"/>
    </row>
    <row r="74" spans="1:42" ht="13.5" hidden="1" customHeight="1" x14ac:dyDescent="0.2">
      <c r="A74" s="219"/>
      <c r="B74" s="221"/>
      <c r="C74" s="220"/>
      <c r="D74" s="222"/>
      <c r="E74" s="223"/>
      <c r="F74" s="222"/>
      <c r="G74" s="223"/>
      <c r="H74" s="223"/>
      <c r="I74" s="223"/>
      <c r="J74" s="222"/>
      <c r="K74" s="222"/>
      <c r="L74" s="222"/>
      <c r="M74" s="222"/>
      <c r="N74" s="222">
        <f t="shared" si="2"/>
        <v>0</v>
      </c>
      <c r="O74" s="222">
        <f t="shared" si="3"/>
        <v>0</v>
      </c>
      <c r="P74" s="227">
        <f t="shared" si="4"/>
        <v>0</v>
      </c>
      <c r="Q74" s="223">
        <f t="shared" si="5"/>
        <v>0</v>
      </c>
      <c r="R74" s="223"/>
      <c r="S74" s="223"/>
      <c r="T74" s="223"/>
      <c r="U74" s="223"/>
      <c r="V74" s="223"/>
      <c r="W74" s="223"/>
      <c r="X74" s="223"/>
      <c r="Y74" s="223">
        <f t="shared" si="6"/>
        <v>0</v>
      </c>
      <c r="Z74" s="223"/>
      <c r="AA74" s="223">
        <f t="shared" si="7"/>
        <v>0</v>
      </c>
      <c r="AB74" s="207"/>
      <c r="AC74" s="207"/>
      <c r="AD74" s="207"/>
      <c r="AE74" s="207"/>
      <c r="AF74" s="207"/>
      <c r="AG74" s="207"/>
      <c r="AH74" s="207"/>
      <c r="AI74" s="207"/>
      <c r="AJ74" s="207"/>
      <c r="AK74" s="207"/>
      <c r="AL74" s="207"/>
      <c r="AM74" s="207"/>
      <c r="AN74" s="207"/>
      <c r="AO74" s="207"/>
      <c r="AP74" s="207"/>
    </row>
    <row r="75" spans="1:42" ht="13.5" hidden="1" customHeight="1" x14ac:dyDescent="0.2">
      <c r="A75" s="219"/>
      <c r="B75" s="221"/>
      <c r="C75" s="220"/>
      <c r="D75" s="222"/>
      <c r="E75" s="223"/>
      <c r="F75" s="222"/>
      <c r="G75" s="223"/>
      <c r="H75" s="223"/>
      <c r="I75" s="223"/>
      <c r="J75" s="222"/>
      <c r="K75" s="222"/>
      <c r="L75" s="222"/>
      <c r="M75" s="222"/>
      <c r="N75" s="222">
        <f t="shared" si="2"/>
        <v>0</v>
      </c>
      <c r="O75" s="222">
        <f t="shared" si="3"/>
        <v>0</v>
      </c>
      <c r="P75" s="227">
        <f t="shared" si="4"/>
        <v>0</v>
      </c>
      <c r="Q75" s="223">
        <f t="shared" si="5"/>
        <v>0</v>
      </c>
      <c r="R75" s="223"/>
      <c r="S75" s="223"/>
      <c r="T75" s="223"/>
      <c r="U75" s="223"/>
      <c r="V75" s="223"/>
      <c r="W75" s="223"/>
      <c r="X75" s="223"/>
      <c r="Y75" s="223">
        <f t="shared" si="6"/>
        <v>0</v>
      </c>
      <c r="Z75" s="223"/>
      <c r="AA75" s="223">
        <f t="shared" si="7"/>
        <v>0</v>
      </c>
      <c r="AB75" s="207"/>
      <c r="AC75" s="207"/>
      <c r="AD75" s="207"/>
      <c r="AE75" s="207"/>
      <c r="AF75" s="207"/>
      <c r="AG75" s="207"/>
      <c r="AH75" s="207"/>
      <c r="AI75" s="207"/>
      <c r="AJ75" s="207"/>
      <c r="AK75" s="207"/>
      <c r="AL75" s="207"/>
      <c r="AM75" s="207"/>
      <c r="AN75" s="207"/>
      <c r="AO75" s="207"/>
      <c r="AP75" s="207"/>
    </row>
    <row r="76" spans="1:42" ht="13.5" hidden="1" customHeight="1" x14ac:dyDescent="0.2">
      <c r="A76" s="219"/>
      <c r="B76" s="221"/>
      <c r="C76" s="220"/>
      <c r="D76" s="222"/>
      <c r="E76" s="223"/>
      <c r="F76" s="222"/>
      <c r="G76" s="223"/>
      <c r="H76" s="223"/>
      <c r="I76" s="223"/>
      <c r="J76" s="222"/>
      <c r="K76" s="222"/>
      <c r="L76" s="222"/>
      <c r="M76" s="222"/>
      <c r="N76" s="222">
        <f t="shared" si="2"/>
        <v>0</v>
      </c>
      <c r="O76" s="222">
        <f t="shared" si="3"/>
        <v>0</v>
      </c>
      <c r="P76" s="227">
        <f t="shared" si="4"/>
        <v>0</v>
      </c>
      <c r="Q76" s="223">
        <f t="shared" si="5"/>
        <v>0</v>
      </c>
      <c r="R76" s="223"/>
      <c r="S76" s="223"/>
      <c r="T76" s="223"/>
      <c r="U76" s="223"/>
      <c r="V76" s="223"/>
      <c r="W76" s="223"/>
      <c r="X76" s="223"/>
      <c r="Y76" s="223">
        <f t="shared" si="6"/>
        <v>0</v>
      </c>
      <c r="Z76" s="223"/>
      <c r="AA76" s="223">
        <f t="shared" si="7"/>
        <v>0</v>
      </c>
      <c r="AB76" s="207"/>
      <c r="AC76" s="207"/>
      <c r="AD76" s="207"/>
      <c r="AE76" s="207"/>
      <c r="AF76" s="207"/>
      <c r="AG76" s="207"/>
      <c r="AH76" s="207"/>
      <c r="AI76" s="207"/>
      <c r="AJ76" s="207"/>
      <c r="AK76" s="207"/>
      <c r="AL76" s="207"/>
      <c r="AM76" s="207"/>
      <c r="AN76" s="207"/>
      <c r="AO76" s="207"/>
      <c r="AP76" s="207"/>
    </row>
    <row r="77" spans="1:42" ht="13.5" hidden="1" customHeight="1" x14ac:dyDescent="0.2">
      <c r="A77" s="219"/>
      <c r="B77" s="221"/>
      <c r="C77" s="220"/>
      <c r="D77" s="222"/>
      <c r="E77" s="223"/>
      <c r="F77" s="222"/>
      <c r="G77" s="223"/>
      <c r="H77" s="223"/>
      <c r="I77" s="223"/>
      <c r="J77" s="222"/>
      <c r="K77" s="222"/>
      <c r="L77" s="222"/>
      <c r="M77" s="222"/>
      <c r="N77" s="222">
        <f t="shared" si="2"/>
        <v>0</v>
      </c>
      <c r="O77" s="222">
        <f t="shared" si="3"/>
        <v>0</v>
      </c>
      <c r="P77" s="227">
        <f t="shared" si="4"/>
        <v>0</v>
      </c>
      <c r="Q77" s="223">
        <f t="shared" si="5"/>
        <v>0</v>
      </c>
      <c r="R77" s="223"/>
      <c r="S77" s="223"/>
      <c r="T77" s="223"/>
      <c r="U77" s="223"/>
      <c r="V77" s="223"/>
      <c r="W77" s="223"/>
      <c r="X77" s="223"/>
      <c r="Y77" s="223">
        <f t="shared" si="6"/>
        <v>0</v>
      </c>
      <c r="Z77" s="223"/>
      <c r="AA77" s="223">
        <f t="shared" si="7"/>
        <v>0</v>
      </c>
      <c r="AB77" s="207"/>
      <c r="AC77" s="207"/>
      <c r="AD77" s="207"/>
      <c r="AE77" s="207"/>
      <c r="AF77" s="207"/>
      <c r="AG77" s="207"/>
      <c r="AH77" s="207"/>
      <c r="AI77" s="207"/>
      <c r="AJ77" s="207"/>
      <c r="AK77" s="207"/>
      <c r="AL77" s="207"/>
      <c r="AM77" s="207"/>
      <c r="AN77" s="207"/>
      <c r="AO77" s="207"/>
      <c r="AP77" s="207"/>
    </row>
    <row r="78" spans="1:42" ht="13.5" hidden="1" customHeight="1" x14ac:dyDescent="0.2">
      <c r="A78" s="219"/>
      <c r="B78" s="221"/>
      <c r="C78" s="220"/>
      <c r="D78" s="222"/>
      <c r="E78" s="223"/>
      <c r="F78" s="222"/>
      <c r="G78" s="223"/>
      <c r="H78" s="223"/>
      <c r="I78" s="223"/>
      <c r="J78" s="222"/>
      <c r="K78" s="222"/>
      <c r="L78" s="222"/>
      <c r="M78" s="222"/>
      <c r="N78" s="222">
        <f t="shared" si="2"/>
        <v>0</v>
      </c>
      <c r="O78" s="222">
        <f t="shared" si="3"/>
        <v>0</v>
      </c>
      <c r="P78" s="227">
        <f t="shared" si="4"/>
        <v>0</v>
      </c>
      <c r="Q78" s="223">
        <f t="shared" si="5"/>
        <v>0</v>
      </c>
      <c r="R78" s="223"/>
      <c r="S78" s="223"/>
      <c r="T78" s="223"/>
      <c r="U78" s="223"/>
      <c r="V78" s="223"/>
      <c r="W78" s="223"/>
      <c r="X78" s="223"/>
      <c r="Y78" s="223">
        <f t="shared" si="6"/>
        <v>0</v>
      </c>
      <c r="Z78" s="223"/>
      <c r="AA78" s="223">
        <f t="shared" si="7"/>
        <v>0</v>
      </c>
      <c r="AB78" s="207"/>
      <c r="AC78" s="207"/>
      <c r="AD78" s="207"/>
      <c r="AE78" s="207"/>
      <c r="AF78" s="207"/>
      <c r="AG78" s="207"/>
      <c r="AH78" s="207"/>
      <c r="AI78" s="207"/>
      <c r="AJ78" s="207"/>
      <c r="AK78" s="207"/>
      <c r="AL78" s="207"/>
      <c r="AM78" s="207"/>
      <c r="AN78" s="207"/>
      <c r="AO78" s="207"/>
      <c r="AP78" s="207"/>
    </row>
    <row r="79" spans="1:42" ht="13.5" hidden="1" customHeight="1" x14ac:dyDescent="0.2">
      <c r="A79" s="219"/>
      <c r="B79" s="221"/>
      <c r="C79" s="220"/>
      <c r="D79" s="222"/>
      <c r="E79" s="223"/>
      <c r="F79" s="222"/>
      <c r="G79" s="223"/>
      <c r="H79" s="223"/>
      <c r="I79" s="223"/>
      <c r="J79" s="222"/>
      <c r="K79" s="222"/>
      <c r="L79" s="222"/>
      <c r="M79" s="222"/>
      <c r="N79" s="222">
        <f t="shared" si="2"/>
        <v>0</v>
      </c>
      <c r="O79" s="222">
        <f t="shared" si="3"/>
        <v>0</v>
      </c>
      <c r="P79" s="227">
        <f t="shared" si="4"/>
        <v>0</v>
      </c>
      <c r="Q79" s="223">
        <f t="shared" si="5"/>
        <v>0</v>
      </c>
      <c r="R79" s="223"/>
      <c r="S79" s="223"/>
      <c r="T79" s="223"/>
      <c r="U79" s="223"/>
      <c r="V79" s="223"/>
      <c r="W79" s="223"/>
      <c r="X79" s="223"/>
      <c r="Y79" s="223">
        <f t="shared" si="6"/>
        <v>0</v>
      </c>
      <c r="Z79" s="223"/>
      <c r="AA79" s="223">
        <f t="shared" si="7"/>
        <v>0</v>
      </c>
      <c r="AB79" s="207"/>
      <c r="AC79" s="207"/>
      <c r="AD79" s="207"/>
      <c r="AE79" s="207"/>
      <c r="AF79" s="207"/>
      <c r="AG79" s="207"/>
      <c r="AH79" s="207"/>
      <c r="AI79" s="207"/>
      <c r="AJ79" s="207"/>
      <c r="AK79" s="207"/>
      <c r="AL79" s="207"/>
      <c r="AM79" s="207"/>
      <c r="AN79" s="207"/>
      <c r="AO79" s="207"/>
      <c r="AP79" s="207"/>
    </row>
    <row r="80" spans="1:42" ht="13.5" hidden="1" customHeight="1" x14ac:dyDescent="0.2">
      <c r="A80" s="219"/>
      <c r="B80" s="221"/>
      <c r="C80" s="220"/>
      <c r="D80" s="222"/>
      <c r="E80" s="223"/>
      <c r="F80" s="222"/>
      <c r="G80" s="223"/>
      <c r="H80" s="223"/>
      <c r="I80" s="223"/>
      <c r="J80" s="222"/>
      <c r="K80" s="222"/>
      <c r="L80" s="222"/>
      <c r="M80" s="222"/>
      <c r="N80" s="222">
        <f t="shared" si="2"/>
        <v>0</v>
      </c>
      <c r="O80" s="222">
        <f t="shared" si="3"/>
        <v>0</v>
      </c>
      <c r="P80" s="227">
        <f t="shared" si="4"/>
        <v>0</v>
      </c>
      <c r="Q80" s="223">
        <f t="shared" si="5"/>
        <v>0</v>
      </c>
      <c r="R80" s="223"/>
      <c r="S80" s="223"/>
      <c r="T80" s="223"/>
      <c r="U80" s="223"/>
      <c r="V80" s="223"/>
      <c r="W80" s="223"/>
      <c r="X80" s="223"/>
      <c r="Y80" s="223">
        <f t="shared" si="6"/>
        <v>0</v>
      </c>
      <c r="Z80" s="223"/>
      <c r="AA80" s="223">
        <f t="shared" si="7"/>
        <v>0</v>
      </c>
      <c r="AB80" s="207"/>
      <c r="AC80" s="207"/>
      <c r="AD80" s="207"/>
      <c r="AE80" s="207"/>
      <c r="AF80" s="207"/>
      <c r="AG80" s="207"/>
      <c r="AH80" s="207"/>
      <c r="AI80" s="207"/>
      <c r="AJ80" s="207"/>
      <c r="AK80" s="207"/>
      <c r="AL80" s="207"/>
      <c r="AM80" s="207"/>
      <c r="AN80" s="207"/>
      <c r="AO80" s="207"/>
      <c r="AP80" s="207"/>
    </row>
    <row r="81" spans="1:42" ht="13.5" hidden="1" customHeight="1" x14ac:dyDescent="0.2">
      <c r="A81" s="219"/>
      <c r="B81" s="221"/>
      <c r="C81" s="220"/>
      <c r="D81" s="222"/>
      <c r="E81" s="223"/>
      <c r="F81" s="222"/>
      <c r="G81" s="223"/>
      <c r="H81" s="223"/>
      <c r="I81" s="223"/>
      <c r="J81" s="222"/>
      <c r="K81" s="222"/>
      <c r="L81" s="222"/>
      <c r="M81" s="222"/>
      <c r="N81" s="222">
        <f t="shared" si="2"/>
        <v>0</v>
      </c>
      <c r="O81" s="222">
        <f t="shared" si="3"/>
        <v>0</v>
      </c>
      <c r="P81" s="227">
        <f t="shared" si="4"/>
        <v>0</v>
      </c>
      <c r="Q81" s="223">
        <f t="shared" si="5"/>
        <v>0</v>
      </c>
      <c r="R81" s="223"/>
      <c r="S81" s="223"/>
      <c r="T81" s="223"/>
      <c r="U81" s="223"/>
      <c r="V81" s="223"/>
      <c r="W81" s="223"/>
      <c r="X81" s="223"/>
      <c r="Y81" s="223">
        <f t="shared" si="6"/>
        <v>0</v>
      </c>
      <c r="Z81" s="223"/>
      <c r="AA81" s="223">
        <f t="shared" si="7"/>
        <v>0</v>
      </c>
      <c r="AB81" s="207"/>
      <c r="AC81" s="207"/>
      <c r="AD81" s="207"/>
      <c r="AE81" s="207"/>
      <c r="AF81" s="207"/>
      <c r="AG81" s="207"/>
      <c r="AH81" s="207"/>
      <c r="AI81" s="207"/>
      <c r="AJ81" s="207"/>
      <c r="AK81" s="207"/>
      <c r="AL81" s="207"/>
      <c r="AM81" s="207"/>
      <c r="AN81" s="207"/>
      <c r="AO81" s="207"/>
      <c r="AP81" s="207"/>
    </row>
    <row r="82" spans="1:42" ht="13.5" hidden="1" customHeight="1" x14ac:dyDescent="0.2">
      <c r="A82" s="219"/>
      <c r="B82" s="221"/>
      <c r="C82" s="220"/>
      <c r="D82" s="222"/>
      <c r="E82" s="223"/>
      <c r="F82" s="222"/>
      <c r="G82" s="223"/>
      <c r="H82" s="223"/>
      <c r="I82" s="223"/>
      <c r="J82" s="222"/>
      <c r="K82" s="222"/>
      <c r="L82" s="222"/>
      <c r="M82" s="222"/>
      <c r="N82" s="222">
        <f t="shared" si="2"/>
        <v>0</v>
      </c>
      <c r="O82" s="222">
        <f t="shared" si="3"/>
        <v>0</v>
      </c>
      <c r="P82" s="227">
        <f t="shared" si="4"/>
        <v>0</v>
      </c>
      <c r="Q82" s="223">
        <f t="shared" si="5"/>
        <v>0</v>
      </c>
      <c r="R82" s="223"/>
      <c r="S82" s="223"/>
      <c r="T82" s="223"/>
      <c r="U82" s="223"/>
      <c r="V82" s="223"/>
      <c r="W82" s="223"/>
      <c r="X82" s="223"/>
      <c r="Y82" s="223">
        <f t="shared" si="6"/>
        <v>0</v>
      </c>
      <c r="Z82" s="223"/>
      <c r="AA82" s="223">
        <f t="shared" si="7"/>
        <v>0</v>
      </c>
      <c r="AB82" s="207"/>
      <c r="AC82" s="207"/>
      <c r="AD82" s="207"/>
      <c r="AE82" s="207"/>
      <c r="AF82" s="207"/>
      <c r="AG82" s="207"/>
      <c r="AH82" s="207"/>
      <c r="AI82" s="207"/>
      <c r="AJ82" s="207"/>
      <c r="AK82" s="207"/>
      <c r="AL82" s="207"/>
      <c r="AM82" s="207"/>
      <c r="AN82" s="207"/>
      <c r="AO82" s="207"/>
      <c r="AP82" s="207"/>
    </row>
    <row r="83" spans="1:42" ht="13.5" hidden="1" customHeight="1" x14ac:dyDescent="0.2">
      <c r="A83" s="219"/>
      <c r="B83" s="221"/>
      <c r="C83" s="220"/>
      <c r="D83" s="222"/>
      <c r="E83" s="223"/>
      <c r="F83" s="222"/>
      <c r="G83" s="223"/>
      <c r="H83" s="223"/>
      <c r="I83" s="223"/>
      <c r="J83" s="222"/>
      <c r="K83" s="222"/>
      <c r="L83" s="222"/>
      <c r="M83" s="222"/>
      <c r="N83" s="222">
        <f t="shared" si="2"/>
        <v>0</v>
      </c>
      <c r="O83" s="222">
        <f t="shared" si="3"/>
        <v>0</v>
      </c>
      <c r="P83" s="227">
        <f t="shared" si="4"/>
        <v>0</v>
      </c>
      <c r="Q83" s="223">
        <f t="shared" si="5"/>
        <v>0</v>
      </c>
      <c r="R83" s="223"/>
      <c r="S83" s="223"/>
      <c r="T83" s="223"/>
      <c r="U83" s="223"/>
      <c r="V83" s="223"/>
      <c r="W83" s="223"/>
      <c r="X83" s="223"/>
      <c r="Y83" s="223">
        <f t="shared" si="6"/>
        <v>0</v>
      </c>
      <c r="Z83" s="223"/>
      <c r="AA83" s="223">
        <f t="shared" si="7"/>
        <v>0</v>
      </c>
      <c r="AB83" s="207"/>
      <c r="AC83" s="207"/>
      <c r="AD83" s="207"/>
      <c r="AE83" s="207"/>
      <c r="AF83" s="207"/>
      <c r="AG83" s="207"/>
      <c r="AH83" s="207"/>
      <c r="AI83" s="207"/>
      <c r="AJ83" s="207"/>
      <c r="AK83" s="207"/>
      <c r="AL83" s="207"/>
      <c r="AM83" s="207"/>
      <c r="AN83" s="207"/>
      <c r="AO83" s="207"/>
      <c r="AP83" s="207"/>
    </row>
    <row r="84" spans="1:42" ht="13.5" hidden="1" customHeight="1" x14ac:dyDescent="0.2">
      <c r="A84" s="219"/>
      <c r="B84" s="221"/>
      <c r="C84" s="220"/>
      <c r="D84" s="222"/>
      <c r="E84" s="223"/>
      <c r="F84" s="222"/>
      <c r="G84" s="223"/>
      <c r="H84" s="223"/>
      <c r="I84" s="223"/>
      <c r="J84" s="222"/>
      <c r="K84" s="222"/>
      <c r="L84" s="222"/>
      <c r="M84" s="222"/>
      <c r="N84" s="222">
        <f t="shared" si="2"/>
        <v>0</v>
      </c>
      <c r="O84" s="222">
        <f t="shared" si="3"/>
        <v>0</v>
      </c>
      <c r="P84" s="227">
        <f t="shared" si="4"/>
        <v>0</v>
      </c>
      <c r="Q84" s="223">
        <f t="shared" si="5"/>
        <v>0</v>
      </c>
      <c r="R84" s="223"/>
      <c r="S84" s="223"/>
      <c r="T84" s="223"/>
      <c r="U84" s="223"/>
      <c r="V84" s="223"/>
      <c r="W84" s="223"/>
      <c r="X84" s="223"/>
      <c r="Y84" s="223">
        <f t="shared" si="6"/>
        <v>0</v>
      </c>
      <c r="Z84" s="223"/>
      <c r="AA84" s="223">
        <f t="shared" si="7"/>
        <v>0</v>
      </c>
      <c r="AB84" s="207"/>
      <c r="AC84" s="207"/>
      <c r="AD84" s="207"/>
      <c r="AE84" s="207"/>
      <c r="AF84" s="207"/>
      <c r="AG84" s="207"/>
      <c r="AH84" s="207"/>
      <c r="AI84" s="207"/>
      <c r="AJ84" s="207"/>
      <c r="AK84" s="207"/>
      <c r="AL84" s="207"/>
      <c r="AM84" s="207"/>
      <c r="AN84" s="207"/>
      <c r="AO84" s="207"/>
      <c r="AP84" s="207"/>
    </row>
    <row r="85" spans="1:42" ht="13.5" hidden="1" customHeight="1" x14ac:dyDescent="0.2">
      <c r="A85" s="219"/>
      <c r="B85" s="221"/>
      <c r="C85" s="220"/>
      <c r="D85" s="222"/>
      <c r="E85" s="223"/>
      <c r="F85" s="222"/>
      <c r="G85" s="223"/>
      <c r="H85" s="223"/>
      <c r="I85" s="223"/>
      <c r="J85" s="222"/>
      <c r="K85" s="222"/>
      <c r="L85" s="222"/>
      <c r="M85" s="222"/>
      <c r="N85" s="222">
        <f t="shared" si="2"/>
        <v>0</v>
      </c>
      <c r="O85" s="222">
        <f t="shared" si="3"/>
        <v>0</v>
      </c>
      <c r="P85" s="227">
        <f t="shared" si="4"/>
        <v>0</v>
      </c>
      <c r="Q85" s="223">
        <f t="shared" si="5"/>
        <v>0</v>
      </c>
      <c r="R85" s="223"/>
      <c r="S85" s="223"/>
      <c r="T85" s="223"/>
      <c r="U85" s="223"/>
      <c r="V85" s="223"/>
      <c r="W85" s="223"/>
      <c r="X85" s="223"/>
      <c r="Y85" s="223">
        <f t="shared" si="6"/>
        <v>0</v>
      </c>
      <c r="Z85" s="223"/>
      <c r="AA85" s="223">
        <f t="shared" si="7"/>
        <v>0</v>
      </c>
      <c r="AB85" s="207"/>
      <c r="AC85" s="207"/>
      <c r="AD85" s="207"/>
      <c r="AE85" s="207"/>
      <c r="AF85" s="207"/>
      <c r="AG85" s="207"/>
      <c r="AH85" s="207"/>
      <c r="AI85" s="207"/>
      <c r="AJ85" s="207"/>
      <c r="AK85" s="207"/>
      <c r="AL85" s="207"/>
      <c r="AM85" s="207"/>
      <c r="AN85" s="207"/>
      <c r="AO85" s="207"/>
      <c r="AP85" s="207"/>
    </row>
    <row r="86" spans="1:42" ht="13.5" hidden="1" customHeight="1" x14ac:dyDescent="0.2">
      <c r="A86" s="219"/>
      <c r="B86" s="221"/>
      <c r="C86" s="220"/>
      <c r="D86" s="222"/>
      <c r="E86" s="223"/>
      <c r="F86" s="222"/>
      <c r="G86" s="223"/>
      <c r="H86" s="223"/>
      <c r="I86" s="223"/>
      <c r="J86" s="222"/>
      <c r="K86" s="222"/>
      <c r="L86" s="222"/>
      <c r="M86" s="222"/>
      <c r="N86" s="222">
        <f t="shared" si="2"/>
        <v>0</v>
      </c>
      <c r="O86" s="222">
        <f t="shared" si="3"/>
        <v>0</v>
      </c>
      <c r="P86" s="227">
        <f t="shared" si="4"/>
        <v>0</v>
      </c>
      <c r="Q86" s="223">
        <f t="shared" si="5"/>
        <v>0</v>
      </c>
      <c r="R86" s="223"/>
      <c r="S86" s="223"/>
      <c r="T86" s="223"/>
      <c r="U86" s="223"/>
      <c r="V86" s="223"/>
      <c r="W86" s="223"/>
      <c r="X86" s="223"/>
      <c r="Y86" s="223">
        <f t="shared" si="6"/>
        <v>0</v>
      </c>
      <c r="Z86" s="223"/>
      <c r="AA86" s="223">
        <f t="shared" si="7"/>
        <v>0</v>
      </c>
      <c r="AB86" s="207"/>
      <c r="AC86" s="207"/>
      <c r="AD86" s="207"/>
      <c r="AE86" s="207"/>
      <c r="AF86" s="207"/>
      <c r="AG86" s="207"/>
      <c r="AH86" s="207"/>
      <c r="AI86" s="207"/>
      <c r="AJ86" s="207"/>
      <c r="AK86" s="207"/>
      <c r="AL86" s="207"/>
      <c r="AM86" s="207"/>
      <c r="AN86" s="207"/>
      <c r="AO86" s="207"/>
      <c r="AP86" s="207"/>
    </row>
    <row r="87" spans="1:42" ht="13.5" hidden="1" customHeight="1" x14ac:dyDescent="0.2">
      <c r="A87" s="219"/>
      <c r="B87" s="221"/>
      <c r="C87" s="220"/>
      <c r="D87" s="222"/>
      <c r="E87" s="223"/>
      <c r="F87" s="222"/>
      <c r="G87" s="223"/>
      <c r="H87" s="223"/>
      <c r="I87" s="223"/>
      <c r="J87" s="222"/>
      <c r="K87" s="222"/>
      <c r="L87" s="222"/>
      <c r="M87" s="222"/>
      <c r="N87" s="222">
        <f t="shared" si="2"/>
        <v>0</v>
      </c>
      <c r="O87" s="222">
        <f t="shared" si="3"/>
        <v>0</v>
      </c>
      <c r="P87" s="227">
        <f t="shared" si="4"/>
        <v>0</v>
      </c>
      <c r="Q87" s="223">
        <f t="shared" si="5"/>
        <v>0</v>
      </c>
      <c r="R87" s="223"/>
      <c r="S87" s="223"/>
      <c r="T87" s="223"/>
      <c r="U87" s="223"/>
      <c r="V87" s="223"/>
      <c r="W87" s="223"/>
      <c r="X87" s="223"/>
      <c r="Y87" s="223">
        <f t="shared" si="6"/>
        <v>0</v>
      </c>
      <c r="Z87" s="223"/>
      <c r="AA87" s="223">
        <f t="shared" si="7"/>
        <v>0</v>
      </c>
      <c r="AB87" s="207"/>
      <c r="AC87" s="207"/>
      <c r="AD87" s="207"/>
      <c r="AE87" s="207"/>
      <c r="AF87" s="207"/>
      <c r="AG87" s="207"/>
      <c r="AH87" s="207"/>
      <c r="AI87" s="207"/>
      <c r="AJ87" s="207"/>
      <c r="AK87" s="207"/>
      <c r="AL87" s="207"/>
      <c r="AM87" s="207"/>
      <c r="AN87" s="207"/>
      <c r="AO87" s="207"/>
      <c r="AP87" s="207"/>
    </row>
    <row r="88" spans="1:42" ht="13.5" hidden="1" customHeight="1" x14ac:dyDescent="0.2">
      <c r="A88" s="219"/>
      <c r="B88" s="221"/>
      <c r="C88" s="220"/>
      <c r="D88" s="222"/>
      <c r="E88" s="223"/>
      <c r="F88" s="222"/>
      <c r="G88" s="223"/>
      <c r="H88" s="223"/>
      <c r="I88" s="223"/>
      <c r="J88" s="222"/>
      <c r="K88" s="222"/>
      <c r="L88" s="222"/>
      <c r="M88" s="222"/>
      <c r="N88" s="222">
        <f t="shared" si="2"/>
        <v>0</v>
      </c>
      <c r="O88" s="222">
        <f t="shared" si="3"/>
        <v>0</v>
      </c>
      <c r="P88" s="227">
        <f t="shared" si="4"/>
        <v>0</v>
      </c>
      <c r="Q88" s="223">
        <f t="shared" si="5"/>
        <v>0</v>
      </c>
      <c r="R88" s="223"/>
      <c r="S88" s="223"/>
      <c r="T88" s="223"/>
      <c r="U88" s="223"/>
      <c r="V88" s="223"/>
      <c r="W88" s="223"/>
      <c r="X88" s="223"/>
      <c r="Y88" s="223">
        <f t="shared" si="6"/>
        <v>0</v>
      </c>
      <c r="Z88" s="223"/>
      <c r="AA88" s="223">
        <f t="shared" si="7"/>
        <v>0</v>
      </c>
      <c r="AB88" s="207"/>
      <c r="AC88" s="207"/>
      <c r="AD88" s="207"/>
      <c r="AE88" s="207"/>
      <c r="AF88" s="207"/>
      <c r="AG88" s="207"/>
      <c r="AH88" s="207"/>
      <c r="AI88" s="207"/>
      <c r="AJ88" s="207"/>
      <c r="AK88" s="207"/>
      <c r="AL88" s="207"/>
      <c r="AM88" s="207"/>
      <c r="AN88" s="207"/>
      <c r="AO88" s="207"/>
      <c r="AP88" s="207"/>
    </row>
    <row r="89" spans="1:42" ht="13.5" hidden="1" customHeight="1" x14ac:dyDescent="0.2">
      <c r="A89" s="219"/>
      <c r="B89" s="221"/>
      <c r="C89" s="220"/>
      <c r="D89" s="222"/>
      <c r="E89" s="223"/>
      <c r="F89" s="222"/>
      <c r="G89" s="223"/>
      <c r="H89" s="223"/>
      <c r="I89" s="223"/>
      <c r="J89" s="222"/>
      <c r="K89" s="222"/>
      <c r="L89" s="222"/>
      <c r="M89" s="222"/>
      <c r="N89" s="222">
        <f t="shared" si="2"/>
        <v>0</v>
      </c>
      <c r="O89" s="222">
        <f t="shared" si="3"/>
        <v>0</v>
      </c>
      <c r="P89" s="227">
        <f t="shared" si="4"/>
        <v>0</v>
      </c>
      <c r="Q89" s="223">
        <f t="shared" si="5"/>
        <v>0</v>
      </c>
      <c r="R89" s="223"/>
      <c r="S89" s="223"/>
      <c r="T89" s="223"/>
      <c r="U89" s="223"/>
      <c r="V89" s="223"/>
      <c r="W89" s="223"/>
      <c r="X89" s="223"/>
      <c r="Y89" s="223">
        <f t="shared" si="6"/>
        <v>0</v>
      </c>
      <c r="Z89" s="223"/>
      <c r="AA89" s="223">
        <f t="shared" si="7"/>
        <v>0</v>
      </c>
      <c r="AB89" s="207"/>
      <c r="AC89" s="207"/>
      <c r="AD89" s="207"/>
      <c r="AE89" s="207"/>
      <c r="AF89" s="207"/>
      <c r="AG89" s="207"/>
      <c r="AH89" s="207"/>
      <c r="AI89" s="207"/>
      <c r="AJ89" s="207"/>
      <c r="AK89" s="207"/>
      <c r="AL89" s="207"/>
      <c r="AM89" s="207"/>
      <c r="AN89" s="207"/>
      <c r="AO89" s="207"/>
      <c r="AP89" s="207"/>
    </row>
    <row r="90" spans="1:42" ht="13.5" hidden="1" customHeight="1" x14ac:dyDescent="0.2">
      <c r="A90" s="219"/>
      <c r="B90" s="221"/>
      <c r="C90" s="220"/>
      <c r="D90" s="222"/>
      <c r="E90" s="223"/>
      <c r="F90" s="222"/>
      <c r="G90" s="223"/>
      <c r="H90" s="223"/>
      <c r="I90" s="223"/>
      <c r="J90" s="222"/>
      <c r="K90" s="222"/>
      <c r="L90" s="222"/>
      <c r="M90" s="222"/>
      <c r="N90" s="222">
        <f t="shared" si="2"/>
        <v>0</v>
      </c>
      <c r="O90" s="222">
        <f t="shared" si="3"/>
        <v>0</v>
      </c>
      <c r="P90" s="227">
        <f t="shared" si="4"/>
        <v>0</v>
      </c>
      <c r="Q90" s="223">
        <f t="shared" si="5"/>
        <v>0</v>
      </c>
      <c r="R90" s="223"/>
      <c r="S90" s="223"/>
      <c r="T90" s="223"/>
      <c r="U90" s="223"/>
      <c r="V90" s="223"/>
      <c r="W90" s="223"/>
      <c r="X90" s="223"/>
      <c r="Y90" s="223">
        <f t="shared" si="6"/>
        <v>0</v>
      </c>
      <c r="Z90" s="223"/>
      <c r="AA90" s="223">
        <f t="shared" si="7"/>
        <v>0</v>
      </c>
      <c r="AB90" s="207"/>
      <c r="AC90" s="207"/>
      <c r="AD90" s="207"/>
      <c r="AE90" s="207"/>
      <c r="AF90" s="207"/>
      <c r="AG90" s="207"/>
      <c r="AH90" s="207"/>
      <c r="AI90" s="207"/>
      <c r="AJ90" s="207"/>
      <c r="AK90" s="207"/>
      <c r="AL90" s="207"/>
      <c r="AM90" s="207"/>
      <c r="AN90" s="207"/>
      <c r="AO90" s="207"/>
      <c r="AP90" s="207"/>
    </row>
    <row r="91" spans="1:42" ht="13.5" hidden="1" customHeight="1" x14ac:dyDescent="0.2">
      <c r="A91" s="219"/>
      <c r="B91" s="221"/>
      <c r="C91" s="220"/>
      <c r="D91" s="222"/>
      <c r="E91" s="223"/>
      <c r="F91" s="222"/>
      <c r="G91" s="223"/>
      <c r="H91" s="223"/>
      <c r="I91" s="223"/>
      <c r="J91" s="222"/>
      <c r="K91" s="222"/>
      <c r="L91" s="222"/>
      <c r="M91" s="222"/>
      <c r="N91" s="222">
        <f t="shared" si="2"/>
        <v>0</v>
      </c>
      <c r="O91" s="222">
        <f t="shared" si="3"/>
        <v>0</v>
      </c>
      <c r="P91" s="227">
        <f t="shared" si="4"/>
        <v>0</v>
      </c>
      <c r="Q91" s="223">
        <f t="shared" si="5"/>
        <v>0</v>
      </c>
      <c r="R91" s="223"/>
      <c r="S91" s="223"/>
      <c r="T91" s="223"/>
      <c r="U91" s="223"/>
      <c r="V91" s="223"/>
      <c r="W91" s="223"/>
      <c r="X91" s="223"/>
      <c r="Y91" s="223">
        <f t="shared" si="6"/>
        <v>0</v>
      </c>
      <c r="Z91" s="223"/>
      <c r="AA91" s="223">
        <f t="shared" si="7"/>
        <v>0</v>
      </c>
      <c r="AB91" s="207"/>
      <c r="AC91" s="207"/>
      <c r="AD91" s="207"/>
      <c r="AE91" s="207"/>
      <c r="AF91" s="207"/>
      <c r="AG91" s="207"/>
      <c r="AH91" s="207"/>
      <c r="AI91" s="207"/>
      <c r="AJ91" s="207"/>
      <c r="AK91" s="207"/>
      <c r="AL91" s="207"/>
      <c r="AM91" s="207"/>
      <c r="AN91" s="207"/>
      <c r="AO91" s="207"/>
      <c r="AP91" s="207"/>
    </row>
    <row r="92" spans="1:42" ht="13.5" hidden="1" customHeight="1" x14ac:dyDescent="0.2">
      <c r="A92" s="219"/>
      <c r="B92" s="221"/>
      <c r="C92" s="220"/>
      <c r="D92" s="222"/>
      <c r="E92" s="223"/>
      <c r="F92" s="222"/>
      <c r="G92" s="223"/>
      <c r="H92" s="223"/>
      <c r="I92" s="223"/>
      <c r="J92" s="222"/>
      <c r="K92" s="222"/>
      <c r="L92" s="222"/>
      <c r="M92" s="222"/>
      <c r="N92" s="222">
        <f t="shared" si="2"/>
        <v>0</v>
      </c>
      <c r="O92" s="222">
        <f t="shared" si="3"/>
        <v>0</v>
      </c>
      <c r="P92" s="227">
        <f t="shared" si="4"/>
        <v>0</v>
      </c>
      <c r="Q92" s="223">
        <f t="shared" si="5"/>
        <v>0</v>
      </c>
      <c r="R92" s="223"/>
      <c r="S92" s="223"/>
      <c r="T92" s="223"/>
      <c r="U92" s="223"/>
      <c r="V92" s="223"/>
      <c r="W92" s="223"/>
      <c r="X92" s="223"/>
      <c r="Y92" s="223">
        <f t="shared" si="6"/>
        <v>0</v>
      </c>
      <c r="Z92" s="223"/>
      <c r="AA92" s="223">
        <f t="shared" si="7"/>
        <v>0</v>
      </c>
      <c r="AB92" s="207"/>
      <c r="AC92" s="207"/>
      <c r="AD92" s="207"/>
      <c r="AE92" s="207"/>
      <c r="AF92" s="207"/>
      <c r="AG92" s="207"/>
      <c r="AH92" s="207"/>
      <c r="AI92" s="207"/>
      <c r="AJ92" s="207"/>
      <c r="AK92" s="207"/>
      <c r="AL92" s="207"/>
      <c r="AM92" s="207"/>
      <c r="AN92" s="207"/>
      <c r="AO92" s="207"/>
      <c r="AP92" s="207"/>
    </row>
    <row r="93" spans="1:42" ht="13.5" hidden="1" customHeight="1" x14ac:dyDescent="0.2">
      <c r="A93" s="219"/>
      <c r="B93" s="221"/>
      <c r="C93" s="220"/>
      <c r="D93" s="222"/>
      <c r="E93" s="223"/>
      <c r="F93" s="222"/>
      <c r="G93" s="223"/>
      <c r="H93" s="223"/>
      <c r="I93" s="223"/>
      <c r="J93" s="222"/>
      <c r="K93" s="222"/>
      <c r="L93" s="222"/>
      <c r="M93" s="222"/>
      <c r="N93" s="222">
        <f t="shared" si="2"/>
        <v>0</v>
      </c>
      <c r="O93" s="222">
        <f t="shared" si="3"/>
        <v>0</v>
      </c>
      <c r="P93" s="227">
        <f t="shared" si="4"/>
        <v>0</v>
      </c>
      <c r="Q93" s="223">
        <f t="shared" si="5"/>
        <v>0</v>
      </c>
      <c r="R93" s="223"/>
      <c r="S93" s="223"/>
      <c r="T93" s="223"/>
      <c r="U93" s="223"/>
      <c r="V93" s="223"/>
      <c r="W93" s="223"/>
      <c r="X93" s="223"/>
      <c r="Y93" s="223">
        <f t="shared" si="6"/>
        <v>0</v>
      </c>
      <c r="Z93" s="223"/>
      <c r="AA93" s="223">
        <f t="shared" si="7"/>
        <v>0</v>
      </c>
      <c r="AB93" s="207"/>
      <c r="AC93" s="207"/>
      <c r="AD93" s="207"/>
      <c r="AE93" s="207"/>
      <c r="AF93" s="207"/>
      <c r="AG93" s="207"/>
      <c r="AH93" s="207"/>
      <c r="AI93" s="207"/>
      <c r="AJ93" s="207"/>
      <c r="AK93" s="207"/>
      <c r="AL93" s="207"/>
      <c r="AM93" s="207"/>
      <c r="AN93" s="207"/>
      <c r="AO93" s="207"/>
      <c r="AP93" s="207"/>
    </row>
    <row r="94" spans="1:42" ht="13.5" hidden="1" customHeight="1" x14ac:dyDescent="0.2">
      <c r="A94" s="219"/>
      <c r="B94" s="221"/>
      <c r="C94" s="220"/>
      <c r="D94" s="222"/>
      <c r="E94" s="223"/>
      <c r="F94" s="222"/>
      <c r="G94" s="223"/>
      <c r="H94" s="223"/>
      <c r="I94" s="223"/>
      <c r="J94" s="222"/>
      <c r="K94" s="222"/>
      <c r="L94" s="222"/>
      <c r="M94" s="222"/>
      <c r="N94" s="222">
        <f t="shared" si="2"/>
        <v>0</v>
      </c>
      <c r="O94" s="222">
        <f t="shared" si="3"/>
        <v>0</v>
      </c>
      <c r="P94" s="227">
        <f t="shared" si="4"/>
        <v>0</v>
      </c>
      <c r="Q94" s="223">
        <f t="shared" si="5"/>
        <v>0</v>
      </c>
      <c r="R94" s="223"/>
      <c r="S94" s="223"/>
      <c r="T94" s="223"/>
      <c r="U94" s="223"/>
      <c r="V94" s="223"/>
      <c r="W94" s="223"/>
      <c r="X94" s="223"/>
      <c r="Y94" s="223">
        <f t="shared" si="6"/>
        <v>0</v>
      </c>
      <c r="Z94" s="223"/>
      <c r="AA94" s="223">
        <f t="shared" si="7"/>
        <v>0</v>
      </c>
      <c r="AB94" s="207"/>
      <c r="AC94" s="207"/>
      <c r="AD94" s="207"/>
      <c r="AE94" s="207"/>
      <c r="AF94" s="207"/>
      <c r="AG94" s="207"/>
      <c r="AH94" s="207"/>
      <c r="AI94" s="207"/>
      <c r="AJ94" s="207"/>
      <c r="AK94" s="207"/>
      <c r="AL94" s="207"/>
      <c r="AM94" s="207"/>
      <c r="AN94" s="207"/>
      <c r="AO94" s="207"/>
      <c r="AP94" s="207"/>
    </row>
    <row r="95" spans="1:42" ht="13.5" hidden="1" customHeight="1" x14ac:dyDescent="0.2">
      <c r="A95" s="219"/>
      <c r="B95" s="221"/>
      <c r="C95" s="220"/>
      <c r="D95" s="222"/>
      <c r="E95" s="223"/>
      <c r="F95" s="222"/>
      <c r="G95" s="223"/>
      <c r="H95" s="223"/>
      <c r="I95" s="223"/>
      <c r="J95" s="222"/>
      <c r="K95" s="222"/>
      <c r="L95" s="222"/>
      <c r="M95" s="222"/>
      <c r="N95" s="222">
        <f t="shared" si="2"/>
        <v>0</v>
      </c>
      <c r="O95" s="222">
        <f t="shared" si="3"/>
        <v>0</v>
      </c>
      <c r="P95" s="227">
        <f t="shared" si="4"/>
        <v>0</v>
      </c>
      <c r="Q95" s="223">
        <f t="shared" si="5"/>
        <v>0</v>
      </c>
      <c r="R95" s="223"/>
      <c r="S95" s="223"/>
      <c r="T95" s="223"/>
      <c r="U95" s="223"/>
      <c r="V95" s="223"/>
      <c r="W95" s="223"/>
      <c r="X95" s="223"/>
      <c r="Y95" s="223">
        <f t="shared" si="6"/>
        <v>0</v>
      </c>
      <c r="Z95" s="223"/>
      <c r="AA95" s="223">
        <f t="shared" si="7"/>
        <v>0</v>
      </c>
      <c r="AB95" s="207"/>
      <c r="AC95" s="207"/>
      <c r="AD95" s="207"/>
      <c r="AE95" s="207"/>
      <c r="AF95" s="207"/>
      <c r="AG95" s="207"/>
      <c r="AH95" s="207"/>
      <c r="AI95" s="207"/>
      <c r="AJ95" s="207"/>
      <c r="AK95" s="207"/>
      <c r="AL95" s="207"/>
      <c r="AM95" s="207"/>
      <c r="AN95" s="207"/>
      <c r="AO95" s="207"/>
      <c r="AP95" s="207"/>
    </row>
    <row r="96" spans="1:42" ht="13.5" hidden="1" customHeight="1" x14ac:dyDescent="0.2">
      <c r="A96" s="219"/>
      <c r="B96" s="221"/>
      <c r="C96" s="220"/>
      <c r="D96" s="222"/>
      <c r="E96" s="223"/>
      <c r="F96" s="222"/>
      <c r="G96" s="223"/>
      <c r="H96" s="223"/>
      <c r="I96" s="223"/>
      <c r="J96" s="222"/>
      <c r="K96" s="222"/>
      <c r="L96" s="222"/>
      <c r="M96" s="222"/>
      <c r="N96" s="222">
        <f t="shared" si="2"/>
        <v>0</v>
      </c>
      <c r="O96" s="222">
        <f t="shared" si="3"/>
        <v>0</v>
      </c>
      <c r="P96" s="227">
        <f t="shared" si="4"/>
        <v>0</v>
      </c>
      <c r="Q96" s="223">
        <f t="shared" si="5"/>
        <v>0</v>
      </c>
      <c r="R96" s="223"/>
      <c r="S96" s="223"/>
      <c r="T96" s="223"/>
      <c r="U96" s="223"/>
      <c r="V96" s="223"/>
      <c r="W96" s="223"/>
      <c r="X96" s="223"/>
      <c r="Y96" s="223">
        <f t="shared" si="6"/>
        <v>0</v>
      </c>
      <c r="Z96" s="223"/>
      <c r="AA96" s="223">
        <f t="shared" si="7"/>
        <v>0</v>
      </c>
      <c r="AB96" s="207"/>
      <c r="AC96" s="207"/>
      <c r="AD96" s="207"/>
      <c r="AE96" s="207"/>
      <c r="AF96" s="207"/>
      <c r="AG96" s="207"/>
      <c r="AH96" s="207"/>
      <c r="AI96" s="207"/>
      <c r="AJ96" s="207"/>
      <c r="AK96" s="207"/>
      <c r="AL96" s="207"/>
      <c r="AM96" s="207"/>
      <c r="AN96" s="207"/>
      <c r="AO96" s="207"/>
      <c r="AP96" s="207"/>
    </row>
    <row r="97" spans="1:42" ht="13.5" hidden="1" customHeight="1" x14ac:dyDescent="0.2">
      <c r="A97" s="219"/>
      <c r="B97" s="221"/>
      <c r="C97" s="220"/>
      <c r="D97" s="222"/>
      <c r="E97" s="223"/>
      <c r="F97" s="222"/>
      <c r="G97" s="223"/>
      <c r="H97" s="223"/>
      <c r="I97" s="223"/>
      <c r="J97" s="222"/>
      <c r="K97" s="222"/>
      <c r="L97" s="222"/>
      <c r="M97" s="222"/>
      <c r="N97" s="222">
        <f t="shared" si="2"/>
        <v>0</v>
      </c>
      <c r="O97" s="222">
        <f t="shared" si="3"/>
        <v>0</v>
      </c>
      <c r="P97" s="227">
        <f t="shared" si="4"/>
        <v>0</v>
      </c>
      <c r="Q97" s="223">
        <f t="shared" si="5"/>
        <v>0</v>
      </c>
      <c r="R97" s="223"/>
      <c r="S97" s="223"/>
      <c r="T97" s="223"/>
      <c r="U97" s="223"/>
      <c r="V97" s="223"/>
      <c r="W97" s="223"/>
      <c r="X97" s="223"/>
      <c r="Y97" s="223">
        <f t="shared" si="6"/>
        <v>0</v>
      </c>
      <c r="Z97" s="223"/>
      <c r="AA97" s="223">
        <f t="shared" si="7"/>
        <v>0</v>
      </c>
      <c r="AB97" s="207"/>
      <c r="AC97" s="207"/>
      <c r="AD97" s="207"/>
      <c r="AE97" s="207"/>
      <c r="AF97" s="207"/>
      <c r="AG97" s="207"/>
      <c r="AH97" s="207"/>
      <c r="AI97" s="207"/>
      <c r="AJ97" s="207"/>
      <c r="AK97" s="207"/>
      <c r="AL97" s="207"/>
      <c r="AM97" s="207"/>
      <c r="AN97" s="207"/>
      <c r="AO97" s="207"/>
      <c r="AP97" s="207"/>
    </row>
    <row r="98" spans="1:42" ht="13.5" hidden="1" customHeight="1" x14ac:dyDescent="0.2">
      <c r="A98" s="219"/>
      <c r="B98" s="221"/>
      <c r="C98" s="220"/>
      <c r="D98" s="222"/>
      <c r="E98" s="223"/>
      <c r="F98" s="222"/>
      <c r="G98" s="223"/>
      <c r="H98" s="223"/>
      <c r="I98" s="223"/>
      <c r="J98" s="222"/>
      <c r="K98" s="222"/>
      <c r="L98" s="222"/>
      <c r="M98" s="222"/>
      <c r="N98" s="222">
        <f t="shared" si="2"/>
        <v>0</v>
      </c>
      <c r="O98" s="222">
        <f t="shared" si="3"/>
        <v>0</v>
      </c>
      <c r="P98" s="227">
        <f t="shared" si="4"/>
        <v>0</v>
      </c>
      <c r="Q98" s="223">
        <f t="shared" si="5"/>
        <v>0</v>
      </c>
      <c r="R98" s="223"/>
      <c r="S98" s="223"/>
      <c r="T98" s="223"/>
      <c r="U98" s="223"/>
      <c r="V98" s="223"/>
      <c r="W98" s="223"/>
      <c r="X98" s="223"/>
      <c r="Y98" s="223">
        <f t="shared" si="6"/>
        <v>0</v>
      </c>
      <c r="Z98" s="223"/>
      <c r="AA98" s="223">
        <f t="shared" si="7"/>
        <v>0</v>
      </c>
      <c r="AB98" s="207"/>
      <c r="AC98" s="207"/>
      <c r="AD98" s="207"/>
      <c r="AE98" s="207"/>
      <c r="AF98" s="207"/>
      <c r="AG98" s="207"/>
      <c r="AH98" s="207"/>
      <c r="AI98" s="207"/>
      <c r="AJ98" s="207"/>
      <c r="AK98" s="207"/>
      <c r="AL98" s="207"/>
      <c r="AM98" s="207"/>
      <c r="AN98" s="207"/>
      <c r="AO98" s="207"/>
      <c r="AP98" s="207"/>
    </row>
    <row r="99" spans="1:42" ht="13.5" hidden="1" customHeight="1" x14ac:dyDescent="0.2">
      <c r="A99" s="219"/>
      <c r="B99" s="221"/>
      <c r="C99" s="220"/>
      <c r="D99" s="222"/>
      <c r="E99" s="223"/>
      <c r="F99" s="222"/>
      <c r="G99" s="223"/>
      <c r="H99" s="223"/>
      <c r="I99" s="223"/>
      <c r="J99" s="222"/>
      <c r="K99" s="222"/>
      <c r="L99" s="222"/>
      <c r="M99" s="222"/>
      <c r="N99" s="222">
        <f t="shared" si="2"/>
        <v>0</v>
      </c>
      <c r="O99" s="222">
        <f t="shared" si="3"/>
        <v>0</v>
      </c>
      <c r="P99" s="227">
        <f t="shared" si="4"/>
        <v>0</v>
      </c>
      <c r="Q99" s="223">
        <f t="shared" si="5"/>
        <v>0</v>
      </c>
      <c r="R99" s="223"/>
      <c r="S99" s="223"/>
      <c r="T99" s="223"/>
      <c r="U99" s="223"/>
      <c r="V99" s="223"/>
      <c r="W99" s="223"/>
      <c r="X99" s="223"/>
      <c r="Y99" s="223">
        <f t="shared" si="6"/>
        <v>0</v>
      </c>
      <c r="Z99" s="223"/>
      <c r="AA99" s="223">
        <f t="shared" si="7"/>
        <v>0</v>
      </c>
      <c r="AB99" s="207"/>
      <c r="AC99" s="207"/>
      <c r="AD99" s="207"/>
      <c r="AE99" s="207"/>
      <c r="AF99" s="207"/>
      <c r="AG99" s="207"/>
      <c r="AH99" s="207"/>
      <c r="AI99" s="207"/>
      <c r="AJ99" s="207"/>
      <c r="AK99" s="207"/>
      <c r="AL99" s="207"/>
      <c r="AM99" s="207"/>
      <c r="AN99" s="207"/>
      <c r="AO99" s="207"/>
      <c r="AP99" s="207"/>
    </row>
    <row r="100" spans="1:42" ht="13.5" hidden="1" customHeight="1" x14ac:dyDescent="0.2">
      <c r="A100" s="219"/>
      <c r="B100" s="221"/>
      <c r="C100" s="220"/>
      <c r="D100" s="222"/>
      <c r="E100" s="223"/>
      <c r="F100" s="222"/>
      <c r="G100" s="223"/>
      <c r="H100" s="223"/>
      <c r="I100" s="223"/>
      <c r="J100" s="222"/>
      <c r="K100" s="222"/>
      <c r="L100" s="222"/>
      <c r="M100" s="222"/>
      <c r="N100" s="222">
        <f t="shared" si="2"/>
        <v>0</v>
      </c>
      <c r="O100" s="222">
        <f t="shared" si="3"/>
        <v>0</v>
      </c>
      <c r="P100" s="227">
        <f t="shared" si="4"/>
        <v>0</v>
      </c>
      <c r="Q100" s="223">
        <f t="shared" si="5"/>
        <v>0</v>
      </c>
      <c r="R100" s="223"/>
      <c r="S100" s="223"/>
      <c r="T100" s="223"/>
      <c r="U100" s="223"/>
      <c r="V100" s="223"/>
      <c r="W100" s="223"/>
      <c r="X100" s="223"/>
      <c r="Y100" s="223">
        <f t="shared" si="6"/>
        <v>0</v>
      </c>
      <c r="Z100" s="223"/>
      <c r="AA100" s="223">
        <f t="shared" si="7"/>
        <v>0</v>
      </c>
      <c r="AB100" s="207"/>
      <c r="AC100" s="207"/>
      <c r="AD100" s="207"/>
      <c r="AE100" s="207"/>
      <c r="AF100" s="207"/>
      <c r="AG100" s="207"/>
      <c r="AH100" s="207"/>
      <c r="AI100" s="207"/>
      <c r="AJ100" s="207"/>
      <c r="AK100" s="207"/>
      <c r="AL100" s="207"/>
      <c r="AM100" s="207"/>
      <c r="AN100" s="207"/>
      <c r="AO100" s="207"/>
      <c r="AP100" s="207"/>
    </row>
    <row r="101" spans="1:42" ht="13.5" hidden="1" customHeight="1" x14ac:dyDescent="0.2">
      <c r="A101" s="219"/>
      <c r="B101" s="221"/>
      <c r="C101" s="220"/>
      <c r="D101" s="222"/>
      <c r="E101" s="223"/>
      <c r="F101" s="222"/>
      <c r="G101" s="223"/>
      <c r="H101" s="223"/>
      <c r="I101" s="223"/>
      <c r="J101" s="222"/>
      <c r="K101" s="222"/>
      <c r="L101" s="222"/>
      <c r="M101" s="222"/>
      <c r="N101" s="222">
        <f t="shared" si="2"/>
        <v>0</v>
      </c>
      <c r="O101" s="222">
        <f t="shared" si="3"/>
        <v>0</v>
      </c>
      <c r="P101" s="227">
        <f t="shared" si="4"/>
        <v>0</v>
      </c>
      <c r="Q101" s="223">
        <f t="shared" si="5"/>
        <v>0</v>
      </c>
      <c r="R101" s="223"/>
      <c r="S101" s="223"/>
      <c r="T101" s="223"/>
      <c r="U101" s="223"/>
      <c r="V101" s="223"/>
      <c r="W101" s="223"/>
      <c r="X101" s="223"/>
      <c r="Y101" s="223">
        <f t="shared" si="6"/>
        <v>0</v>
      </c>
      <c r="Z101" s="223"/>
      <c r="AA101" s="223">
        <f t="shared" si="7"/>
        <v>0</v>
      </c>
      <c r="AB101" s="207"/>
      <c r="AC101" s="207"/>
      <c r="AD101" s="207"/>
      <c r="AE101" s="207"/>
      <c r="AF101" s="207"/>
      <c r="AG101" s="207"/>
      <c r="AH101" s="207"/>
      <c r="AI101" s="207"/>
      <c r="AJ101" s="207"/>
      <c r="AK101" s="207"/>
      <c r="AL101" s="207"/>
      <c r="AM101" s="207"/>
      <c r="AN101" s="207"/>
      <c r="AO101" s="207"/>
      <c r="AP101" s="207"/>
    </row>
    <row r="102" spans="1:42" ht="13.5" hidden="1" customHeight="1" x14ac:dyDescent="0.2">
      <c r="A102" s="219"/>
      <c r="B102" s="221"/>
      <c r="C102" s="220"/>
      <c r="D102" s="222"/>
      <c r="E102" s="223"/>
      <c r="F102" s="222"/>
      <c r="G102" s="223"/>
      <c r="H102" s="223"/>
      <c r="I102" s="223"/>
      <c r="J102" s="222"/>
      <c r="K102" s="222"/>
      <c r="L102" s="222"/>
      <c r="M102" s="222"/>
      <c r="N102" s="222">
        <f t="shared" si="2"/>
        <v>0</v>
      </c>
      <c r="O102" s="222">
        <f t="shared" si="3"/>
        <v>0</v>
      </c>
      <c r="P102" s="227">
        <f t="shared" si="4"/>
        <v>0</v>
      </c>
      <c r="Q102" s="223">
        <f t="shared" si="5"/>
        <v>0</v>
      </c>
      <c r="R102" s="223"/>
      <c r="S102" s="223"/>
      <c r="T102" s="223"/>
      <c r="U102" s="223"/>
      <c r="V102" s="223"/>
      <c r="W102" s="223"/>
      <c r="X102" s="223"/>
      <c r="Y102" s="223">
        <f t="shared" si="6"/>
        <v>0</v>
      </c>
      <c r="Z102" s="223"/>
      <c r="AA102" s="223">
        <f t="shared" si="7"/>
        <v>0</v>
      </c>
      <c r="AB102" s="207"/>
      <c r="AC102" s="207"/>
      <c r="AD102" s="207"/>
      <c r="AE102" s="207"/>
      <c r="AF102" s="207"/>
      <c r="AG102" s="207"/>
      <c r="AH102" s="207"/>
      <c r="AI102" s="207"/>
      <c r="AJ102" s="207"/>
      <c r="AK102" s="207"/>
      <c r="AL102" s="207"/>
      <c r="AM102" s="207"/>
      <c r="AN102" s="207"/>
      <c r="AO102" s="207"/>
      <c r="AP102" s="207"/>
    </row>
    <row r="103" spans="1:42" ht="13.5" hidden="1" customHeight="1" x14ac:dyDescent="0.2">
      <c r="A103" s="219"/>
      <c r="B103" s="221"/>
      <c r="C103" s="220"/>
      <c r="D103" s="222"/>
      <c r="E103" s="223"/>
      <c r="F103" s="222"/>
      <c r="G103" s="223"/>
      <c r="H103" s="223"/>
      <c r="I103" s="223"/>
      <c r="J103" s="222"/>
      <c r="K103" s="222"/>
      <c r="L103" s="222"/>
      <c r="M103" s="222"/>
      <c r="N103" s="222">
        <f t="shared" si="2"/>
        <v>0</v>
      </c>
      <c r="O103" s="222">
        <f t="shared" si="3"/>
        <v>0</v>
      </c>
      <c r="P103" s="227">
        <f t="shared" si="4"/>
        <v>0</v>
      </c>
      <c r="Q103" s="223">
        <f t="shared" si="5"/>
        <v>0</v>
      </c>
      <c r="R103" s="223"/>
      <c r="S103" s="223"/>
      <c r="T103" s="223"/>
      <c r="U103" s="223"/>
      <c r="V103" s="223"/>
      <c r="W103" s="223"/>
      <c r="X103" s="223"/>
      <c r="Y103" s="223">
        <f t="shared" si="6"/>
        <v>0</v>
      </c>
      <c r="Z103" s="223"/>
      <c r="AA103" s="223">
        <f t="shared" si="7"/>
        <v>0</v>
      </c>
      <c r="AB103" s="207"/>
      <c r="AC103" s="207"/>
      <c r="AD103" s="207"/>
      <c r="AE103" s="207"/>
      <c r="AF103" s="207"/>
      <c r="AG103" s="207"/>
      <c r="AH103" s="207"/>
      <c r="AI103" s="207"/>
      <c r="AJ103" s="207"/>
      <c r="AK103" s="207"/>
      <c r="AL103" s="207"/>
      <c r="AM103" s="207"/>
      <c r="AN103" s="207"/>
      <c r="AO103" s="207"/>
      <c r="AP103" s="207"/>
    </row>
    <row r="104" spans="1:42" ht="13.5" hidden="1" customHeight="1" x14ac:dyDescent="0.2">
      <c r="A104" s="219"/>
      <c r="B104" s="221"/>
      <c r="C104" s="220"/>
      <c r="D104" s="222"/>
      <c r="E104" s="223"/>
      <c r="F104" s="222"/>
      <c r="G104" s="223"/>
      <c r="H104" s="223"/>
      <c r="I104" s="223"/>
      <c r="J104" s="222"/>
      <c r="K104" s="222"/>
      <c r="L104" s="222"/>
      <c r="M104" s="222"/>
      <c r="N104" s="222">
        <f t="shared" si="2"/>
        <v>0</v>
      </c>
      <c r="O104" s="222">
        <f t="shared" si="3"/>
        <v>0</v>
      </c>
      <c r="P104" s="227">
        <f t="shared" si="4"/>
        <v>0</v>
      </c>
      <c r="Q104" s="223">
        <f t="shared" si="5"/>
        <v>0</v>
      </c>
      <c r="R104" s="223"/>
      <c r="S104" s="223"/>
      <c r="T104" s="223"/>
      <c r="U104" s="223"/>
      <c r="V104" s="223"/>
      <c r="W104" s="223"/>
      <c r="X104" s="223"/>
      <c r="Y104" s="223">
        <f t="shared" si="6"/>
        <v>0</v>
      </c>
      <c r="Z104" s="223"/>
      <c r="AA104" s="223">
        <f t="shared" si="7"/>
        <v>0</v>
      </c>
      <c r="AB104" s="207"/>
      <c r="AC104" s="207"/>
      <c r="AD104" s="207"/>
      <c r="AE104" s="207"/>
      <c r="AF104" s="207"/>
      <c r="AG104" s="207"/>
      <c r="AH104" s="207"/>
      <c r="AI104" s="207"/>
      <c r="AJ104" s="207"/>
      <c r="AK104" s="207"/>
      <c r="AL104" s="207"/>
      <c r="AM104" s="207"/>
      <c r="AN104" s="207"/>
      <c r="AO104" s="207"/>
      <c r="AP104" s="207"/>
    </row>
    <row r="105" spans="1:42" ht="13.5" hidden="1" customHeight="1" x14ac:dyDescent="0.2">
      <c r="A105" s="219"/>
      <c r="B105" s="221"/>
      <c r="C105" s="220"/>
      <c r="D105" s="222"/>
      <c r="E105" s="223"/>
      <c r="F105" s="222"/>
      <c r="G105" s="223"/>
      <c r="H105" s="223"/>
      <c r="I105" s="223"/>
      <c r="J105" s="222"/>
      <c r="K105" s="222"/>
      <c r="L105" s="222"/>
      <c r="M105" s="222"/>
      <c r="N105" s="222">
        <f t="shared" si="2"/>
        <v>0</v>
      </c>
      <c r="O105" s="222">
        <f t="shared" si="3"/>
        <v>0</v>
      </c>
      <c r="P105" s="227">
        <f t="shared" si="4"/>
        <v>0</v>
      </c>
      <c r="Q105" s="223">
        <f t="shared" si="5"/>
        <v>0</v>
      </c>
      <c r="R105" s="223"/>
      <c r="S105" s="223"/>
      <c r="T105" s="223"/>
      <c r="U105" s="223"/>
      <c r="V105" s="223"/>
      <c r="W105" s="223"/>
      <c r="X105" s="223"/>
      <c r="Y105" s="223">
        <f t="shared" si="6"/>
        <v>0</v>
      </c>
      <c r="Z105" s="223"/>
      <c r="AA105" s="223">
        <f t="shared" si="7"/>
        <v>0</v>
      </c>
      <c r="AB105" s="207"/>
      <c r="AC105" s="207"/>
      <c r="AD105" s="207"/>
      <c r="AE105" s="207"/>
      <c r="AF105" s="207"/>
      <c r="AG105" s="207"/>
      <c r="AH105" s="207"/>
      <c r="AI105" s="207"/>
      <c r="AJ105" s="207"/>
      <c r="AK105" s="207"/>
      <c r="AL105" s="207"/>
      <c r="AM105" s="207"/>
      <c r="AN105" s="207"/>
      <c r="AO105" s="207"/>
      <c r="AP105" s="207"/>
    </row>
    <row r="106" spans="1:42" ht="13.5" hidden="1" customHeight="1" x14ac:dyDescent="0.2">
      <c r="A106" s="219"/>
      <c r="B106" s="221"/>
      <c r="C106" s="220"/>
      <c r="D106" s="222"/>
      <c r="E106" s="223"/>
      <c r="F106" s="222"/>
      <c r="G106" s="223"/>
      <c r="H106" s="223"/>
      <c r="I106" s="223"/>
      <c r="J106" s="222"/>
      <c r="K106" s="222"/>
      <c r="L106" s="222"/>
      <c r="M106" s="222"/>
      <c r="N106" s="222">
        <f t="shared" si="2"/>
        <v>0</v>
      </c>
      <c r="O106" s="222">
        <f t="shared" si="3"/>
        <v>0</v>
      </c>
      <c r="P106" s="227">
        <f t="shared" si="4"/>
        <v>0</v>
      </c>
      <c r="Q106" s="223">
        <f t="shared" si="5"/>
        <v>0</v>
      </c>
      <c r="R106" s="223"/>
      <c r="S106" s="223"/>
      <c r="T106" s="223"/>
      <c r="U106" s="223"/>
      <c r="V106" s="223"/>
      <c r="W106" s="223"/>
      <c r="X106" s="223"/>
      <c r="Y106" s="223">
        <f t="shared" si="6"/>
        <v>0</v>
      </c>
      <c r="Z106" s="223"/>
      <c r="AA106" s="223">
        <f t="shared" si="7"/>
        <v>0</v>
      </c>
      <c r="AB106" s="207"/>
      <c r="AC106" s="207"/>
      <c r="AD106" s="207"/>
      <c r="AE106" s="207"/>
      <c r="AF106" s="207"/>
      <c r="AG106" s="207"/>
      <c r="AH106" s="207"/>
      <c r="AI106" s="207"/>
      <c r="AJ106" s="207"/>
      <c r="AK106" s="207"/>
      <c r="AL106" s="207"/>
      <c r="AM106" s="207"/>
      <c r="AN106" s="207"/>
      <c r="AO106" s="207"/>
      <c r="AP106" s="207"/>
    </row>
    <row r="107" spans="1:42" ht="13.5" hidden="1" customHeight="1" x14ac:dyDescent="0.2">
      <c r="A107" s="219"/>
      <c r="B107" s="221"/>
      <c r="C107" s="220"/>
      <c r="D107" s="222"/>
      <c r="E107" s="223"/>
      <c r="F107" s="222"/>
      <c r="G107" s="223"/>
      <c r="H107" s="223"/>
      <c r="I107" s="223"/>
      <c r="J107" s="222"/>
      <c r="K107" s="222"/>
      <c r="L107" s="222"/>
      <c r="M107" s="222"/>
      <c r="N107" s="222">
        <f t="shared" si="2"/>
        <v>0</v>
      </c>
      <c r="O107" s="222">
        <f t="shared" si="3"/>
        <v>0</v>
      </c>
      <c r="P107" s="227">
        <f t="shared" si="4"/>
        <v>0</v>
      </c>
      <c r="Q107" s="223">
        <f t="shared" si="5"/>
        <v>0</v>
      </c>
      <c r="R107" s="223"/>
      <c r="S107" s="223"/>
      <c r="T107" s="223"/>
      <c r="U107" s="223"/>
      <c r="V107" s="223"/>
      <c r="W107" s="223"/>
      <c r="X107" s="223"/>
      <c r="Y107" s="223">
        <f t="shared" si="6"/>
        <v>0</v>
      </c>
      <c r="Z107" s="223"/>
      <c r="AA107" s="223">
        <f t="shared" si="7"/>
        <v>0</v>
      </c>
      <c r="AB107" s="207"/>
      <c r="AC107" s="207"/>
      <c r="AD107" s="207"/>
      <c r="AE107" s="207"/>
      <c r="AF107" s="207"/>
      <c r="AG107" s="207"/>
      <c r="AH107" s="207"/>
      <c r="AI107" s="207"/>
      <c r="AJ107" s="207"/>
      <c r="AK107" s="207"/>
      <c r="AL107" s="207"/>
      <c r="AM107" s="207"/>
      <c r="AN107" s="207"/>
      <c r="AO107" s="207"/>
      <c r="AP107" s="207"/>
    </row>
    <row r="108" spans="1:42" ht="13.5" hidden="1" customHeight="1" x14ac:dyDescent="0.2">
      <c r="A108" s="219"/>
      <c r="B108" s="221"/>
      <c r="C108" s="220"/>
      <c r="D108" s="222"/>
      <c r="E108" s="223"/>
      <c r="F108" s="222"/>
      <c r="G108" s="223"/>
      <c r="H108" s="223"/>
      <c r="I108" s="223"/>
      <c r="J108" s="222"/>
      <c r="K108" s="222"/>
      <c r="L108" s="222"/>
      <c r="M108" s="222"/>
      <c r="N108" s="222">
        <f t="shared" si="2"/>
        <v>0</v>
      </c>
      <c r="O108" s="222">
        <f t="shared" si="3"/>
        <v>0</v>
      </c>
      <c r="P108" s="227">
        <f t="shared" si="4"/>
        <v>0</v>
      </c>
      <c r="Q108" s="223">
        <f t="shared" si="5"/>
        <v>0</v>
      </c>
      <c r="R108" s="223"/>
      <c r="S108" s="223"/>
      <c r="T108" s="223"/>
      <c r="U108" s="223"/>
      <c r="V108" s="223"/>
      <c r="W108" s="223"/>
      <c r="X108" s="223"/>
      <c r="Y108" s="223">
        <f t="shared" si="6"/>
        <v>0</v>
      </c>
      <c r="Z108" s="223"/>
      <c r="AA108" s="223">
        <f t="shared" si="7"/>
        <v>0</v>
      </c>
      <c r="AB108" s="207"/>
      <c r="AC108" s="207"/>
      <c r="AD108" s="207"/>
      <c r="AE108" s="207"/>
      <c r="AF108" s="207"/>
      <c r="AG108" s="207"/>
      <c r="AH108" s="207"/>
      <c r="AI108" s="207"/>
      <c r="AJ108" s="207"/>
      <c r="AK108" s="207"/>
      <c r="AL108" s="207"/>
      <c r="AM108" s="207"/>
      <c r="AN108" s="207"/>
      <c r="AO108" s="207"/>
      <c r="AP108" s="207"/>
    </row>
    <row r="109" spans="1:42" ht="13.5" hidden="1" customHeight="1" x14ac:dyDescent="0.2">
      <c r="A109" s="219"/>
      <c r="B109" s="221"/>
      <c r="C109" s="220"/>
      <c r="D109" s="222"/>
      <c r="E109" s="223"/>
      <c r="F109" s="222"/>
      <c r="G109" s="223"/>
      <c r="H109" s="223"/>
      <c r="I109" s="223"/>
      <c r="J109" s="222"/>
      <c r="K109" s="222"/>
      <c r="L109" s="222"/>
      <c r="M109" s="222"/>
      <c r="N109" s="222">
        <f t="shared" si="2"/>
        <v>0</v>
      </c>
      <c r="O109" s="222">
        <f t="shared" si="3"/>
        <v>0</v>
      </c>
      <c r="P109" s="227">
        <f t="shared" si="4"/>
        <v>0</v>
      </c>
      <c r="Q109" s="223">
        <f t="shared" si="5"/>
        <v>0</v>
      </c>
      <c r="R109" s="223"/>
      <c r="S109" s="223"/>
      <c r="T109" s="223"/>
      <c r="U109" s="223"/>
      <c r="V109" s="223"/>
      <c r="W109" s="223"/>
      <c r="X109" s="223"/>
      <c r="Y109" s="223">
        <f t="shared" si="6"/>
        <v>0</v>
      </c>
      <c r="Z109" s="223"/>
      <c r="AA109" s="223">
        <f t="shared" si="7"/>
        <v>0</v>
      </c>
      <c r="AB109" s="207"/>
      <c r="AC109" s="207"/>
      <c r="AD109" s="207"/>
      <c r="AE109" s="207"/>
      <c r="AF109" s="207"/>
      <c r="AG109" s="207"/>
      <c r="AH109" s="207"/>
      <c r="AI109" s="207"/>
      <c r="AJ109" s="207"/>
      <c r="AK109" s="207"/>
      <c r="AL109" s="207"/>
      <c r="AM109" s="207"/>
      <c r="AN109" s="207"/>
      <c r="AO109" s="207"/>
      <c r="AP109" s="207"/>
    </row>
    <row r="110" spans="1:42" ht="13.5" hidden="1" customHeight="1" x14ac:dyDescent="0.2">
      <c r="A110" s="219"/>
      <c r="B110" s="221"/>
      <c r="C110" s="220"/>
      <c r="D110" s="222"/>
      <c r="E110" s="223"/>
      <c r="F110" s="222"/>
      <c r="G110" s="223"/>
      <c r="H110" s="223"/>
      <c r="I110" s="223"/>
      <c r="J110" s="222"/>
      <c r="K110" s="222"/>
      <c r="L110" s="222"/>
      <c r="M110" s="222"/>
      <c r="N110" s="222">
        <f t="shared" si="2"/>
        <v>0</v>
      </c>
      <c r="O110" s="222">
        <f t="shared" si="3"/>
        <v>0</v>
      </c>
      <c r="P110" s="227">
        <f t="shared" si="4"/>
        <v>0</v>
      </c>
      <c r="Q110" s="223">
        <f t="shared" si="5"/>
        <v>0</v>
      </c>
      <c r="R110" s="223"/>
      <c r="S110" s="223"/>
      <c r="T110" s="223"/>
      <c r="U110" s="223"/>
      <c r="V110" s="223"/>
      <c r="W110" s="223"/>
      <c r="X110" s="223"/>
      <c r="Y110" s="223">
        <f t="shared" si="6"/>
        <v>0</v>
      </c>
      <c r="Z110" s="223"/>
      <c r="AA110" s="223">
        <f t="shared" si="7"/>
        <v>0</v>
      </c>
      <c r="AB110" s="207"/>
      <c r="AC110" s="207"/>
      <c r="AD110" s="207"/>
      <c r="AE110" s="207"/>
      <c r="AF110" s="207"/>
      <c r="AG110" s="207"/>
      <c r="AH110" s="207"/>
      <c r="AI110" s="207"/>
      <c r="AJ110" s="207"/>
      <c r="AK110" s="207"/>
      <c r="AL110" s="207"/>
      <c r="AM110" s="207"/>
      <c r="AN110" s="207"/>
      <c r="AO110" s="207"/>
      <c r="AP110" s="207"/>
    </row>
    <row r="111" spans="1:42" ht="13.5" hidden="1" customHeight="1" x14ac:dyDescent="0.2">
      <c r="A111" s="219"/>
      <c r="B111" s="221"/>
      <c r="C111" s="220"/>
      <c r="D111" s="222"/>
      <c r="E111" s="223"/>
      <c r="F111" s="222"/>
      <c r="G111" s="223"/>
      <c r="H111" s="223"/>
      <c r="I111" s="223"/>
      <c r="J111" s="222"/>
      <c r="K111" s="222"/>
      <c r="L111" s="222"/>
      <c r="M111" s="222"/>
      <c r="N111" s="222">
        <f t="shared" si="2"/>
        <v>0</v>
      </c>
      <c r="O111" s="222">
        <f t="shared" si="3"/>
        <v>0</v>
      </c>
      <c r="P111" s="227">
        <f t="shared" si="4"/>
        <v>0</v>
      </c>
      <c r="Q111" s="223">
        <f t="shared" si="5"/>
        <v>0</v>
      </c>
      <c r="R111" s="223"/>
      <c r="S111" s="223"/>
      <c r="T111" s="223"/>
      <c r="U111" s="223"/>
      <c r="V111" s="223"/>
      <c r="W111" s="223"/>
      <c r="X111" s="223"/>
      <c r="Y111" s="223">
        <f t="shared" si="6"/>
        <v>0</v>
      </c>
      <c r="Z111" s="223"/>
      <c r="AA111" s="223">
        <f t="shared" si="7"/>
        <v>0</v>
      </c>
      <c r="AB111" s="207"/>
      <c r="AC111" s="207"/>
      <c r="AD111" s="207"/>
      <c r="AE111" s="207"/>
      <c r="AF111" s="207"/>
      <c r="AG111" s="207"/>
      <c r="AH111" s="207"/>
      <c r="AI111" s="207"/>
      <c r="AJ111" s="207"/>
      <c r="AK111" s="207"/>
      <c r="AL111" s="207"/>
      <c r="AM111" s="207"/>
      <c r="AN111" s="207"/>
      <c r="AO111" s="207"/>
      <c r="AP111" s="207"/>
    </row>
    <row r="112" spans="1:42" ht="13.5" hidden="1" customHeight="1" x14ac:dyDescent="0.2">
      <c r="A112" s="219"/>
      <c r="B112" s="221"/>
      <c r="C112" s="220"/>
      <c r="D112" s="222"/>
      <c r="E112" s="223"/>
      <c r="F112" s="222"/>
      <c r="G112" s="223"/>
      <c r="H112" s="223"/>
      <c r="I112" s="223"/>
      <c r="J112" s="222"/>
      <c r="K112" s="222"/>
      <c r="L112" s="222"/>
      <c r="M112" s="222"/>
      <c r="N112" s="222">
        <f t="shared" si="2"/>
        <v>0</v>
      </c>
      <c r="O112" s="222">
        <f t="shared" si="3"/>
        <v>0</v>
      </c>
      <c r="P112" s="227">
        <f t="shared" si="4"/>
        <v>0</v>
      </c>
      <c r="Q112" s="223">
        <f t="shared" si="5"/>
        <v>0</v>
      </c>
      <c r="R112" s="223"/>
      <c r="S112" s="223"/>
      <c r="T112" s="223"/>
      <c r="U112" s="223"/>
      <c r="V112" s="223"/>
      <c r="W112" s="223"/>
      <c r="X112" s="223"/>
      <c r="Y112" s="223">
        <f t="shared" si="6"/>
        <v>0</v>
      </c>
      <c r="Z112" s="223"/>
      <c r="AA112" s="223">
        <f t="shared" si="7"/>
        <v>0</v>
      </c>
      <c r="AB112" s="207"/>
      <c r="AC112" s="207"/>
      <c r="AD112" s="207"/>
      <c r="AE112" s="207"/>
      <c r="AF112" s="207"/>
      <c r="AG112" s="207"/>
      <c r="AH112" s="207"/>
      <c r="AI112" s="207"/>
      <c r="AJ112" s="207"/>
      <c r="AK112" s="207"/>
      <c r="AL112" s="207"/>
      <c r="AM112" s="207"/>
      <c r="AN112" s="207"/>
      <c r="AO112" s="207"/>
      <c r="AP112" s="207"/>
    </row>
    <row r="113" spans="1:42" ht="13.5" hidden="1" customHeight="1" x14ac:dyDescent="0.2">
      <c r="A113" s="219"/>
      <c r="B113" s="221"/>
      <c r="C113" s="220"/>
      <c r="D113" s="222"/>
      <c r="E113" s="223"/>
      <c r="F113" s="222"/>
      <c r="G113" s="223"/>
      <c r="H113" s="223"/>
      <c r="I113" s="223"/>
      <c r="J113" s="222"/>
      <c r="K113" s="222"/>
      <c r="L113" s="222"/>
      <c r="M113" s="222"/>
      <c r="N113" s="222">
        <f t="shared" ref="N113:N128" si="8">SUM(K113:M113)</f>
        <v>0</v>
      </c>
      <c r="O113" s="222">
        <f t="shared" ref="O113:O128" si="9">IFERROR(N113/J113,0)</f>
        <v>0</v>
      </c>
      <c r="P113" s="227">
        <f t="shared" ref="P113:P128" si="10">IFERROR($P$10*$G113,0)</f>
        <v>0</v>
      </c>
      <c r="Q113" s="223">
        <f t="shared" ref="Q113:Q128" si="11">$Q$10*$G113</f>
        <v>0</v>
      </c>
      <c r="R113" s="223"/>
      <c r="S113" s="223"/>
      <c r="T113" s="223"/>
      <c r="U113" s="223"/>
      <c r="V113" s="223"/>
      <c r="W113" s="223"/>
      <c r="X113" s="223"/>
      <c r="Y113" s="223">
        <f t="shared" ref="Y113:Y128" si="12">IFERROR(X113/W113,0)</f>
        <v>0</v>
      </c>
      <c r="Z113" s="223"/>
      <c r="AA113" s="223">
        <f t="shared" ref="AA113:AA128" si="13">IFERROR(Y113/O113,0)</f>
        <v>0</v>
      </c>
      <c r="AB113" s="207"/>
      <c r="AC113" s="207"/>
      <c r="AD113" s="207"/>
      <c r="AE113" s="207"/>
      <c r="AF113" s="207"/>
      <c r="AG113" s="207"/>
      <c r="AH113" s="207"/>
      <c r="AI113" s="207"/>
      <c r="AJ113" s="207"/>
      <c r="AK113" s="207"/>
      <c r="AL113" s="207"/>
      <c r="AM113" s="207"/>
      <c r="AN113" s="207"/>
      <c r="AO113" s="207"/>
      <c r="AP113" s="207"/>
    </row>
    <row r="114" spans="1:42" ht="13.5" hidden="1" customHeight="1" x14ac:dyDescent="0.2">
      <c r="A114" s="219"/>
      <c r="B114" s="221"/>
      <c r="C114" s="220"/>
      <c r="D114" s="222"/>
      <c r="E114" s="223"/>
      <c r="F114" s="222"/>
      <c r="G114" s="223"/>
      <c r="H114" s="223"/>
      <c r="I114" s="223"/>
      <c r="J114" s="222"/>
      <c r="K114" s="222"/>
      <c r="L114" s="222"/>
      <c r="M114" s="222"/>
      <c r="N114" s="222">
        <f t="shared" si="8"/>
        <v>0</v>
      </c>
      <c r="O114" s="222">
        <f t="shared" si="9"/>
        <v>0</v>
      </c>
      <c r="P114" s="227">
        <f t="shared" si="10"/>
        <v>0</v>
      </c>
      <c r="Q114" s="223">
        <f t="shared" si="11"/>
        <v>0</v>
      </c>
      <c r="R114" s="223"/>
      <c r="S114" s="223"/>
      <c r="T114" s="223"/>
      <c r="U114" s="223"/>
      <c r="V114" s="223"/>
      <c r="W114" s="223"/>
      <c r="X114" s="223"/>
      <c r="Y114" s="223">
        <f t="shared" si="12"/>
        <v>0</v>
      </c>
      <c r="Z114" s="223"/>
      <c r="AA114" s="223">
        <f t="shared" si="13"/>
        <v>0</v>
      </c>
      <c r="AB114" s="207"/>
      <c r="AC114" s="207"/>
      <c r="AD114" s="207"/>
      <c r="AE114" s="207"/>
      <c r="AF114" s="207"/>
      <c r="AG114" s="207"/>
      <c r="AH114" s="207"/>
      <c r="AI114" s="207"/>
      <c r="AJ114" s="207"/>
      <c r="AK114" s="207"/>
      <c r="AL114" s="207"/>
      <c r="AM114" s="207"/>
      <c r="AN114" s="207"/>
      <c r="AO114" s="207"/>
      <c r="AP114" s="207"/>
    </row>
    <row r="115" spans="1:42" ht="13.5" hidden="1" customHeight="1" x14ac:dyDescent="0.2">
      <c r="A115" s="219"/>
      <c r="B115" s="221"/>
      <c r="C115" s="220"/>
      <c r="D115" s="222"/>
      <c r="E115" s="223"/>
      <c r="F115" s="222"/>
      <c r="G115" s="223"/>
      <c r="H115" s="223"/>
      <c r="I115" s="223"/>
      <c r="J115" s="222"/>
      <c r="K115" s="222"/>
      <c r="L115" s="222"/>
      <c r="M115" s="222"/>
      <c r="N115" s="222">
        <f t="shared" si="8"/>
        <v>0</v>
      </c>
      <c r="O115" s="222">
        <f t="shared" si="9"/>
        <v>0</v>
      </c>
      <c r="P115" s="227">
        <f t="shared" si="10"/>
        <v>0</v>
      </c>
      <c r="Q115" s="223">
        <f t="shared" si="11"/>
        <v>0</v>
      </c>
      <c r="R115" s="223"/>
      <c r="S115" s="223"/>
      <c r="T115" s="223"/>
      <c r="U115" s="223"/>
      <c r="V115" s="223"/>
      <c r="W115" s="223"/>
      <c r="X115" s="223"/>
      <c r="Y115" s="223">
        <f t="shared" si="12"/>
        <v>0</v>
      </c>
      <c r="Z115" s="223"/>
      <c r="AA115" s="223">
        <f t="shared" si="13"/>
        <v>0</v>
      </c>
      <c r="AB115" s="207"/>
      <c r="AC115" s="207"/>
      <c r="AD115" s="207"/>
      <c r="AE115" s="207"/>
      <c r="AF115" s="207"/>
      <c r="AG115" s="207"/>
      <c r="AH115" s="207"/>
      <c r="AI115" s="207"/>
      <c r="AJ115" s="207"/>
      <c r="AK115" s="207"/>
      <c r="AL115" s="207"/>
      <c r="AM115" s="207"/>
      <c r="AN115" s="207"/>
      <c r="AO115" s="207"/>
      <c r="AP115" s="207"/>
    </row>
    <row r="116" spans="1:42" ht="13.5" hidden="1" customHeight="1" x14ac:dyDescent="0.2">
      <c r="A116" s="219"/>
      <c r="B116" s="221"/>
      <c r="C116" s="220"/>
      <c r="D116" s="222"/>
      <c r="E116" s="223"/>
      <c r="F116" s="222"/>
      <c r="G116" s="223"/>
      <c r="H116" s="223"/>
      <c r="I116" s="223"/>
      <c r="J116" s="222"/>
      <c r="K116" s="222"/>
      <c r="L116" s="222"/>
      <c r="M116" s="222"/>
      <c r="N116" s="222">
        <f t="shared" si="8"/>
        <v>0</v>
      </c>
      <c r="O116" s="222">
        <f t="shared" si="9"/>
        <v>0</v>
      </c>
      <c r="P116" s="227">
        <f t="shared" si="10"/>
        <v>0</v>
      </c>
      <c r="Q116" s="223">
        <f t="shared" si="11"/>
        <v>0</v>
      </c>
      <c r="R116" s="223"/>
      <c r="S116" s="223"/>
      <c r="T116" s="223"/>
      <c r="U116" s="223"/>
      <c r="V116" s="223"/>
      <c r="W116" s="223"/>
      <c r="X116" s="223"/>
      <c r="Y116" s="223">
        <f t="shared" si="12"/>
        <v>0</v>
      </c>
      <c r="Z116" s="223"/>
      <c r="AA116" s="223">
        <f t="shared" si="13"/>
        <v>0</v>
      </c>
      <c r="AB116" s="207"/>
      <c r="AC116" s="207"/>
      <c r="AD116" s="207"/>
      <c r="AE116" s="207"/>
      <c r="AF116" s="207"/>
      <c r="AG116" s="207"/>
      <c r="AH116" s="207"/>
      <c r="AI116" s="207"/>
      <c r="AJ116" s="207"/>
      <c r="AK116" s="207"/>
      <c r="AL116" s="207"/>
      <c r="AM116" s="207"/>
      <c r="AN116" s="207"/>
      <c r="AO116" s="207"/>
      <c r="AP116" s="207"/>
    </row>
    <row r="117" spans="1:42" ht="13.5" hidden="1" customHeight="1" x14ac:dyDescent="0.2">
      <c r="A117" s="219"/>
      <c r="B117" s="221"/>
      <c r="C117" s="220"/>
      <c r="D117" s="222"/>
      <c r="E117" s="223"/>
      <c r="F117" s="222"/>
      <c r="G117" s="223"/>
      <c r="H117" s="223"/>
      <c r="I117" s="223"/>
      <c r="J117" s="222"/>
      <c r="K117" s="222"/>
      <c r="L117" s="222"/>
      <c r="M117" s="222"/>
      <c r="N117" s="222">
        <f t="shared" si="8"/>
        <v>0</v>
      </c>
      <c r="O117" s="222">
        <f t="shared" si="9"/>
        <v>0</v>
      </c>
      <c r="P117" s="227">
        <f t="shared" si="10"/>
        <v>0</v>
      </c>
      <c r="Q117" s="223">
        <f t="shared" si="11"/>
        <v>0</v>
      </c>
      <c r="R117" s="223"/>
      <c r="S117" s="223"/>
      <c r="T117" s="223"/>
      <c r="U117" s="223"/>
      <c r="V117" s="223"/>
      <c r="W117" s="223"/>
      <c r="X117" s="223"/>
      <c r="Y117" s="223">
        <f t="shared" si="12"/>
        <v>0</v>
      </c>
      <c r="Z117" s="223"/>
      <c r="AA117" s="223">
        <f t="shared" si="13"/>
        <v>0</v>
      </c>
      <c r="AB117" s="207"/>
      <c r="AC117" s="207"/>
      <c r="AD117" s="207"/>
      <c r="AE117" s="207"/>
      <c r="AF117" s="207"/>
      <c r="AG117" s="207"/>
      <c r="AH117" s="207"/>
      <c r="AI117" s="207"/>
      <c r="AJ117" s="207"/>
      <c r="AK117" s="207"/>
      <c r="AL117" s="207"/>
      <c r="AM117" s="207"/>
      <c r="AN117" s="207"/>
      <c r="AO117" s="207"/>
      <c r="AP117" s="207"/>
    </row>
    <row r="118" spans="1:42" ht="13.5" hidden="1" customHeight="1" x14ac:dyDescent="0.2">
      <c r="A118" s="219"/>
      <c r="B118" s="221"/>
      <c r="C118" s="220"/>
      <c r="D118" s="222"/>
      <c r="E118" s="223"/>
      <c r="F118" s="222"/>
      <c r="G118" s="223"/>
      <c r="H118" s="223"/>
      <c r="I118" s="223"/>
      <c r="J118" s="222"/>
      <c r="K118" s="222"/>
      <c r="L118" s="222"/>
      <c r="M118" s="222"/>
      <c r="N118" s="222">
        <f t="shared" si="8"/>
        <v>0</v>
      </c>
      <c r="O118" s="222">
        <f t="shared" si="9"/>
        <v>0</v>
      </c>
      <c r="P118" s="227">
        <f t="shared" si="10"/>
        <v>0</v>
      </c>
      <c r="Q118" s="223">
        <f t="shared" si="11"/>
        <v>0</v>
      </c>
      <c r="R118" s="223"/>
      <c r="S118" s="223"/>
      <c r="T118" s="223"/>
      <c r="U118" s="223"/>
      <c r="V118" s="223"/>
      <c r="W118" s="223"/>
      <c r="X118" s="223"/>
      <c r="Y118" s="223">
        <f t="shared" si="12"/>
        <v>0</v>
      </c>
      <c r="Z118" s="223"/>
      <c r="AA118" s="223">
        <f t="shared" si="13"/>
        <v>0</v>
      </c>
      <c r="AB118" s="207"/>
      <c r="AC118" s="207"/>
      <c r="AD118" s="207"/>
      <c r="AE118" s="207"/>
      <c r="AF118" s="207"/>
      <c r="AG118" s="207"/>
      <c r="AH118" s="207"/>
      <c r="AI118" s="207"/>
      <c r="AJ118" s="207"/>
      <c r="AK118" s="207"/>
      <c r="AL118" s="207"/>
      <c r="AM118" s="207"/>
      <c r="AN118" s="207"/>
      <c r="AO118" s="207"/>
      <c r="AP118" s="207"/>
    </row>
    <row r="119" spans="1:42" ht="13.5" hidden="1" customHeight="1" x14ac:dyDescent="0.2">
      <c r="A119" s="219"/>
      <c r="B119" s="221"/>
      <c r="C119" s="220"/>
      <c r="D119" s="222"/>
      <c r="E119" s="223"/>
      <c r="F119" s="222"/>
      <c r="G119" s="223"/>
      <c r="H119" s="223"/>
      <c r="I119" s="223"/>
      <c r="J119" s="222"/>
      <c r="K119" s="222"/>
      <c r="L119" s="222"/>
      <c r="M119" s="222"/>
      <c r="N119" s="222">
        <f t="shared" si="8"/>
        <v>0</v>
      </c>
      <c r="O119" s="222">
        <f t="shared" si="9"/>
        <v>0</v>
      </c>
      <c r="P119" s="227">
        <f t="shared" si="10"/>
        <v>0</v>
      </c>
      <c r="Q119" s="223">
        <f t="shared" si="11"/>
        <v>0</v>
      </c>
      <c r="R119" s="223"/>
      <c r="S119" s="223"/>
      <c r="T119" s="223"/>
      <c r="U119" s="223"/>
      <c r="V119" s="223"/>
      <c r="W119" s="223"/>
      <c r="X119" s="223"/>
      <c r="Y119" s="223">
        <f t="shared" si="12"/>
        <v>0</v>
      </c>
      <c r="Z119" s="223"/>
      <c r="AA119" s="223">
        <f t="shared" si="13"/>
        <v>0</v>
      </c>
      <c r="AB119" s="207"/>
      <c r="AC119" s="207"/>
      <c r="AD119" s="207"/>
      <c r="AE119" s="207"/>
      <c r="AF119" s="207"/>
      <c r="AG119" s="207"/>
      <c r="AH119" s="207"/>
      <c r="AI119" s="207"/>
      <c r="AJ119" s="207"/>
      <c r="AK119" s="207"/>
      <c r="AL119" s="207"/>
      <c r="AM119" s="207"/>
      <c r="AN119" s="207"/>
      <c r="AO119" s="207"/>
      <c r="AP119" s="207"/>
    </row>
    <row r="120" spans="1:42" ht="13.5" hidden="1" customHeight="1" x14ac:dyDescent="0.2">
      <c r="A120" s="219"/>
      <c r="B120" s="221"/>
      <c r="C120" s="220"/>
      <c r="D120" s="222"/>
      <c r="E120" s="223"/>
      <c r="F120" s="222"/>
      <c r="G120" s="223"/>
      <c r="H120" s="223"/>
      <c r="I120" s="223"/>
      <c r="J120" s="222"/>
      <c r="K120" s="222"/>
      <c r="L120" s="222"/>
      <c r="M120" s="222"/>
      <c r="N120" s="222">
        <f t="shared" si="8"/>
        <v>0</v>
      </c>
      <c r="O120" s="222">
        <f t="shared" si="9"/>
        <v>0</v>
      </c>
      <c r="P120" s="227">
        <f t="shared" si="10"/>
        <v>0</v>
      </c>
      <c r="Q120" s="223">
        <f t="shared" si="11"/>
        <v>0</v>
      </c>
      <c r="R120" s="223"/>
      <c r="S120" s="223"/>
      <c r="T120" s="223"/>
      <c r="U120" s="223"/>
      <c r="V120" s="223"/>
      <c r="W120" s="223"/>
      <c r="X120" s="223"/>
      <c r="Y120" s="223">
        <f t="shared" si="12"/>
        <v>0</v>
      </c>
      <c r="Z120" s="223"/>
      <c r="AA120" s="223">
        <f t="shared" si="13"/>
        <v>0</v>
      </c>
      <c r="AB120" s="207"/>
      <c r="AC120" s="207"/>
      <c r="AD120" s="207"/>
      <c r="AE120" s="207"/>
      <c r="AF120" s="207"/>
      <c r="AG120" s="207"/>
      <c r="AH120" s="207"/>
      <c r="AI120" s="207"/>
      <c r="AJ120" s="207"/>
      <c r="AK120" s="207"/>
      <c r="AL120" s="207"/>
      <c r="AM120" s="207"/>
      <c r="AN120" s="207"/>
      <c r="AO120" s="207"/>
      <c r="AP120" s="207"/>
    </row>
    <row r="121" spans="1:42" ht="13.5" hidden="1" customHeight="1" x14ac:dyDescent="0.2">
      <c r="A121" s="219"/>
      <c r="B121" s="221"/>
      <c r="C121" s="220"/>
      <c r="D121" s="222"/>
      <c r="E121" s="223"/>
      <c r="F121" s="222"/>
      <c r="G121" s="223"/>
      <c r="H121" s="223"/>
      <c r="I121" s="223"/>
      <c r="J121" s="222"/>
      <c r="K121" s="222"/>
      <c r="L121" s="222"/>
      <c r="M121" s="222"/>
      <c r="N121" s="222">
        <f t="shared" si="8"/>
        <v>0</v>
      </c>
      <c r="O121" s="222">
        <f t="shared" si="9"/>
        <v>0</v>
      </c>
      <c r="P121" s="227">
        <f t="shared" si="10"/>
        <v>0</v>
      </c>
      <c r="Q121" s="223">
        <f t="shared" si="11"/>
        <v>0</v>
      </c>
      <c r="R121" s="223"/>
      <c r="S121" s="223"/>
      <c r="T121" s="223"/>
      <c r="U121" s="223"/>
      <c r="V121" s="223"/>
      <c r="W121" s="223"/>
      <c r="X121" s="223"/>
      <c r="Y121" s="223">
        <f t="shared" si="12"/>
        <v>0</v>
      </c>
      <c r="Z121" s="223"/>
      <c r="AA121" s="223">
        <f t="shared" si="13"/>
        <v>0</v>
      </c>
      <c r="AB121" s="207"/>
      <c r="AC121" s="207"/>
      <c r="AD121" s="207"/>
      <c r="AE121" s="207"/>
      <c r="AF121" s="207"/>
      <c r="AG121" s="207"/>
      <c r="AH121" s="207"/>
      <c r="AI121" s="207"/>
      <c r="AJ121" s="207"/>
      <c r="AK121" s="207"/>
      <c r="AL121" s="207"/>
      <c r="AM121" s="207"/>
      <c r="AN121" s="207"/>
      <c r="AO121" s="207"/>
      <c r="AP121" s="207"/>
    </row>
    <row r="122" spans="1:42" ht="13.5" hidden="1" customHeight="1" x14ac:dyDescent="0.2">
      <c r="A122" s="219"/>
      <c r="B122" s="221"/>
      <c r="C122" s="220"/>
      <c r="D122" s="222"/>
      <c r="E122" s="223"/>
      <c r="F122" s="222"/>
      <c r="G122" s="223"/>
      <c r="H122" s="223"/>
      <c r="I122" s="223"/>
      <c r="J122" s="222"/>
      <c r="K122" s="222"/>
      <c r="L122" s="222"/>
      <c r="M122" s="222"/>
      <c r="N122" s="222">
        <f t="shared" si="8"/>
        <v>0</v>
      </c>
      <c r="O122" s="222">
        <f t="shared" si="9"/>
        <v>0</v>
      </c>
      <c r="P122" s="227">
        <f t="shared" si="10"/>
        <v>0</v>
      </c>
      <c r="Q122" s="223">
        <f t="shared" si="11"/>
        <v>0</v>
      </c>
      <c r="R122" s="223"/>
      <c r="S122" s="223"/>
      <c r="T122" s="223"/>
      <c r="U122" s="223"/>
      <c r="V122" s="223"/>
      <c r="W122" s="223"/>
      <c r="X122" s="223"/>
      <c r="Y122" s="223">
        <f t="shared" si="12"/>
        <v>0</v>
      </c>
      <c r="Z122" s="223"/>
      <c r="AA122" s="223">
        <f t="shared" si="13"/>
        <v>0</v>
      </c>
      <c r="AB122" s="207"/>
      <c r="AC122" s="207"/>
      <c r="AD122" s="207"/>
      <c r="AE122" s="207"/>
      <c r="AF122" s="207"/>
      <c r="AG122" s="207"/>
      <c r="AH122" s="207"/>
      <c r="AI122" s="207"/>
      <c r="AJ122" s="207"/>
      <c r="AK122" s="207"/>
      <c r="AL122" s="207"/>
      <c r="AM122" s="207"/>
      <c r="AN122" s="207"/>
      <c r="AO122" s="207"/>
      <c r="AP122" s="207"/>
    </row>
    <row r="123" spans="1:42" ht="13.5" hidden="1" customHeight="1" x14ac:dyDescent="0.2">
      <c r="A123" s="219"/>
      <c r="B123" s="221"/>
      <c r="C123" s="220"/>
      <c r="D123" s="223"/>
      <c r="E123" s="223"/>
      <c r="F123" s="222"/>
      <c r="G123" s="223"/>
      <c r="H123" s="223"/>
      <c r="I123" s="223"/>
      <c r="J123" s="222"/>
      <c r="K123" s="222"/>
      <c r="L123" s="222"/>
      <c r="M123" s="222"/>
      <c r="N123" s="222">
        <f t="shared" si="8"/>
        <v>0</v>
      </c>
      <c r="O123" s="222">
        <f t="shared" si="9"/>
        <v>0</v>
      </c>
      <c r="P123" s="227">
        <f t="shared" si="10"/>
        <v>0</v>
      </c>
      <c r="Q123" s="223">
        <f t="shared" si="11"/>
        <v>0</v>
      </c>
      <c r="R123" s="223"/>
      <c r="S123" s="223"/>
      <c r="T123" s="223"/>
      <c r="U123" s="223"/>
      <c r="V123" s="223"/>
      <c r="W123" s="223"/>
      <c r="X123" s="223"/>
      <c r="Y123" s="223">
        <f t="shared" si="12"/>
        <v>0</v>
      </c>
      <c r="Z123" s="223"/>
      <c r="AA123" s="223">
        <f t="shared" si="13"/>
        <v>0</v>
      </c>
      <c r="AB123" s="207"/>
      <c r="AC123" s="207"/>
      <c r="AD123" s="207"/>
      <c r="AE123" s="207"/>
      <c r="AF123" s="207"/>
      <c r="AG123" s="207"/>
      <c r="AH123" s="207"/>
      <c r="AI123" s="207"/>
      <c r="AJ123" s="207"/>
      <c r="AK123" s="207"/>
      <c r="AL123" s="207"/>
      <c r="AM123" s="207"/>
      <c r="AN123" s="207"/>
      <c r="AO123" s="207"/>
      <c r="AP123" s="207"/>
    </row>
    <row r="124" spans="1:42" ht="13.5" hidden="1" customHeight="1" x14ac:dyDescent="0.2">
      <c r="A124" s="219"/>
      <c r="B124" s="221"/>
      <c r="C124" s="220"/>
      <c r="D124" s="223"/>
      <c r="E124" s="223"/>
      <c r="F124" s="222"/>
      <c r="G124" s="223"/>
      <c r="H124" s="223"/>
      <c r="I124" s="223"/>
      <c r="J124" s="222"/>
      <c r="K124" s="222"/>
      <c r="L124" s="222"/>
      <c r="M124" s="222"/>
      <c r="N124" s="222">
        <f t="shared" si="8"/>
        <v>0</v>
      </c>
      <c r="O124" s="222">
        <f t="shared" si="9"/>
        <v>0</v>
      </c>
      <c r="P124" s="227">
        <f t="shared" si="10"/>
        <v>0</v>
      </c>
      <c r="Q124" s="223">
        <f t="shared" si="11"/>
        <v>0</v>
      </c>
      <c r="R124" s="223"/>
      <c r="S124" s="223"/>
      <c r="T124" s="223"/>
      <c r="U124" s="223"/>
      <c r="V124" s="223"/>
      <c r="W124" s="223"/>
      <c r="X124" s="223"/>
      <c r="Y124" s="223">
        <f t="shared" si="12"/>
        <v>0</v>
      </c>
      <c r="Z124" s="223"/>
      <c r="AA124" s="223">
        <f t="shared" si="13"/>
        <v>0</v>
      </c>
      <c r="AB124" s="207"/>
      <c r="AC124" s="207"/>
      <c r="AD124" s="207"/>
      <c r="AE124" s="207"/>
      <c r="AF124" s="207"/>
      <c r="AG124" s="207"/>
      <c r="AH124" s="207"/>
      <c r="AI124" s="207"/>
      <c r="AJ124" s="207"/>
      <c r="AK124" s="207"/>
      <c r="AL124" s="207"/>
      <c r="AM124" s="207"/>
      <c r="AN124" s="207"/>
      <c r="AO124" s="207"/>
      <c r="AP124" s="207"/>
    </row>
    <row r="125" spans="1:42" ht="13.5" hidden="1" customHeight="1" x14ac:dyDescent="0.2">
      <c r="A125" s="219"/>
      <c r="B125" s="221"/>
      <c r="C125" s="220"/>
      <c r="D125" s="223"/>
      <c r="E125" s="223"/>
      <c r="F125" s="222"/>
      <c r="G125" s="223"/>
      <c r="H125" s="223"/>
      <c r="I125" s="223"/>
      <c r="J125" s="222"/>
      <c r="K125" s="222"/>
      <c r="L125" s="222"/>
      <c r="M125" s="222"/>
      <c r="N125" s="222">
        <f t="shared" si="8"/>
        <v>0</v>
      </c>
      <c r="O125" s="222">
        <f t="shared" si="9"/>
        <v>0</v>
      </c>
      <c r="P125" s="227">
        <f t="shared" si="10"/>
        <v>0</v>
      </c>
      <c r="Q125" s="223">
        <f t="shared" si="11"/>
        <v>0</v>
      </c>
      <c r="R125" s="223"/>
      <c r="S125" s="223"/>
      <c r="T125" s="223"/>
      <c r="U125" s="223"/>
      <c r="V125" s="223"/>
      <c r="W125" s="223"/>
      <c r="X125" s="223"/>
      <c r="Y125" s="223">
        <f t="shared" si="12"/>
        <v>0</v>
      </c>
      <c r="Z125" s="223"/>
      <c r="AA125" s="223">
        <f t="shared" si="13"/>
        <v>0</v>
      </c>
      <c r="AB125" s="207"/>
      <c r="AC125" s="207"/>
      <c r="AD125" s="207"/>
      <c r="AE125" s="207"/>
      <c r="AF125" s="207"/>
      <c r="AG125" s="207"/>
      <c r="AH125" s="207"/>
      <c r="AI125" s="207"/>
      <c r="AJ125" s="207"/>
      <c r="AK125" s="207"/>
      <c r="AL125" s="207"/>
      <c r="AM125" s="207"/>
      <c r="AN125" s="207"/>
      <c r="AO125" s="207"/>
      <c r="AP125" s="207"/>
    </row>
    <row r="126" spans="1:42" ht="13.5" hidden="1" customHeight="1" x14ac:dyDescent="0.2">
      <c r="A126" s="219"/>
      <c r="B126" s="221"/>
      <c r="C126" s="220"/>
      <c r="D126" s="223"/>
      <c r="E126" s="223"/>
      <c r="F126" s="222"/>
      <c r="G126" s="223"/>
      <c r="H126" s="223"/>
      <c r="I126" s="223"/>
      <c r="J126" s="222"/>
      <c r="K126" s="222"/>
      <c r="L126" s="222"/>
      <c r="M126" s="222"/>
      <c r="N126" s="222">
        <f t="shared" si="8"/>
        <v>0</v>
      </c>
      <c r="O126" s="222">
        <f t="shared" si="9"/>
        <v>0</v>
      </c>
      <c r="P126" s="227">
        <f t="shared" si="10"/>
        <v>0</v>
      </c>
      <c r="Q126" s="223">
        <f t="shared" si="11"/>
        <v>0</v>
      </c>
      <c r="R126" s="223"/>
      <c r="S126" s="223"/>
      <c r="T126" s="223"/>
      <c r="U126" s="223"/>
      <c r="V126" s="223"/>
      <c r="W126" s="223"/>
      <c r="X126" s="223"/>
      <c r="Y126" s="223">
        <f t="shared" si="12"/>
        <v>0</v>
      </c>
      <c r="Z126" s="223"/>
      <c r="AA126" s="223">
        <f t="shared" si="13"/>
        <v>0</v>
      </c>
      <c r="AB126" s="207"/>
      <c r="AC126" s="207"/>
      <c r="AD126" s="207"/>
      <c r="AE126" s="207"/>
      <c r="AF126" s="207"/>
      <c r="AG126" s="207"/>
      <c r="AH126" s="207"/>
      <c r="AI126" s="207"/>
      <c r="AJ126" s="207"/>
      <c r="AK126" s="207"/>
      <c r="AL126" s="207"/>
      <c r="AM126" s="207"/>
      <c r="AN126" s="207"/>
      <c r="AO126" s="207"/>
      <c r="AP126" s="207"/>
    </row>
    <row r="127" spans="1:42" ht="13.5" hidden="1" customHeight="1" x14ac:dyDescent="0.2">
      <c r="A127" s="219"/>
      <c r="B127" s="221"/>
      <c r="C127" s="220"/>
      <c r="D127" s="223"/>
      <c r="E127" s="222"/>
      <c r="F127" s="222"/>
      <c r="G127" s="223"/>
      <c r="H127" s="223"/>
      <c r="I127" s="223"/>
      <c r="J127" s="222"/>
      <c r="K127" s="222"/>
      <c r="L127" s="222"/>
      <c r="M127" s="222"/>
      <c r="N127" s="222">
        <f t="shared" si="8"/>
        <v>0</v>
      </c>
      <c r="O127" s="222">
        <f t="shared" si="9"/>
        <v>0</v>
      </c>
      <c r="P127" s="227">
        <f t="shared" si="10"/>
        <v>0</v>
      </c>
      <c r="Q127" s="223">
        <f t="shared" si="11"/>
        <v>0</v>
      </c>
      <c r="R127" s="223"/>
      <c r="S127" s="223"/>
      <c r="T127" s="223"/>
      <c r="U127" s="223"/>
      <c r="V127" s="223"/>
      <c r="W127" s="223"/>
      <c r="X127" s="223"/>
      <c r="Y127" s="223">
        <f t="shared" si="12"/>
        <v>0</v>
      </c>
      <c r="Z127" s="223"/>
      <c r="AA127" s="223">
        <f t="shared" si="13"/>
        <v>0</v>
      </c>
      <c r="AB127" s="207"/>
      <c r="AC127" s="207"/>
      <c r="AD127" s="207"/>
      <c r="AE127" s="207"/>
      <c r="AF127" s="207"/>
      <c r="AG127" s="207"/>
      <c r="AH127" s="207"/>
      <c r="AI127" s="207"/>
      <c r="AJ127" s="207"/>
      <c r="AK127" s="207"/>
      <c r="AL127" s="207"/>
      <c r="AM127" s="207"/>
      <c r="AN127" s="207"/>
      <c r="AO127" s="207"/>
      <c r="AP127" s="207"/>
    </row>
    <row r="128" spans="1:42" ht="13.5" hidden="1" customHeight="1" x14ac:dyDescent="0.2">
      <c r="A128" s="219"/>
      <c r="B128" s="221"/>
      <c r="C128" s="220"/>
      <c r="D128" s="223"/>
      <c r="E128" s="222"/>
      <c r="F128" s="222"/>
      <c r="G128" s="223"/>
      <c r="H128" s="223"/>
      <c r="I128" s="223"/>
      <c r="J128" s="222"/>
      <c r="K128" s="222"/>
      <c r="L128" s="222"/>
      <c r="M128" s="222"/>
      <c r="N128" s="222">
        <f t="shared" si="8"/>
        <v>0</v>
      </c>
      <c r="O128" s="222">
        <f t="shared" si="9"/>
        <v>0</v>
      </c>
      <c r="P128" s="227">
        <f t="shared" si="10"/>
        <v>0</v>
      </c>
      <c r="Q128" s="223">
        <f t="shared" si="11"/>
        <v>0</v>
      </c>
      <c r="R128" s="223"/>
      <c r="S128" s="223"/>
      <c r="T128" s="223"/>
      <c r="U128" s="223"/>
      <c r="V128" s="223"/>
      <c r="W128" s="223"/>
      <c r="X128" s="223"/>
      <c r="Y128" s="223">
        <f t="shared" si="12"/>
        <v>0</v>
      </c>
      <c r="Z128" s="223"/>
      <c r="AA128" s="223">
        <f t="shared" si="13"/>
        <v>0</v>
      </c>
      <c r="AB128" s="207"/>
      <c r="AC128" s="207"/>
      <c r="AD128" s="207"/>
      <c r="AE128" s="207"/>
      <c r="AF128" s="207"/>
      <c r="AG128" s="207"/>
      <c r="AH128" s="207"/>
      <c r="AI128" s="207"/>
      <c r="AJ128" s="207"/>
      <c r="AK128" s="207"/>
      <c r="AL128" s="207"/>
      <c r="AM128" s="207"/>
      <c r="AN128" s="207"/>
      <c r="AO128" s="207"/>
      <c r="AP128" s="207"/>
    </row>
    <row r="129" spans="1:42" ht="13.5" customHeight="1" x14ac:dyDescent="0.2">
      <c r="A129" s="207"/>
      <c r="B129" s="207"/>
      <c r="C129" s="207"/>
      <c r="D129" s="208"/>
      <c r="E129" s="209"/>
      <c r="F129" s="209"/>
      <c r="G129" s="207"/>
      <c r="H129" s="207"/>
      <c r="I129" s="207"/>
      <c r="J129" s="209"/>
      <c r="K129" s="209"/>
      <c r="L129" s="209"/>
      <c r="M129" s="209"/>
      <c r="N129" s="209"/>
      <c r="O129" s="209"/>
      <c r="P129" s="210"/>
      <c r="Q129" s="207"/>
      <c r="R129" s="207"/>
      <c r="S129" s="207"/>
      <c r="T129" s="207"/>
      <c r="U129" s="207"/>
      <c r="V129" s="207"/>
      <c r="W129" s="207"/>
      <c r="X129" s="207"/>
      <c r="Y129" s="207"/>
      <c r="Z129" s="207"/>
      <c r="AA129" s="207"/>
      <c r="AB129" s="207"/>
      <c r="AC129" s="207"/>
      <c r="AD129" s="207"/>
      <c r="AE129" s="207"/>
      <c r="AF129" s="207"/>
      <c r="AG129" s="207"/>
      <c r="AH129" s="207"/>
      <c r="AI129" s="207"/>
      <c r="AJ129" s="207"/>
      <c r="AK129" s="207"/>
      <c r="AL129" s="207"/>
      <c r="AM129" s="207"/>
      <c r="AN129" s="207"/>
      <c r="AO129" s="207"/>
      <c r="AP129" s="207"/>
    </row>
    <row r="130" spans="1:42" ht="13.5" customHeight="1" x14ac:dyDescent="0.2">
      <c r="A130" s="220">
        <v>5</v>
      </c>
      <c r="B130" s="328">
        <v>5</v>
      </c>
      <c r="C130" s="220">
        <v>1997</v>
      </c>
      <c r="D130" s="222">
        <f>SUM(D11:D48)</f>
        <v>3868</v>
      </c>
      <c r="E130" s="223">
        <f>SUM(E11:E129)</f>
        <v>30.89</v>
      </c>
      <c r="F130" s="222">
        <f>AVERAGE(F11:F48)</f>
        <v>125.218517319521</v>
      </c>
      <c r="G130" s="223">
        <f>SUMIFS(G$11:G$128,$C$11:$C$128,$C130,$A$11:$A$128,$A130)</f>
        <v>30.89</v>
      </c>
      <c r="H130" s="242"/>
      <c r="I130" s="242"/>
      <c r="J130" s="222">
        <f t="shared" ref="J130:X134" si="14">SUMIFS(J$11:J$128,$C$11:$C$128,$C130,$A$11:$A$128,$A130)</f>
        <v>21</v>
      </c>
      <c r="K130" s="222">
        <f t="shared" si="14"/>
        <v>106</v>
      </c>
      <c r="L130" s="222">
        <f t="shared" si="14"/>
        <v>2</v>
      </c>
      <c r="M130" s="222">
        <f t="shared" si="14"/>
        <v>0</v>
      </c>
      <c r="N130" s="222">
        <f t="shared" si="14"/>
        <v>108</v>
      </c>
      <c r="O130" s="222">
        <f t="shared" si="14"/>
        <v>5.1428571428571432</v>
      </c>
      <c r="P130" s="235">
        <f t="shared" si="14"/>
        <v>4.6334999999999997</v>
      </c>
      <c r="Q130" s="222">
        <f t="shared" si="14"/>
        <v>77.224999999999994</v>
      </c>
      <c r="R130" s="222">
        <f t="shared" si="14"/>
        <v>0</v>
      </c>
      <c r="S130" s="222">
        <f t="shared" si="14"/>
        <v>0</v>
      </c>
      <c r="T130" s="222">
        <f t="shared" si="14"/>
        <v>0</v>
      </c>
      <c r="U130" s="222">
        <f t="shared" si="14"/>
        <v>0</v>
      </c>
      <c r="V130" s="222">
        <f t="shared" si="14"/>
        <v>0</v>
      </c>
      <c r="W130" s="222">
        <f t="shared" si="14"/>
        <v>21</v>
      </c>
      <c r="X130" s="222">
        <f t="shared" si="14"/>
        <v>4</v>
      </c>
      <c r="Y130" s="223">
        <f t="shared" ref="Y130:Z148" si="15">IFERROR(X130/W130,0)</f>
        <v>0.19047619047619047</v>
      </c>
      <c r="Z130" s="223">
        <f t="shared" si="15"/>
        <v>4.7619047619047616E-2</v>
      </c>
      <c r="AA130" s="223">
        <f t="shared" ref="AA130:AA148" si="16">IFERROR(Y130/O130,0)</f>
        <v>3.7037037037037035E-2</v>
      </c>
      <c r="AB130" s="207"/>
      <c r="AC130" s="207"/>
      <c r="AD130" s="207"/>
      <c r="AE130" s="207"/>
      <c r="AF130" s="207"/>
      <c r="AG130" s="207"/>
      <c r="AH130" s="207"/>
      <c r="AI130" s="207"/>
      <c r="AJ130" s="207"/>
      <c r="AK130" s="207"/>
      <c r="AL130" s="207"/>
      <c r="AM130" s="207"/>
      <c r="AN130" s="207"/>
      <c r="AO130" s="207"/>
      <c r="AP130" s="207"/>
    </row>
    <row r="131" spans="1:42" ht="13.5" customHeight="1" x14ac:dyDescent="0.2">
      <c r="A131" s="220"/>
      <c r="B131" s="329"/>
      <c r="C131" s="220"/>
      <c r="D131" s="223">
        <f t="shared" ref="D131:E134" si="17">SUMIFS(D$11:D$128,$C$11:$C$128,$C131,$A$11:$A$128,$A131)</f>
        <v>0</v>
      </c>
      <c r="E131" s="222">
        <f t="shared" si="17"/>
        <v>0</v>
      </c>
      <c r="F131" s="222">
        <f t="shared" ref="F131:F134" si="18">IFERROR(E131/D131,0)</f>
        <v>0</v>
      </c>
      <c r="G131" s="222">
        <f>SUMIFS(G$11:G$128,$C$11:$C$128,$C131,$A$11:$A$128,$A131)</f>
        <v>0</v>
      </c>
      <c r="H131" s="220"/>
      <c r="I131" s="220"/>
      <c r="J131" s="222">
        <f t="shared" si="14"/>
        <v>0</v>
      </c>
      <c r="K131" s="222">
        <f t="shared" si="14"/>
        <v>0</v>
      </c>
      <c r="L131" s="222">
        <f t="shared" si="14"/>
        <v>0</v>
      </c>
      <c r="M131" s="222">
        <f t="shared" si="14"/>
        <v>0</v>
      </c>
      <c r="N131" s="222">
        <f t="shared" si="14"/>
        <v>0</v>
      </c>
      <c r="O131" s="222">
        <f t="shared" ref="O131:O148" si="19">IFERROR(N131/J131,0)</f>
        <v>0</v>
      </c>
      <c r="P131" s="227">
        <f t="shared" ref="P131:P134" si="20">IFERROR($P$10*$G131,0)</f>
        <v>0</v>
      </c>
      <c r="Q131" s="223">
        <f t="shared" ref="Q131:V134" si="21">$Q$10*$G131</f>
        <v>0</v>
      </c>
      <c r="R131" s="223">
        <f t="shared" si="21"/>
        <v>0</v>
      </c>
      <c r="S131" s="223">
        <f t="shared" si="21"/>
        <v>0</v>
      </c>
      <c r="T131" s="223">
        <f t="shared" si="21"/>
        <v>0</v>
      </c>
      <c r="U131" s="223">
        <f t="shared" si="21"/>
        <v>0</v>
      </c>
      <c r="V131" s="223">
        <f t="shared" si="21"/>
        <v>0</v>
      </c>
      <c r="W131" s="222">
        <f t="shared" si="14"/>
        <v>0</v>
      </c>
      <c r="X131" s="222">
        <f t="shared" si="14"/>
        <v>0</v>
      </c>
      <c r="Y131" s="223">
        <f t="shared" si="15"/>
        <v>0</v>
      </c>
      <c r="Z131" s="223">
        <f t="shared" si="15"/>
        <v>0</v>
      </c>
      <c r="AA131" s="223">
        <f t="shared" si="16"/>
        <v>0</v>
      </c>
      <c r="AB131" s="207"/>
      <c r="AC131" s="207"/>
      <c r="AD131" s="207"/>
      <c r="AE131" s="207"/>
      <c r="AF131" s="207"/>
      <c r="AG131" s="207"/>
      <c r="AH131" s="207"/>
      <c r="AI131" s="207"/>
      <c r="AJ131" s="207"/>
      <c r="AK131" s="207"/>
      <c r="AL131" s="207"/>
      <c r="AM131" s="207"/>
      <c r="AN131" s="207"/>
      <c r="AO131" s="207"/>
      <c r="AP131" s="207"/>
    </row>
    <row r="132" spans="1:42" ht="13.5" hidden="1" customHeight="1" x14ac:dyDescent="0.2">
      <c r="A132" s="220"/>
      <c r="B132" s="243"/>
      <c r="C132" s="220"/>
      <c r="D132" s="223">
        <f t="shared" si="17"/>
        <v>0</v>
      </c>
      <c r="E132" s="222">
        <f t="shared" si="17"/>
        <v>0</v>
      </c>
      <c r="F132" s="222">
        <f t="shared" si="18"/>
        <v>0</v>
      </c>
      <c r="G132" s="222">
        <f>SUMIFS(G$11:G$128,$C$11:$C$128,$C132,$A$11:$A$128,$A132)</f>
        <v>0</v>
      </c>
      <c r="H132" s="220"/>
      <c r="I132" s="220"/>
      <c r="J132" s="222">
        <f t="shared" si="14"/>
        <v>0</v>
      </c>
      <c r="K132" s="222">
        <f t="shared" si="14"/>
        <v>0</v>
      </c>
      <c r="L132" s="222">
        <f t="shared" si="14"/>
        <v>0</v>
      </c>
      <c r="M132" s="222">
        <f t="shared" si="14"/>
        <v>0</v>
      </c>
      <c r="N132" s="222">
        <f t="shared" si="14"/>
        <v>0</v>
      </c>
      <c r="O132" s="222">
        <f t="shared" si="19"/>
        <v>0</v>
      </c>
      <c r="P132" s="227">
        <f t="shared" si="20"/>
        <v>0</v>
      </c>
      <c r="Q132" s="223">
        <f t="shared" si="21"/>
        <v>0</v>
      </c>
      <c r="R132" s="223">
        <f t="shared" si="21"/>
        <v>0</v>
      </c>
      <c r="S132" s="223">
        <f t="shared" si="21"/>
        <v>0</v>
      </c>
      <c r="T132" s="223">
        <f t="shared" si="21"/>
        <v>0</v>
      </c>
      <c r="U132" s="223">
        <f t="shared" si="21"/>
        <v>0</v>
      </c>
      <c r="V132" s="223">
        <f t="shared" si="21"/>
        <v>0</v>
      </c>
      <c r="W132" s="222">
        <f t="shared" si="14"/>
        <v>0</v>
      </c>
      <c r="X132" s="222">
        <f t="shared" si="14"/>
        <v>0</v>
      </c>
      <c r="Y132" s="223">
        <f t="shared" si="15"/>
        <v>0</v>
      </c>
      <c r="Z132" s="223">
        <f t="shared" si="15"/>
        <v>0</v>
      </c>
      <c r="AA132" s="223">
        <f t="shared" si="16"/>
        <v>0</v>
      </c>
      <c r="AB132" s="207"/>
      <c r="AC132" s="207"/>
      <c r="AD132" s="207"/>
      <c r="AE132" s="207"/>
      <c r="AF132" s="207"/>
      <c r="AG132" s="207"/>
      <c r="AH132" s="207"/>
      <c r="AI132" s="207"/>
      <c r="AJ132" s="207"/>
      <c r="AK132" s="207"/>
      <c r="AL132" s="207"/>
      <c r="AM132" s="207"/>
      <c r="AN132" s="207"/>
      <c r="AO132" s="207"/>
      <c r="AP132" s="207"/>
    </row>
    <row r="133" spans="1:42" ht="13.5" hidden="1" customHeight="1" x14ac:dyDescent="0.2">
      <c r="A133" s="220"/>
      <c r="B133" s="243"/>
      <c r="C133" s="220"/>
      <c r="D133" s="223">
        <f t="shared" si="17"/>
        <v>0</v>
      </c>
      <c r="E133" s="222">
        <f t="shared" si="17"/>
        <v>0</v>
      </c>
      <c r="F133" s="222">
        <f t="shared" si="18"/>
        <v>0</v>
      </c>
      <c r="G133" s="222">
        <f>SUMIFS(G$11:G$128,$C$11:$C$128,$C133,$A$11:$A$128,$A133)</f>
        <v>0</v>
      </c>
      <c r="H133" s="220"/>
      <c r="I133" s="220"/>
      <c r="J133" s="222">
        <f t="shared" si="14"/>
        <v>0</v>
      </c>
      <c r="K133" s="222">
        <f t="shared" si="14"/>
        <v>0</v>
      </c>
      <c r="L133" s="222">
        <f t="shared" si="14"/>
        <v>0</v>
      </c>
      <c r="M133" s="222">
        <f t="shared" si="14"/>
        <v>0</v>
      </c>
      <c r="N133" s="222">
        <f t="shared" si="14"/>
        <v>0</v>
      </c>
      <c r="O133" s="222">
        <f t="shared" si="19"/>
        <v>0</v>
      </c>
      <c r="P133" s="227">
        <f t="shared" si="20"/>
        <v>0</v>
      </c>
      <c r="Q133" s="223">
        <f t="shared" si="21"/>
        <v>0</v>
      </c>
      <c r="R133" s="223">
        <f t="shared" si="21"/>
        <v>0</v>
      </c>
      <c r="S133" s="223">
        <f t="shared" si="21"/>
        <v>0</v>
      </c>
      <c r="T133" s="223">
        <f t="shared" si="21"/>
        <v>0</v>
      </c>
      <c r="U133" s="223">
        <f t="shared" si="21"/>
        <v>0</v>
      </c>
      <c r="V133" s="223">
        <f t="shared" si="21"/>
        <v>0</v>
      </c>
      <c r="W133" s="222">
        <f t="shared" si="14"/>
        <v>0</v>
      </c>
      <c r="X133" s="222">
        <f t="shared" si="14"/>
        <v>0</v>
      </c>
      <c r="Y133" s="223">
        <f t="shared" si="15"/>
        <v>0</v>
      </c>
      <c r="Z133" s="223">
        <f t="shared" si="15"/>
        <v>0</v>
      </c>
      <c r="AA133" s="223">
        <f t="shared" si="16"/>
        <v>0</v>
      </c>
      <c r="AB133" s="207"/>
      <c r="AC133" s="207"/>
      <c r="AD133" s="207"/>
      <c r="AE133" s="207"/>
      <c r="AF133" s="207"/>
      <c r="AG133" s="207"/>
      <c r="AH133" s="207"/>
      <c r="AI133" s="207"/>
      <c r="AJ133" s="207"/>
      <c r="AK133" s="207"/>
      <c r="AL133" s="207"/>
      <c r="AM133" s="207"/>
      <c r="AN133" s="207"/>
      <c r="AO133" s="207"/>
      <c r="AP133" s="207"/>
    </row>
    <row r="134" spans="1:42" ht="13.5" hidden="1" customHeight="1" x14ac:dyDescent="0.2">
      <c r="A134" s="220"/>
      <c r="B134" s="244"/>
      <c r="C134" s="220"/>
      <c r="D134" s="223">
        <f t="shared" si="17"/>
        <v>0</v>
      </c>
      <c r="E134" s="222">
        <f t="shared" si="17"/>
        <v>0</v>
      </c>
      <c r="F134" s="222">
        <f t="shared" si="18"/>
        <v>0</v>
      </c>
      <c r="G134" s="222">
        <f>SUMIFS(G$11:G$128,$C$11:$C$128,$C134,$A$11:$A$128,$A134)</f>
        <v>0</v>
      </c>
      <c r="H134" s="220"/>
      <c r="I134" s="220"/>
      <c r="J134" s="222">
        <f t="shared" si="14"/>
        <v>0</v>
      </c>
      <c r="K134" s="222">
        <f t="shared" si="14"/>
        <v>0</v>
      </c>
      <c r="L134" s="222">
        <f t="shared" si="14"/>
        <v>0</v>
      </c>
      <c r="M134" s="222">
        <f t="shared" si="14"/>
        <v>0</v>
      </c>
      <c r="N134" s="222">
        <f t="shared" si="14"/>
        <v>0</v>
      </c>
      <c r="O134" s="222">
        <f t="shared" si="19"/>
        <v>0</v>
      </c>
      <c r="P134" s="227">
        <f t="shared" si="20"/>
        <v>0</v>
      </c>
      <c r="Q134" s="223">
        <f t="shared" si="21"/>
        <v>0</v>
      </c>
      <c r="R134" s="223">
        <f t="shared" si="21"/>
        <v>0</v>
      </c>
      <c r="S134" s="223">
        <f t="shared" si="21"/>
        <v>0</v>
      </c>
      <c r="T134" s="223">
        <f t="shared" si="21"/>
        <v>0</v>
      </c>
      <c r="U134" s="223">
        <f t="shared" si="21"/>
        <v>0</v>
      </c>
      <c r="V134" s="223">
        <f t="shared" si="21"/>
        <v>0</v>
      </c>
      <c r="W134" s="222">
        <f t="shared" si="14"/>
        <v>0</v>
      </c>
      <c r="X134" s="222">
        <f t="shared" si="14"/>
        <v>0</v>
      </c>
      <c r="Y134" s="223">
        <f t="shared" si="15"/>
        <v>0</v>
      </c>
      <c r="Z134" s="223">
        <f t="shared" si="15"/>
        <v>0</v>
      </c>
      <c r="AA134" s="223">
        <f t="shared" si="16"/>
        <v>0</v>
      </c>
      <c r="AB134" s="207"/>
      <c r="AC134" s="207"/>
      <c r="AD134" s="207"/>
      <c r="AE134" s="207"/>
      <c r="AF134" s="207"/>
      <c r="AG134" s="207"/>
      <c r="AH134" s="207"/>
      <c r="AI134" s="207"/>
      <c r="AJ134" s="207"/>
      <c r="AK134" s="207"/>
      <c r="AL134" s="207"/>
      <c r="AM134" s="207"/>
      <c r="AN134" s="207"/>
      <c r="AO134" s="207"/>
      <c r="AP134" s="207"/>
    </row>
    <row r="135" spans="1:42" ht="13.5" customHeight="1" x14ac:dyDescent="0.2">
      <c r="A135" s="220"/>
      <c r="B135" s="330" t="s">
        <v>579</v>
      </c>
      <c r="C135" s="324"/>
      <c r="D135" s="245">
        <f t="shared" ref="D135:G135" si="22">SUM(D130:D134)</f>
        <v>3868</v>
      </c>
      <c r="E135" s="246">
        <f t="shared" si="22"/>
        <v>30.89</v>
      </c>
      <c r="F135" s="245">
        <f>AVERAGE(F11:F48)</f>
        <v>125.218517319521</v>
      </c>
      <c r="G135" s="246">
        <f t="shared" si="22"/>
        <v>30.89</v>
      </c>
      <c r="H135" s="247"/>
      <c r="I135" s="247"/>
      <c r="J135" s="245">
        <f t="shared" ref="J135:N135" si="23">SUM(J130:J134)</f>
        <v>21</v>
      </c>
      <c r="K135" s="245">
        <f>SUM(K11:K130)</f>
        <v>356</v>
      </c>
      <c r="L135" s="245">
        <f t="shared" si="23"/>
        <v>2</v>
      </c>
      <c r="M135" s="245">
        <f t="shared" si="23"/>
        <v>0</v>
      </c>
      <c r="N135" s="245">
        <f t="shared" si="23"/>
        <v>108</v>
      </c>
      <c r="O135" s="245">
        <f t="shared" si="19"/>
        <v>5.1428571428571432</v>
      </c>
      <c r="P135" s="248">
        <f>SUM(P130:P134)</f>
        <v>4.6334999999999997</v>
      </c>
      <c r="Q135" s="245">
        <f>IFERROR(P135/L135,0)</f>
        <v>2.3167499999999999</v>
      </c>
      <c r="R135" s="245">
        <f t="shared" ref="R135:V135" si="24">IFERROR(Q135/M135,0)</f>
        <v>0</v>
      </c>
      <c r="S135" s="245">
        <f t="shared" si="24"/>
        <v>0</v>
      </c>
      <c r="T135" s="245">
        <f t="shared" si="24"/>
        <v>0</v>
      </c>
      <c r="U135" s="245">
        <f t="shared" si="24"/>
        <v>0</v>
      </c>
      <c r="V135" s="245">
        <f t="shared" si="24"/>
        <v>0</v>
      </c>
      <c r="W135" s="245">
        <f>SUM(W130:W134)</f>
        <v>21</v>
      </c>
      <c r="X135" s="245">
        <f>SUM(X130:X134)</f>
        <v>4</v>
      </c>
      <c r="Y135" s="246">
        <f t="shared" si="15"/>
        <v>0.19047619047619047</v>
      </c>
      <c r="Z135" s="246">
        <f t="shared" si="15"/>
        <v>4.7619047619047616E-2</v>
      </c>
      <c r="AA135" s="246">
        <f t="shared" si="16"/>
        <v>3.7037037037037035E-2</v>
      </c>
      <c r="AB135" s="207"/>
      <c r="AC135" s="207"/>
      <c r="AD135" s="207"/>
      <c r="AE135" s="207"/>
      <c r="AF135" s="207"/>
      <c r="AG135" s="207"/>
      <c r="AH135" s="207"/>
      <c r="AI135" s="207"/>
      <c r="AJ135" s="207"/>
      <c r="AK135" s="207"/>
      <c r="AL135" s="207"/>
      <c r="AM135" s="207"/>
      <c r="AN135" s="207"/>
      <c r="AO135" s="207"/>
      <c r="AP135" s="207"/>
    </row>
    <row r="136" spans="1:42" ht="13.5" customHeight="1" x14ac:dyDescent="0.2">
      <c r="A136" s="220"/>
      <c r="B136" s="321"/>
      <c r="C136" s="220"/>
      <c r="D136" s="223">
        <f>SUMIFS(D$11:D$128,$C$11:$C$128,$C136,$A$11:$A$128,$A136)</f>
        <v>0</v>
      </c>
      <c r="E136" s="222">
        <f>SUMIFS(E$11:E$128,$C$11:$C$128,$C136,$A$11:$A$128,$A136)</f>
        <v>0</v>
      </c>
      <c r="F136" s="222">
        <f t="shared" ref="F136:F148" si="25">IFERROR(E136/D136,0)</f>
        <v>0</v>
      </c>
      <c r="G136" s="222">
        <f>SUMIFS(G$11:G$128,$C$11:$C$128,$C136,$A$11:$A$128,$A136)</f>
        <v>0</v>
      </c>
      <c r="H136" s="220"/>
      <c r="I136" s="220"/>
      <c r="J136" s="222">
        <f t="shared" ref="J136:N137" si="26">SUMIFS(J$11:J$128,$C$11:$C$128,$C136,$A$11:$A$128,$A136)</f>
        <v>0</v>
      </c>
      <c r="K136" s="222">
        <f t="shared" si="26"/>
        <v>0</v>
      </c>
      <c r="L136" s="222">
        <f t="shared" si="26"/>
        <v>0</v>
      </c>
      <c r="M136" s="222">
        <f t="shared" si="26"/>
        <v>0</v>
      </c>
      <c r="N136" s="222">
        <f t="shared" si="26"/>
        <v>0</v>
      </c>
      <c r="O136" s="222">
        <f t="shared" si="19"/>
        <v>0</v>
      </c>
      <c r="P136" s="227">
        <f t="shared" ref="P136:P148" si="27">IFERROR($P$10*$G136,0)</f>
        <v>0</v>
      </c>
      <c r="Q136" s="223">
        <f t="shared" ref="Q136:V148" si="28">$Q$10*$G136</f>
        <v>0</v>
      </c>
      <c r="R136" s="223">
        <f t="shared" si="28"/>
        <v>0</v>
      </c>
      <c r="S136" s="223">
        <f t="shared" si="28"/>
        <v>0</v>
      </c>
      <c r="T136" s="223">
        <f t="shared" si="28"/>
        <v>0</v>
      </c>
      <c r="U136" s="223">
        <f t="shared" si="28"/>
        <v>0</v>
      </c>
      <c r="V136" s="223">
        <f t="shared" si="28"/>
        <v>0</v>
      </c>
      <c r="W136" s="222">
        <f>SUMIFS(W$11:W$128,$C$11:$C$128,$C136,$A$11:$A$128,$A136)</f>
        <v>0</v>
      </c>
      <c r="X136" s="222">
        <f>SUMIFS(X$11:X$128,$C$11:$C$128,$C136,$A$11:$A$128,$A136)</f>
        <v>0</v>
      </c>
      <c r="Y136" s="223">
        <f t="shared" si="15"/>
        <v>0</v>
      </c>
      <c r="Z136" s="223">
        <f t="shared" si="15"/>
        <v>0</v>
      </c>
      <c r="AA136" s="223">
        <f t="shared" si="16"/>
        <v>0</v>
      </c>
      <c r="AB136" s="207"/>
      <c r="AC136" s="207"/>
      <c r="AD136" s="207"/>
      <c r="AE136" s="207"/>
      <c r="AF136" s="207"/>
      <c r="AG136" s="207"/>
      <c r="AH136" s="207"/>
      <c r="AI136" s="207"/>
      <c r="AJ136" s="207"/>
      <c r="AK136" s="207"/>
      <c r="AL136" s="207"/>
      <c r="AM136" s="207"/>
      <c r="AN136" s="207"/>
      <c r="AO136" s="207"/>
      <c r="AP136" s="207"/>
    </row>
    <row r="137" spans="1:42" ht="13.5" customHeight="1" x14ac:dyDescent="0.2">
      <c r="A137" s="220"/>
      <c r="B137" s="322"/>
      <c r="C137" s="220"/>
      <c r="D137" s="223">
        <f>SUMIFS(D$11:D$128,$C$11:$C$128,$C137,$A$11:$A$128,$A137)</f>
        <v>0</v>
      </c>
      <c r="E137" s="222">
        <f>SUMIFS(E$11:E$128,$C$11:$C$128,$C137,$A$11:$A$128,$A137)</f>
        <v>0</v>
      </c>
      <c r="F137" s="222">
        <f t="shared" si="25"/>
        <v>0</v>
      </c>
      <c r="G137" s="222">
        <f>SUMIFS(G$11:G$128,$C$11:$C$128,$C137,$A$11:$A$128,$A137)</f>
        <v>0</v>
      </c>
      <c r="H137" s="220"/>
      <c r="I137" s="220"/>
      <c r="J137" s="222">
        <f t="shared" si="26"/>
        <v>0</v>
      </c>
      <c r="K137" s="222">
        <f t="shared" si="26"/>
        <v>0</v>
      </c>
      <c r="L137" s="222">
        <f t="shared" si="26"/>
        <v>0</v>
      </c>
      <c r="M137" s="222">
        <f t="shared" si="26"/>
        <v>0</v>
      </c>
      <c r="N137" s="222">
        <f t="shared" si="26"/>
        <v>0</v>
      </c>
      <c r="O137" s="222">
        <f t="shared" si="19"/>
        <v>0</v>
      </c>
      <c r="P137" s="227">
        <f t="shared" si="27"/>
        <v>0</v>
      </c>
      <c r="Q137" s="223">
        <f t="shared" si="28"/>
        <v>0</v>
      </c>
      <c r="R137" s="223">
        <f t="shared" si="28"/>
        <v>0</v>
      </c>
      <c r="S137" s="223">
        <f t="shared" si="28"/>
        <v>0</v>
      </c>
      <c r="T137" s="223">
        <f t="shared" si="28"/>
        <v>0</v>
      </c>
      <c r="U137" s="223">
        <f t="shared" si="28"/>
        <v>0</v>
      </c>
      <c r="V137" s="223">
        <f t="shared" si="28"/>
        <v>0</v>
      </c>
      <c r="W137" s="222">
        <f>SUMIFS(W$11:W$128,$C$11:$C$128,$C137,$A$11:$A$128,$A137)</f>
        <v>0</v>
      </c>
      <c r="X137" s="222">
        <f>SUMIFS(X$11:X$128,$C$11:$C$128,$C137,$A$11:$A$128,$A137)</f>
        <v>0</v>
      </c>
      <c r="Y137" s="223">
        <f t="shared" si="15"/>
        <v>0</v>
      </c>
      <c r="Z137" s="223">
        <f t="shared" si="15"/>
        <v>0</v>
      </c>
      <c r="AA137" s="223">
        <f t="shared" si="16"/>
        <v>0</v>
      </c>
      <c r="AB137" s="207"/>
      <c r="AC137" s="207"/>
      <c r="AD137" s="207"/>
      <c r="AE137" s="207"/>
      <c r="AF137" s="207"/>
      <c r="AG137" s="207"/>
      <c r="AH137" s="207"/>
      <c r="AI137" s="207"/>
      <c r="AJ137" s="207"/>
      <c r="AK137" s="207"/>
      <c r="AL137" s="207"/>
      <c r="AM137" s="207"/>
      <c r="AN137" s="207"/>
      <c r="AO137" s="207"/>
      <c r="AP137" s="207"/>
    </row>
    <row r="138" spans="1:42" ht="13.5" customHeight="1" x14ac:dyDescent="0.2">
      <c r="A138" s="220"/>
      <c r="B138" s="323" t="s">
        <v>579</v>
      </c>
      <c r="C138" s="324"/>
      <c r="D138" s="246">
        <f t="shared" ref="D138:G138" si="29">SUM(D136:D137)</f>
        <v>0</v>
      </c>
      <c r="E138" s="245">
        <f t="shared" si="29"/>
        <v>0</v>
      </c>
      <c r="F138" s="245">
        <f t="shared" si="25"/>
        <v>0</v>
      </c>
      <c r="G138" s="245">
        <f t="shared" si="29"/>
        <v>0</v>
      </c>
      <c r="H138" s="247"/>
      <c r="I138" s="247"/>
      <c r="J138" s="245">
        <f t="shared" ref="J138:N138" si="30">SUM(J136:J137)</f>
        <v>0</v>
      </c>
      <c r="K138" s="245">
        <f t="shared" si="30"/>
        <v>0</v>
      </c>
      <c r="L138" s="245">
        <f t="shared" si="30"/>
        <v>0</v>
      </c>
      <c r="M138" s="245">
        <f t="shared" si="30"/>
        <v>0</v>
      </c>
      <c r="N138" s="245">
        <f t="shared" si="30"/>
        <v>0</v>
      </c>
      <c r="O138" s="245">
        <f t="shared" si="19"/>
        <v>0</v>
      </c>
      <c r="P138" s="249">
        <f t="shared" si="27"/>
        <v>0</v>
      </c>
      <c r="Q138" s="246">
        <f t="shared" si="28"/>
        <v>0</v>
      </c>
      <c r="R138" s="246">
        <f t="shared" si="28"/>
        <v>0</v>
      </c>
      <c r="S138" s="246">
        <f t="shared" si="28"/>
        <v>0</v>
      </c>
      <c r="T138" s="246">
        <f t="shared" si="28"/>
        <v>0</v>
      </c>
      <c r="U138" s="246">
        <f t="shared" si="28"/>
        <v>0</v>
      </c>
      <c r="V138" s="246">
        <f t="shared" si="28"/>
        <v>0</v>
      </c>
      <c r="W138" s="245">
        <f>SUM(W136:W137)</f>
        <v>0</v>
      </c>
      <c r="X138" s="245">
        <f>SUM(X136:X137)</f>
        <v>0</v>
      </c>
      <c r="Y138" s="246">
        <f t="shared" si="15"/>
        <v>0</v>
      </c>
      <c r="Z138" s="246">
        <f t="shared" si="15"/>
        <v>0</v>
      </c>
      <c r="AA138" s="246">
        <f t="shared" si="16"/>
        <v>0</v>
      </c>
      <c r="AB138" s="207"/>
      <c r="AC138" s="207"/>
      <c r="AD138" s="207"/>
      <c r="AE138" s="207"/>
      <c r="AF138" s="207"/>
      <c r="AG138" s="207"/>
      <c r="AH138" s="207"/>
      <c r="AI138" s="207"/>
      <c r="AJ138" s="207"/>
      <c r="AK138" s="207"/>
      <c r="AL138" s="207"/>
      <c r="AM138" s="207"/>
      <c r="AN138" s="207"/>
      <c r="AO138" s="207"/>
      <c r="AP138" s="207"/>
    </row>
    <row r="139" spans="1:42" ht="13.5" customHeight="1" x14ac:dyDescent="0.2">
      <c r="A139" s="220"/>
      <c r="B139" s="321"/>
      <c r="C139" s="220"/>
      <c r="D139" s="223">
        <f>SUMIFS(D$11:D$128,$C$11:$C$128,$C139,$A$11:$A$128,$A139)</f>
        <v>0</v>
      </c>
      <c r="E139" s="222">
        <f>SUMIFS(E$11:E$128,$C$11:$C$128,$C139,$A$11:$A$128,$A139)</f>
        <v>0</v>
      </c>
      <c r="F139" s="222">
        <f t="shared" si="25"/>
        <v>0</v>
      </c>
      <c r="G139" s="222">
        <f>SUMIFS(G$11:G$128,$C$11:$C$128,$C139,$A$11:$A$128,$A139)</f>
        <v>0</v>
      </c>
      <c r="H139" s="220"/>
      <c r="I139" s="220"/>
      <c r="J139" s="222">
        <f t="shared" ref="J139:N140" si="31">SUMIFS(J$11:J$128,$C$11:$C$128,$C139,$A$11:$A$128,$A139)</f>
        <v>0</v>
      </c>
      <c r="K139" s="222">
        <f t="shared" si="31"/>
        <v>0</v>
      </c>
      <c r="L139" s="222">
        <f t="shared" si="31"/>
        <v>0</v>
      </c>
      <c r="M139" s="222">
        <f t="shared" si="31"/>
        <v>0</v>
      </c>
      <c r="N139" s="222">
        <f t="shared" si="31"/>
        <v>0</v>
      </c>
      <c r="O139" s="222">
        <f t="shared" si="19"/>
        <v>0</v>
      </c>
      <c r="P139" s="227">
        <f t="shared" si="27"/>
        <v>0</v>
      </c>
      <c r="Q139" s="223">
        <f t="shared" si="28"/>
        <v>0</v>
      </c>
      <c r="R139" s="223">
        <f t="shared" si="28"/>
        <v>0</v>
      </c>
      <c r="S139" s="223">
        <f t="shared" si="28"/>
        <v>0</v>
      </c>
      <c r="T139" s="223">
        <f t="shared" si="28"/>
        <v>0</v>
      </c>
      <c r="U139" s="223">
        <f t="shared" si="28"/>
        <v>0</v>
      </c>
      <c r="V139" s="223">
        <f t="shared" si="28"/>
        <v>0</v>
      </c>
      <c r="W139" s="222">
        <f>SUMIFS(W$11:W$128,$C$11:$C$128,$C139,$A$11:$A$128,$A139)</f>
        <v>0</v>
      </c>
      <c r="X139" s="222">
        <f>SUMIFS(X$11:X$128,$C$11:$C$128,$C139,$A$11:$A$128,$A139)</f>
        <v>0</v>
      </c>
      <c r="Y139" s="223">
        <f t="shared" si="15"/>
        <v>0</v>
      </c>
      <c r="Z139" s="223">
        <f t="shared" si="15"/>
        <v>0</v>
      </c>
      <c r="AA139" s="223">
        <f t="shared" si="16"/>
        <v>0</v>
      </c>
      <c r="AB139" s="207"/>
      <c r="AC139" s="207"/>
      <c r="AD139" s="207"/>
      <c r="AE139" s="207"/>
      <c r="AF139" s="207"/>
      <c r="AG139" s="207"/>
      <c r="AH139" s="207"/>
      <c r="AI139" s="207"/>
      <c r="AJ139" s="207"/>
      <c r="AK139" s="207"/>
      <c r="AL139" s="207"/>
      <c r="AM139" s="207"/>
      <c r="AN139" s="207"/>
      <c r="AO139" s="207"/>
      <c r="AP139" s="207"/>
    </row>
    <row r="140" spans="1:42" ht="13.5" customHeight="1" x14ac:dyDescent="0.2">
      <c r="A140" s="220"/>
      <c r="B140" s="322"/>
      <c r="C140" s="220"/>
      <c r="D140" s="223">
        <f>SUMIFS(D$11:D$128,$C$11:$C$128,$C140,$A$11:$A$128,$A140)</f>
        <v>0</v>
      </c>
      <c r="E140" s="222">
        <f>SUMIFS(E$11:E$128,$C$11:$C$128,$C140,$A$11:$A$128,$A140)</f>
        <v>0</v>
      </c>
      <c r="F140" s="222">
        <f t="shared" si="25"/>
        <v>0</v>
      </c>
      <c r="G140" s="222">
        <f>SUMIFS(G$11:G$128,$C$11:$C$128,$C140,$A$11:$A$128,$A140)</f>
        <v>0</v>
      </c>
      <c r="H140" s="220"/>
      <c r="I140" s="220"/>
      <c r="J140" s="222">
        <f t="shared" si="31"/>
        <v>0</v>
      </c>
      <c r="K140" s="222">
        <f t="shared" si="31"/>
        <v>0</v>
      </c>
      <c r="L140" s="222">
        <f t="shared" si="31"/>
        <v>0</v>
      </c>
      <c r="M140" s="222">
        <f t="shared" si="31"/>
        <v>0</v>
      </c>
      <c r="N140" s="222">
        <f t="shared" si="31"/>
        <v>0</v>
      </c>
      <c r="O140" s="222">
        <f t="shared" si="19"/>
        <v>0</v>
      </c>
      <c r="P140" s="227">
        <f t="shared" si="27"/>
        <v>0</v>
      </c>
      <c r="Q140" s="223">
        <f t="shared" si="28"/>
        <v>0</v>
      </c>
      <c r="R140" s="223">
        <f t="shared" si="28"/>
        <v>0</v>
      </c>
      <c r="S140" s="223">
        <f t="shared" si="28"/>
        <v>0</v>
      </c>
      <c r="T140" s="223">
        <f t="shared" si="28"/>
        <v>0</v>
      </c>
      <c r="U140" s="223">
        <f t="shared" si="28"/>
        <v>0</v>
      </c>
      <c r="V140" s="223">
        <f t="shared" si="28"/>
        <v>0</v>
      </c>
      <c r="W140" s="222">
        <f>SUMIFS(W$11:W$128,$C$11:$C$128,$C140,$A$11:$A$128,$A140)</f>
        <v>0</v>
      </c>
      <c r="X140" s="222">
        <f>SUMIFS(X$11:X$128,$C$11:$C$128,$C140,$A$11:$A$128,$A140)</f>
        <v>0</v>
      </c>
      <c r="Y140" s="223">
        <f t="shared" si="15"/>
        <v>0</v>
      </c>
      <c r="Z140" s="223">
        <f t="shared" si="15"/>
        <v>0</v>
      </c>
      <c r="AA140" s="223">
        <f t="shared" si="16"/>
        <v>0</v>
      </c>
      <c r="AB140" s="207"/>
      <c r="AC140" s="207"/>
      <c r="AD140" s="207"/>
      <c r="AE140" s="207"/>
      <c r="AF140" s="207"/>
      <c r="AG140" s="207"/>
      <c r="AH140" s="207"/>
      <c r="AI140" s="207"/>
      <c r="AJ140" s="207"/>
      <c r="AK140" s="207"/>
      <c r="AL140" s="207"/>
      <c r="AM140" s="207"/>
      <c r="AN140" s="207"/>
      <c r="AO140" s="207"/>
      <c r="AP140" s="207"/>
    </row>
    <row r="141" spans="1:42" ht="13.5" customHeight="1" x14ac:dyDescent="0.2">
      <c r="A141" s="220"/>
      <c r="B141" s="323" t="s">
        <v>579</v>
      </c>
      <c r="C141" s="324"/>
      <c r="D141" s="246">
        <f t="shared" ref="D141:G141" si="32">SUM(D139:D140)</f>
        <v>0</v>
      </c>
      <c r="E141" s="245">
        <f t="shared" si="32"/>
        <v>0</v>
      </c>
      <c r="F141" s="245">
        <f t="shared" si="25"/>
        <v>0</v>
      </c>
      <c r="G141" s="245">
        <f t="shared" si="32"/>
        <v>0</v>
      </c>
      <c r="H141" s="247"/>
      <c r="I141" s="247"/>
      <c r="J141" s="245">
        <f t="shared" ref="J141:N141" si="33">SUM(J139:J140)</f>
        <v>0</v>
      </c>
      <c r="K141" s="245">
        <f t="shared" si="33"/>
        <v>0</v>
      </c>
      <c r="L141" s="245">
        <f t="shared" si="33"/>
        <v>0</v>
      </c>
      <c r="M141" s="245">
        <f t="shared" si="33"/>
        <v>0</v>
      </c>
      <c r="N141" s="245">
        <f t="shared" si="33"/>
        <v>0</v>
      </c>
      <c r="O141" s="245">
        <f t="shared" si="19"/>
        <v>0</v>
      </c>
      <c r="P141" s="249">
        <f t="shared" si="27"/>
        <v>0</v>
      </c>
      <c r="Q141" s="246">
        <f t="shared" si="28"/>
        <v>0</v>
      </c>
      <c r="R141" s="246">
        <f t="shared" si="28"/>
        <v>0</v>
      </c>
      <c r="S141" s="246">
        <f t="shared" si="28"/>
        <v>0</v>
      </c>
      <c r="T141" s="246">
        <f t="shared" si="28"/>
        <v>0</v>
      </c>
      <c r="U141" s="246">
        <f t="shared" si="28"/>
        <v>0</v>
      </c>
      <c r="V141" s="246">
        <f t="shared" si="28"/>
        <v>0</v>
      </c>
      <c r="W141" s="245">
        <f>SUM(W139:W140)</f>
        <v>0</v>
      </c>
      <c r="X141" s="245">
        <f>SUM(X139:X140)</f>
        <v>0</v>
      </c>
      <c r="Y141" s="246">
        <f t="shared" si="15"/>
        <v>0</v>
      </c>
      <c r="Z141" s="246">
        <f t="shared" si="15"/>
        <v>0</v>
      </c>
      <c r="AA141" s="246">
        <f t="shared" si="16"/>
        <v>0</v>
      </c>
      <c r="AB141" s="207"/>
      <c r="AC141" s="207"/>
      <c r="AD141" s="207"/>
      <c r="AE141" s="207"/>
      <c r="AF141" s="207"/>
      <c r="AG141" s="207"/>
      <c r="AH141" s="207"/>
      <c r="AI141" s="207"/>
      <c r="AJ141" s="207"/>
      <c r="AK141" s="207"/>
      <c r="AL141" s="207"/>
      <c r="AM141" s="207"/>
      <c r="AN141" s="207"/>
      <c r="AO141" s="207"/>
      <c r="AP141" s="207"/>
    </row>
    <row r="142" spans="1:42" ht="13.5" customHeight="1" x14ac:dyDescent="0.2">
      <c r="A142" s="220"/>
      <c r="B142" s="321" t="s">
        <v>721</v>
      </c>
      <c r="C142" s="220"/>
      <c r="D142" s="223">
        <f t="shared" ref="D142:E147" si="34">SUMIFS(D$11:D$128,$C$11:$C$128,$C142)</f>
        <v>0</v>
      </c>
      <c r="E142" s="222">
        <f t="shared" si="34"/>
        <v>0</v>
      </c>
      <c r="F142" s="222">
        <f t="shared" si="25"/>
        <v>0</v>
      </c>
      <c r="G142" s="222">
        <f t="shared" ref="G142:G147" si="35">SUMIFS(G$11:G$128,$C$11:$C$128,$C142)</f>
        <v>0</v>
      </c>
      <c r="H142" s="220"/>
      <c r="I142" s="220"/>
      <c r="J142" s="222">
        <f t="shared" ref="J142:N147" si="36">SUMIFS(J$11:J$128,$C$11:$C$128,$C142)</f>
        <v>0</v>
      </c>
      <c r="K142" s="222">
        <f t="shared" si="36"/>
        <v>0</v>
      </c>
      <c r="L142" s="222">
        <f t="shared" si="36"/>
        <v>0</v>
      </c>
      <c r="M142" s="222">
        <f t="shared" si="36"/>
        <v>0</v>
      </c>
      <c r="N142" s="222">
        <f t="shared" si="36"/>
        <v>0</v>
      </c>
      <c r="O142" s="222">
        <f t="shared" si="19"/>
        <v>0</v>
      </c>
      <c r="P142" s="227">
        <f t="shared" si="27"/>
        <v>0</v>
      </c>
      <c r="Q142" s="223">
        <f t="shared" si="28"/>
        <v>0</v>
      </c>
      <c r="R142" s="223">
        <f t="shared" si="28"/>
        <v>0</v>
      </c>
      <c r="S142" s="223">
        <f t="shared" si="28"/>
        <v>0</v>
      </c>
      <c r="T142" s="223">
        <f t="shared" si="28"/>
        <v>0</v>
      </c>
      <c r="U142" s="223">
        <f t="shared" si="28"/>
        <v>0</v>
      </c>
      <c r="V142" s="223">
        <f t="shared" si="28"/>
        <v>0</v>
      </c>
      <c r="W142" s="222">
        <f t="shared" ref="W142:X147" si="37">SUMIFS(W$11:W$128,$C$11:$C$128,$C142)</f>
        <v>0</v>
      </c>
      <c r="X142" s="222">
        <f t="shared" si="37"/>
        <v>0</v>
      </c>
      <c r="Y142" s="223">
        <f t="shared" si="15"/>
        <v>0</v>
      </c>
      <c r="Z142" s="223">
        <f t="shared" si="15"/>
        <v>0</v>
      </c>
      <c r="AA142" s="223">
        <f t="shared" si="16"/>
        <v>0</v>
      </c>
      <c r="AB142" s="207"/>
      <c r="AC142" s="207"/>
      <c r="AD142" s="207"/>
      <c r="AE142" s="207"/>
      <c r="AF142" s="207"/>
      <c r="AG142" s="207"/>
      <c r="AH142" s="207"/>
      <c r="AI142" s="207"/>
      <c r="AJ142" s="207"/>
      <c r="AK142" s="207"/>
      <c r="AL142" s="207"/>
      <c r="AM142" s="207"/>
      <c r="AN142" s="207"/>
      <c r="AO142" s="207"/>
      <c r="AP142" s="207"/>
    </row>
    <row r="143" spans="1:42" ht="13.5" customHeight="1" x14ac:dyDescent="0.2">
      <c r="A143" s="220"/>
      <c r="B143" s="325"/>
      <c r="C143" s="220"/>
      <c r="D143" s="223">
        <f t="shared" si="34"/>
        <v>0</v>
      </c>
      <c r="E143" s="222">
        <f t="shared" si="34"/>
        <v>0</v>
      </c>
      <c r="F143" s="222">
        <f t="shared" si="25"/>
        <v>0</v>
      </c>
      <c r="G143" s="222">
        <f t="shared" si="35"/>
        <v>0</v>
      </c>
      <c r="H143" s="220"/>
      <c r="I143" s="220"/>
      <c r="J143" s="222">
        <f t="shared" si="36"/>
        <v>0</v>
      </c>
      <c r="K143" s="222">
        <f t="shared" si="36"/>
        <v>0</v>
      </c>
      <c r="L143" s="222">
        <f t="shared" si="36"/>
        <v>0</v>
      </c>
      <c r="M143" s="222">
        <f t="shared" si="36"/>
        <v>0</v>
      </c>
      <c r="N143" s="222">
        <f t="shared" si="36"/>
        <v>0</v>
      </c>
      <c r="O143" s="222">
        <f t="shared" si="19"/>
        <v>0</v>
      </c>
      <c r="P143" s="227">
        <f t="shared" si="27"/>
        <v>0</v>
      </c>
      <c r="Q143" s="223">
        <f t="shared" si="28"/>
        <v>0</v>
      </c>
      <c r="R143" s="223">
        <f t="shared" si="28"/>
        <v>0</v>
      </c>
      <c r="S143" s="223">
        <f t="shared" si="28"/>
        <v>0</v>
      </c>
      <c r="T143" s="223">
        <f t="shared" si="28"/>
        <v>0</v>
      </c>
      <c r="U143" s="223">
        <f t="shared" si="28"/>
        <v>0</v>
      </c>
      <c r="V143" s="223">
        <f t="shared" si="28"/>
        <v>0</v>
      </c>
      <c r="W143" s="222">
        <f t="shared" si="37"/>
        <v>0</v>
      </c>
      <c r="X143" s="222">
        <f t="shared" si="37"/>
        <v>0</v>
      </c>
      <c r="Y143" s="223">
        <f t="shared" si="15"/>
        <v>0</v>
      </c>
      <c r="Z143" s="223">
        <f t="shared" si="15"/>
        <v>0</v>
      </c>
      <c r="AA143" s="223">
        <f t="shared" si="16"/>
        <v>0</v>
      </c>
      <c r="AB143" s="207"/>
      <c r="AC143" s="207"/>
      <c r="AD143" s="207"/>
      <c r="AE143" s="207"/>
      <c r="AF143" s="207"/>
      <c r="AG143" s="207"/>
      <c r="AH143" s="207"/>
      <c r="AI143" s="207"/>
      <c r="AJ143" s="207"/>
      <c r="AK143" s="207"/>
      <c r="AL143" s="207"/>
      <c r="AM143" s="207"/>
      <c r="AN143" s="207"/>
      <c r="AO143" s="207"/>
      <c r="AP143" s="207"/>
    </row>
    <row r="144" spans="1:42" ht="13.5" customHeight="1" x14ac:dyDescent="0.2">
      <c r="A144" s="220"/>
      <c r="B144" s="325"/>
      <c r="C144" s="220"/>
      <c r="D144" s="223">
        <f t="shared" si="34"/>
        <v>0</v>
      </c>
      <c r="E144" s="222">
        <f t="shared" si="34"/>
        <v>0</v>
      </c>
      <c r="F144" s="222">
        <f t="shared" si="25"/>
        <v>0</v>
      </c>
      <c r="G144" s="222">
        <f t="shared" si="35"/>
        <v>0</v>
      </c>
      <c r="H144" s="220"/>
      <c r="I144" s="220"/>
      <c r="J144" s="222">
        <f t="shared" si="36"/>
        <v>0</v>
      </c>
      <c r="K144" s="222">
        <f t="shared" si="36"/>
        <v>0</v>
      </c>
      <c r="L144" s="222">
        <f t="shared" si="36"/>
        <v>0</v>
      </c>
      <c r="M144" s="222">
        <f t="shared" si="36"/>
        <v>0</v>
      </c>
      <c r="N144" s="222">
        <f t="shared" si="36"/>
        <v>0</v>
      </c>
      <c r="O144" s="222">
        <f t="shared" si="19"/>
        <v>0</v>
      </c>
      <c r="P144" s="227">
        <f t="shared" si="27"/>
        <v>0</v>
      </c>
      <c r="Q144" s="223">
        <f t="shared" si="28"/>
        <v>0</v>
      </c>
      <c r="R144" s="223">
        <f t="shared" si="28"/>
        <v>0</v>
      </c>
      <c r="S144" s="223">
        <f t="shared" si="28"/>
        <v>0</v>
      </c>
      <c r="T144" s="223">
        <f t="shared" si="28"/>
        <v>0</v>
      </c>
      <c r="U144" s="223">
        <f t="shared" si="28"/>
        <v>0</v>
      </c>
      <c r="V144" s="223">
        <f t="shared" si="28"/>
        <v>0</v>
      </c>
      <c r="W144" s="222">
        <f t="shared" si="37"/>
        <v>0</v>
      </c>
      <c r="X144" s="222">
        <f t="shared" si="37"/>
        <v>0</v>
      </c>
      <c r="Y144" s="223">
        <f t="shared" si="15"/>
        <v>0</v>
      </c>
      <c r="Z144" s="223">
        <f t="shared" si="15"/>
        <v>0</v>
      </c>
      <c r="AA144" s="223">
        <f t="shared" si="16"/>
        <v>0</v>
      </c>
      <c r="AB144" s="207"/>
      <c r="AC144" s="207"/>
      <c r="AD144" s="207"/>
      <c r="AE144" s="207"/>
      <c r="AF144" s="207"/>
      <c r="AG144" s="207"/>
      <c r="AH144" s="207"/>
      <c r="AI144" s="207"/>
      <c r="AJ144" s="207"/>
      <c r="AK144" s="207"/>
      <c r="AL144" s="207"/>
      <c r="AM144" s="207"/>
      <c r="AN144" s="207"/>
      <c r="AO144" s="207"/>
      <c r="AP144" s="207"/>
    </row>
    <row r="145" spans="1:42" ht="13.5" customHeight="1" x14ac:dyDescent="0.2">
      <c r="A145" s="220"/>
      <c r="B145" s="325"/>
      <c r="C145" s="220"/>
      <c r="D145" s="223">
        <f t="shared" si="34"/>
        <v>0</v>
      </c>
      <c r="E145" s="222">
        <f t="shared" si="34"/>
        <v>0</v>
      </c>
      <c r="F145" s="222">
        <f t="shared" si="25"/>
        <v>0</v>
      </c>
      <c r="G145" s="222">
        <f t="shared" si="35"/>
        <v>0</v>
      </c>
      <c r="H145" s="220"/>
      <c r="I145" s="220"/>
      <c r="J145" s="222">
        <f t="shared" si="36"/>
        <v>0</v>
      </c>
      <c r="K145" s="222">
        <f t="shared" si="36"/>
        <v>0</v>
      </c>
      <c r="L145" s="222">
        <f t="shared" si="36"/>
        <v>0</v>
      </c>
      <c r="M145" s="222">
        <f t="shared" si="36"/>
        <v>0</v>
      </c>
      <c r="N145" s="222">
        <f t="shared" si="36"/>
        <v>0</v>
      </c>
      <c r="O145" s="222">
        <f t="shared" si="19"/>
        <v>0</v>
      </c>
      <c r="P145" s="227">
        <f t="shared" si="27"/>
        <v>0</v>
      </c>
      <c r="Q145" s="223">
        <f t="shared" si="28"/>
        <v>0</v>
      </c>
      <c r="R145" s="223">
        <f t="shared" si="28"/>
        <v>0</v>
      </c>
      <c r="S145" s="223">
        <f t="shared" si="28"/>
        <v>0</v>
      </c>
      <c r="T145" s="223">
        <f t="shared" si="28"/>
        <v>0</v>
      </c>
      <c r="U145" s="223">
        <f t="shared" si="28"/>
        <v>0</v>
      </c>
      <c r="V145" s="223">
        <f t="shared" si="28"/>
        <v>0</v>
      </c>
      <c r="W145" s="222">
        <f t="shared" si="37"/>
        <v>0</v>
      </c>
      <c r="X145" s="222">
        <f t="shared" si="37"/>
        <v>0</v>
      </c>
      <c r="Y145" s="223">
        <f t="shared" si="15"/>
        <v>0</v>
      </c>
      <c r="Z145" s="223">
        <f t="shared" si="15"/>
        <v>0</v>
      </c>
      <c r="AA145" s="223">
        <f t="shared" si="16"/>
        <v>0</v>
      </c>
      <c r="AB145" s="207"/>
      <c r="AC145" s="207"/>
      <c r="AD145" s="207"/>
      <c r="AE145" s="207"/>
      <c r="AF145" s="207"/>
      <c r="AG145" s="207"/>
      <c r="AH145" s="207"/>
      <c r="AI145" s="207"/>
      <c r="AJ145" s="207"/>
      <c r="AK145" s="207"/>
      <c r="AL145" s="207"/>
      <c r="AM145" s="207"/>
      <c r="AN145" s="207"/>
      <c r="AO145" s="207"/>
      <c r="AP145" s="207"/>
    </row>
    <row r="146" spans="1:42" ht="13.5" customHeight="1" x14ac:dyDescent="0.2">
      <c r="A146" s="220"/>
      <c r="B146" s="325"/>
      <c r="C146" s="220"/>
      <c r="D146" s="223">
        <f t="shared" si="34"/>
        <v>0</v>
      </c>
      <c r="E146" s="222">
        <f t="shared" si="34"/>
        <v>0</v>
      </c>
      <c r="F146" s="222">
        <f t="shared" si="25"/>
        <v>0</v>
      </c>
      <c r="G146" s="222">
        <f t="shared" si="35"/>
        <v>0</v>
      </c>
      <c r="H146" s="220"/>
      <c r="I146" s="220"/>
      <c r="J146" s="222">
        <f t="shared" si="36"/>
        <v>0</v>
      </c>
      <c r="K146" s="222">
        <f t="shared" si="36"/>
        <v>0</v>
      </c>
      <c r="L146" s="222">
        <f t="shared" si="36"/>
        <v>0</v>
      </c>
      <c r="M146" s="222">
        <f t="shared" si="36"/>
        <v>0</v>
      </c>
      <c r="N146" s="222">
        <f t="shared" si="36"/>
        <v>0</v>
      </c>
      <c r="O146" s="222">
        <f t="shared" si="19"/>
        <v>0</v>
      </c>
      <c r="P146" s="227">
        <f t="shared" si="27"/>
        <v>0</v>
      </c>
      <c r="Q146" s="223">
        <f t="shared" si="28"/>
        <v>0</v>
      </c>
      <c r="R146" s="223">
        <f t="shared" si="28"/>
        <v>0</v>
      </c>
      <c r="S146" s="223">
        <f t="shared" si="28"/>
        <v>0</v>
      </c>
      <c r="T146" s="223">
        <f t="shared" si="28"/>
        <v>0</v>
      </c>
      <c r="U146" s="223">
        <f t="shared" si="28"/>
        <v>0</v>
      </c>
      <c r="V146" s="223">
        <f t="shared" si="28"/>
        <v>0</v>
      </c>
      <c r="W146" s="222">
        <f t="shared" si="37"/>
        <v>0</v>
      </c>
      <c r="X146" s="222">
        <f t="shared" si="37"/>
        <v>0</v>
      </c>
      <c r="Y146" s="223">
        <f t="shared" si="15"/>
        <v>0</v>
      </c>
      <c r="Z146" s="223">
        <f t="shared" si="15"/>
        <v>0</v>
      </c>
      <c r="AA146" s="223">
        <f t="shared" si="16"/>
        <v>0</v>
      </c>
      <c r="AB146" s="207"/>
      <c r="AC146" s="207"/>
      <c r="AD146" s="207"/>
      <c r="AE146" s="207"/>
      <c r="AF146" s="207"/>
      <c r="AG146" s="207"/>
      <c r="AH146" s="207"/>
      <c r="AI146" s="207"/>
      <c r="AJ146" s="207"/>
      <c r="AK146" s="207"/>
      <c r="AL146" s="207"/>
      <c r="AM146" s="207"/>
      <c r="AN146" s="207"/>
      <c r="AO146" s="207"/>
      <c r="AP146" s="207"/>
    </row>
    <row r="147" spans="1:42" ht="13.5" customHeight="1" x14ac:dyDescent="0.2">
      <c r="A147" s="220"/>
      <c r="B147" s="322"/>
      <c r="C147" s="220"/>
      <c r="D147" s="223">
        <f t="shared" si="34"/>
        <v>0</v>
      </c>
      <c r="E147" s="222">
        <f t="shared" si="34"/>
        <v>0</v>
      </c>
      <c r="F147" s="222">
        <f t="shared" si="25"/>
        <v>0</v>
      </c>
      <c r="G147" s="222">
        <f t="shared" si="35"/>
        <v>0</v>
      </c>
      <c r="H147" s="220"/>
      <c r="I147" s="220"/>
      <c r="J147" s="222">
        <f t="shared" si="36"/>
        <v>0</v>
      </c>
      <c r="K147" s="222">
        <f t="shared" si="36"/>
        <v>0</v>
      </c>
      <c r="L147" s="222">
        <f t="shared" si="36"/>
        <v>0</v>
      </c>
      <c r="M147" s="222">
        <f t="shared" si="36"/>
        <v>0</v>
      </c>
      <c r="N147" s="222">
        <f t="shared" si="36"/>
        <v>0</v>
      </c>
      <c r="O147" s="222">
        <f t="shared" si="19"/>
        <v>0</v>
      </c>
      <c r="P147" s="227">
        <f t="shared" si="27"/>
        <v>0</v>
      </c>
      <c r="Q147" s="223">
        <f t="shared" si="28"/>
        <v>0</v>
      </c>
      <c r="R147" s="223">
        <f t="shared" si="28"/>
        <v>0</v>
      </c>
      <c r="S147" s="223">
        <f t="shared" si="28"/>
        <v>0</v>
      </c>
      <c r="T147" s="223">
        <f t="shared" si="28"/>
        <v>0</v>
      </c>
      <c r="U147" s="223">
        <f t="shared" si="28"/>
        <v>0</v>
      </c>
      <c r="V147" s="223">
        <f t="shared" si="28"/>
        <v>0</v>
      </c>
      <c r="W147" s="222">
        <f t="shared" si="37"/>
        <v>0</v>
      </c>
      <c r="X147" s="222">
        <f t="shared" si="37"/>
        <v>0</v>
      </c>
      <c r="Y147" s="223">
        <f t="shared" si="15"/>
        <v>0</v>
      </c>
      <c r="Z147" s="223">
        <f t="shared" si="15"/>
        <v>0</v>
      </c>
      <c r="AA147" s="223">
        <f t="shared" si="16"/>
        <v>0</v>
      </c>
      <c r="AB147" s="207"/>
      <c r="AC147" s="207"/>
      <c r="AD147" s="207"/>
      <c r="AE147" s="207"/>
      <c r="AF147" s="207"/>
      <c r="AG147" s="207"/>
      <c r="AH147" s="207"/>
      <c r="AI147" s="207"/>
      <c r="AJ147" s="207"/>
      <c r="AK147" s="207"/>
      <c r="AL147" s="207"/>
      <c r="AM147" s="207"/>
      <c r="AN147" s="207"/>
      <c r="AO147" s="207"/>
      <c r="AP147" s="207"/>
    </row>
    <row r="148" spans="1:42" ht="13.5" customHeight="1" x14ac:dyDescent="0.2">
      <c r="A148" s="220"/>
      <c r="B148" s="326" t="s">
        <v>579</v>
      </c>
      <c r="C148" s="324"/>
      <c r="D148" s="250">
        <f t="shared" ref="D148:G148" si="38">SUM(D142:D147)</f>
        <v>0</v>
      </c>
      <c r="E148" s="251">
        <f t="shared" si="38"/>
        <v>0</v>
      </c>
      <c r="F148" s="251">
        <f t="shared" si="25"/>
        <v>0</v>
      </c>
      <c r="G148" s="251">
        <f t="shared" si="38"/>
        <v>0</v>
      </c>
      <c r="H148" s="252"/>
      <c r="I148" s="252"/>
      <c r="J148" s="251">
        <f t="shared" ref="J148:N148" si="39">SUM(J142:J147)</f>
        <v>0</v>
      </c>
      <c r="K148" s="251">
        <f t="shared" si="39"/>
        <v>0</v>
      </c>
      <c r="L148" s="251">
        <f t="shared" si="39"/>
        <v>0</v>
      </c>
      <c r="M148" s="251">
        <f t="shared" si="39"/>
        <v>0</v>
      </c>
      <c r="N148" s="251">
        <f t="shared" si="39"/>
        <v>0</v>
      </c>
      <c r="O148" s="251">
        <f t="shared" si="19"/>
        <v>0</v>
      </c>
      <c r="P148" s="253">
        <f t="shared" si="27"/>
        <v>0</v>
      </c>
      <c r="Q148" s="250">
        <f t="shared" si="28"/>
        <v>0</v>
      </c>
      <c r="R148" s="250">
        <f t="shared" si="28"/>
        <v>0</v>
      </c>
      <c r="S148" s="250">
        <f t="shared" si="28"/>
        <v>0</v>
      </c>
      <c r="T148" s="250">
        <f t="shared" si="28"/>
        <v>0</v>
      </c>
      <c r="U148" s="250">
        <f t="shared" si="28"/>
        <v>0</v>
      </c>
      <c r="V148" s="250">
        <f t="shared" si="28"/>
        <v>0</v>
      </c>
      <c r="W148" s="251">
        <f>SUM(W142:W147)</f>
        <v>0</v>
      </c>
      <c r="X148" s="251">
        <f>SUM(X142:X147)</f>
        <v>0</v>
      </c>
      <c r="Y148" s="250">
        <f t="shared" si="15"/>
        <v>0</v>
      </c>
      <c r="Z148" s="250">
        <f t="shared" si="15"/>
        <v>0</v>
      </c>
      <c r="AA148" s="250">
        <f t="shared" si="16"/>
        <v>0</v>
      </c>
      <c r="AB148" s="207"/>
      <c r="AC148" s="207"/>
      <c r="AD148" s="207"/>
      <c r="AE148" s="207"/>
      <c r="AF148" s="207"/>
      <c r="AG148" s="207"/>
      <c r="AH148" s="207"/>
      <c r="AI148" s="207"/>
      <c r="AJ148" s="207"/>
      <c r="AK148" s="207"/>
      <c r="AL148" s="207"/>
      <c r="AM148" s="207"/>
      <c r="AN148" s="207"/>
      <c r="AO148" s="207"/>
      <c r="AP148" s="207"/>
    </row>
  </sheetData>
  <mergeCells count="32">
    <mergeCell ref="A7:A10"/>
    <mergeCell ref="B7:B10"/>
    <mergeCell ref="C7:C10"/>
    <mergeCell ref="D7:D10"/>
    <mergeCell ref="E7:E10"/>
    <mergeCell ref="G7:O8"/>
    <mergeCell ref="P7:U7"/>
    <mergeCell ref="V7:Z8"/>
    <mergeCell ref="AA7:AA10"/>
    <mergeCell ref="P8:Q8"/>
    <mergeCell ref="R8:S8"/>
    <mergeCell ref="T8:U8"/>
    <mergeCell ref="G9:G10"/>
    <mergeCell ref="H9:H10"/>
    <mergeCell ref="I9:I10"/>
    <mergeCell ref="Z9:Z10"/>
    <mergeCell ref="B130:B131"/>
    <mergeCell ref="B135:C135"/>
    <mergeCell ref="B136:B137"/>
    <mergeCell ref="B138:C138"/>
    <mergeCell ref="J9:J10"/>
    <mergeCell ref="K9:N9"/>
    <mergeCell ref="O9:O10"/>
    <mergeCell ref="V9:V10"/>
    <mergeCell ref="W9:W10"/>
    <mergeCell ref="X9:X10"/>
    <mergeCell ref="F7:F10"/>
    <mergeCell ref="B139:B140"/>
    <mergeCell ref="B141:C141"/>
    <mergeCell ref="B142:B147"/>
    <mergeCell ref="B148:C148"/>
    <mergeCell ref="Y9:Y10"/>
  </mergeCells>
  <conditionalFormatting sqref="O11:O16">
    <cfRule type="cellIs" dxfId="20" priority="5" operator="equal">
      <formula>0</formula>
    </cfRule>
    <cfRule type="cellIs" dxfId="19" priority="6" operator="between">
      <formula>0.0000001</formula>
      <formula>1.999999999</formula>
    </cfRule>
    <cfRule type="cellIs" dxfId="18" priority="7" operator="between">
      <formula>2</formula>
      <formula>4.99999999998</formula>
    </cfRule>
    <cfRule type="cellIs" dxfId="17" priority="8" operator="greaterThan">
      <formula>4.999999</formula>
    </cfRule>
  </conditionalFormatting>
  <conditionalFormatting sqref="Y11:Y16">
    <cfRule type="cellIs" dxfId="16" priority="1" operator="equal">
      <formula>0</formula>
    </cfRule>
    <cfRule type="cellIs" dxfId="15" priority="2" operator="between">
      <formula>0.0000001</formula>
      <formula>1.999999999</formula>
    </cfRule>
    <cfRule type="cellIs" dxfId="14" priority="3" operator="between">
      <formula>2</formula>
      <formula>4.99999999998</formula>
    </cfRule>
    <cfRule type="cellIs" dxfId="13" priority="4" operator="greaterThan">
      <formula>4.999999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R429"/>
  <sheetViews>
    <sheetView topLeftCell="A4" workbookViewId="0">
      <selection activeCell="L19" sqref="L19"/>
    </sheetView>
  </sheetViews>
  <sheetFormatPr baseColWidth="10" defaultColWidth="8.83203125" defaultRowHeight="15" x14ac:dyDescent="0.2"/>
  <cols>
    <col min="4" max="5" width="9.5" customWidth="1"/>
    <col min="8" max="8" width="9.5" bestFit="1" customWidth="1"/>
    <col min="9" max="10" width="9.33203125" bestFit="1" customWidth="1"/>
    <col min="260" max="261" width="9.5" customWidth="1"/>
    <col min="264" max="264" width="9.5" bestFit="1" customWidth="1"/>
    <col min="265" max="266" width="9.33203125" bestFit="1" customWidth="1"/>
    <col min="516" max="517" width="9.5" customWidth="1"/>
    <col min="520" max="520" width="9.5" bestFit="1" customWidth="1"/>
    <col min="521" max="522" width="9.33203125" bestFit="1" customWidth="1"/>
    <col min="772" max="773" width="9.5" customWidth="1"/>
    <col min="776" max="776" width="9.5" bestFit="1" customWidth="1"/>
    <col min="777" max="778" width="9.33203125" bestFit="1" customWidth="1"/>
    <col min="1028" max="1029" width="9.5" customWidth="1"/>
    <col min="1032" max="1032" width="9.5" bestFit="1" customWidth="1"/>
    <col min="1033" max="1034" width="9.33203125" bestFit="1" customWidth="1"/>
    <col min="1284" max="1285" width="9.5" customWidth="1"/>
    <col min="1288" max="1288" width="9.5" bestFit="1" customWidth="1"/>
    <col min="1289" max="1290" width="9.33203125" bestFit="1" customWidth="1"/>
    <col min="1540" max="1541" width="9.5" customWidth="1"/>
    <col min="1544" max="1544" width="9.5" bestFit="1" customWidth="1"/>
    <col min="1545" max="1546" width="9.33203125" bestFit="1" customWidth="1"/>
    <col min="1796" max="1797" width="9.5" customWidth="1"/>
    <col min="1800" max="1800" width="9.5" bestFit="1" customWidth="1"/>
    <col min="1801" max="1802" width="9.33203125" bestFit="1" customWidth="1"/>
    <col min="2052" max="2053" width="9.5" customWidth="1"/>
    <col min="2056" max="2056" width="9.5" bestFit="1" customWidth="1"/>
    <col min="2057" max="2058" width="9.33203125" bestFit="1" customWidth="1"/>
    <col min="2308" max="2309" width="9.5" customWidth="1"/>
    <col min="2312" max="2312" width="9.5" bestFit="1" customWidth="1"/>
    <col min="2313" max="2314" width="9.33203125" bestFit="1" customWidth="1"/>
    <col min="2564" max="2565" width="9.5" customWidth="1"/>
    <col min="2568" max="2568" width="9.5" bestFit="1" customWidth="1"/>
    <col min="2569" max="2570" width="9.33203125" bestFit="1" customWidth="1"/>
    <col min="2820" max="2821" width="9.5" customWidth="1"/>
    <col min="2824" max="2824" width="9.5" bestFit="1" customWidth="1"/>
    <col min="2825" max="2826" width="9.33203125" bestFit="1" customWidth="1"/>
    <col min="3076" max="3077" width="9.5" customWidth="1"/>
    <col min="3080" max="3080" width="9.5" bestFit="1" customWidth="1"/>
    <col min="3081" max="3082" width="9.33203125" bestFit="1" customWidth="1"/>
    <col min="3332" max="3333" width="9.5" customWidth="1"/>
    <col min="3336" max="3336" width="9.5" bestFit="1" customWidth="1"/>
    <col min="3337" max="3338" width="9.33203125" bestFit="1" customWidth="1"/>
    <col min="3588" max="3589" width="9.5" customWidth="1"/>
    <col min="3592" max="3592" width="9.5" bestFit="1" customWidth="1"/>
    <col min="3593" max="3594" width="9.33203125" bestFit="1" customWidth="1"/>
    <col min="3844" max="3845" width="9.5" customWidth="1"/>
    <col min="3848" max="3848" width="9.5" bestFit="1" customWidth="1"/>
    <col min="3849" max="3850" width="9.33203125" bestFit="1" customWidth="1"/>
    <col min="4100" max="4101" width="9.5" customWidth="1"/>
    <col min="4104" max="4104" width="9.5" bestFit="1" customWidth="1"/>
    <col min="4105" max="4106" width="9.33203125" bestFit="1" customWidth="1"/>
    <col min="4356" max="4357" width="9.5" customWidth="1"/>
    <col min="4360" max="4360" width="9.5" bestFit="1" customWidth="1"/>
    <col min="4361" max="4362" width="9.33203125" bestFit="1" customWidth="1"/>
    <col min="4612" max="4613" width="9.5" customWidth="1"/>
    <col min="4616" max="4616" width="9.5" bestFit="1" customWidth="1"/>
    <col min="4617" max="4618" width="9.33203125" bestFit="1" customWidth="1"/>
    <col min="4868" max="4869" width="9.5" customWidth="1"/>
    <col min="4872" max="4872" width="9.5" bestFit="1" customWidth="1"/>
    <col min="4873" max="4874" width="9.33203125" bestFit="1" customWidth="1"/>
    <col min="5124" max="5125" width="9.5" customWidth="1"/>
    <col min="5128" max="5128" width="9.5" bestFit="1" customWidth="1"/>
    <col min="5129" max="5130" width="9.33203125" bestFit="1" customWidth="1"/>
    <col min="5380" max="5381" width="9.5" customWidth="1"/>
    <col min="5384" max="5384" width="9.5" bestFit="1" customWidth="1"/>
    <col min="5385" max="5386" width="9.33203125" bestFit="1" customWidth="1"/>
    <col min="5636" max="5637" width="9.5" customWidth="1"/>
    <col min="5640" max="5640" width="9.5" bestFit="1" customWidth="1"/>
    <col min="5641" max="5642" width="9.33203125" bestFit="1" customWidth="1"/>
    <col min="5892" max="5893" width="9.5" customWidth="1"/>
    <col min="5896" max="5896" width="9.5" bestFit="1" customWidth="1"/>
    <col min="5897" max="5898" width="9.33203125" bestFit="1" customWidth="1"/>
    <col min="6148" max="6149" width="9.5" customWidth="1"/>
    <col min="6152" max="6152" width="9.5" bestFit="1" customWidth="1"/>
    <col min="6153" max="6154" width="9.33203125" bestFit="1" customWidth="1"/>
    <col min="6404" max="6405" width="9.5" customWidth="1"/>
    <col min="6408" max="6408" width="9.5" bestFit="1" customWidth="1"/>
    <col min="6409" max="6410" width="9.33203125" bestFit="1" customWidth="1"/>
    <col min="6660" max="6661" width="9.5" customWidth="1"/>
    <col min="6664" max="6664" width="9.5" bestFit="1" customWidth="1"/>
    <col min="6665" max="6666" width="9.33203125" bestFit="1" customWidth="1"/>
    <col min="6916" max="6917" width="9.5" customWidth="1"/>
    <col min="6920" max="6920" width="9.5" bestFit="1" customWidth="1"/>
    <col min="6921" max="6922" width="9.33203125" bestFit="1" customWidth="1"/>
    <col min="7172" max="7173" width="9.5" customWidth="1"/>
    <col min="7176" max="7176" width="9.5" bestFit="1" customWidth="1"/>
    <col min="7177" max="7178" width="9.33203125" bestFit="1" customWidth="1"/>
    <col min="7428" max="7429" width="9.5" customWidth="1"/>
    <col min="7432" max="7432" width="9.5" bestFit="1" customWidth="1"/>
    <col min="7433" max="7434" width="9.33203125" bestFit="1" customWidth="1"/>
    <col min="7684" max="7685" width="9.5" customWidth="1"/>
    <col min="7688" max="7688" width="9.5" bestFit="1" customWidth="1"/>
    <col min="7689" max="7690" width="9.33203125" bestFit="1" customWidth="1"/>
    <col min="7940" max="7941" width="9.5" customWidth="1"/>
    <col min="7944" max="7944" width="9.5" bestFit="1" customWidth="1"/>
    <col min="7945" max="7946" width="9.33203125" bestFit="1" customWidth="1"/>
    <col min="8196" max="8197" width="9.5" customWidth="1"/>
    <col min="8200" max="8200" width="9.5" bestFit="1" customWidth="1"/>
    <col min="8201" max="8202" width="9.33203125" bestFit="1" customWidth="1"/>
    <col min="8452" max="8453" width="9.5" customWidth="1"/>
    <col min="8456" max="8456" width="9.5" bestFit="1" customWidth="1"/>
    <col min="8457" max="8458" width="9.33203125" bestFit="1" customWidth="1"/>
    <col min="8708" max="8709" width="9.5" customWidth="1"/>
    <col min="8712" max="8712" width="9.5" bestFit="1" customWidth="1"/>
    <col min="8713" max="8714" width="9.33203125" bestFit="1" customWidth="1"/>
    <col min="8964" max="8965" width="9.5" customWidth="1"/>
    <col min="8968" max="8968" width="9.5" bestFit="1" customWidth="1"/>
    <col min="8969" max="8970" width="9.33203125" bestFit="1" customWidth="1"/>
    <col min="9220" max="9221" width="9.5" customWidth="1"/>
    <col min="9224" max="9224" width="9.5" bestFit="1" customWidth="1"/>
    <col min="9225" max="9226" width="9.33203125" bestFit="1" customWidth="1"/>
    <col min="9476" max="9477" width="9.5" customWidth="1"/>
    <col min="9480" max="9480" width="9.5" bestFit="1" customWidth="1"/>
    <col min="9481" max="9482" width="9.33203125" bestFit="1" customWidth="1"/>
    <col min="9732" max="9733" width="9.5" customWidth="1"/>
    <col min="9736" max="9736" width="9.5" bestFit="1" customWidth="1"/>
    <col min="9737" max="9738" width="9.33203125" bestFit="1" customWidth="1"/>
    <col min="9988" max="9989" width="9.5" customWidth="1"/>
    <col min="9992" max="9992" width="9.5" bestFit="1" customWidth="1"/>
    <col min="9993" max="9994" width="9.33203125" bestFit="1" customWidth="1"/>
    <col min="10244" max="10245" width="9.5" customWidth="1"/>
    <col min="10248" max="10248" width="9.5" bestFit="1" customWidth="1"/>
    <col min="10249" max="10250" width="9.33203125" bestFit="1" customWidth="1"/>
    <col min="10500" max="10501" width="9.5" customWidth="1"/>
    <col min="10504" max="10504" width="9.5" bestFit="1" customWidth="1"/>
    <col min="10505" max="10506" width="9.33203125" bestFit="1" customWidth="1"/>
    <col min="10756" max="10757" width="9.5" customWidth="1"/>
    <col min="10760" max="10760" width="9.5" bestFit="1" customWidth="1"/>
    <col min="10761" max="10762" width="9.33203125" bestFit="1" customWidth="1"/>
    <col min="11012" max="11013" width="9.5" customWidth="1"/>
    <col min="11016" max="11016" width="9.5" bestFit="1" customWidth="1"/>
    <col min="11017" max="11018" width="9.33203125" bestFit="1" customWidth="1"/>
    <col min="11268" max="11269" width="9.5" customWidth="1"/>
    <col min="11272" max="11272" width="9.5" bestFit="1" customWidth="1"/>
    <col min="11273" max="11274" width="9.33203125" bestFit="1" customWidth="1"/>
    <col min="11524" max="11525" width="9.5" customWidth="1"/>
    <col min="11528" max="11528" width="9.5" bestFit="1" customWidth="1"/>
    <col min="11529" max="11530" width="9.33203125" bestFit="1" customWidth="1"/>
    <col min="11780" max="11781" width="9.5" customWidth="1"/>
    <col min="11784" max="11784" width="9.5" bestFit="1" customWidth="1"/>
    <col min="11785" max="11786" width="9.33203125" bestFit="1" customWidth="1"/>
    <col min="12036" max="12037" width="9.5" customWidth="1"/>
    <col min="12040" max="12040" width="9.5" bestFit="1" customWidth="1"/>
    <col min="12041" max="12042" width="9.33203125" bestFit="1" customWidth="1"/>
    <col min="12292" max="12293" width="9.5" customWidth="1"/>
    <col min="12296" max="12296" width="9.5" bestFit="1" customWidth="1"/>
    <col min="12297" max="12298" width="9.33203125" bestFit="1" customWidth="1"/>
    <col min="12548" max="12549" width="9.5" customWidth="1"/>
    <col min="12552" max="12552" width="9.5" bestFit="1" customWidth="1"/>
    <col min="12553" max="12554" width="9.33203125" bestFit="1" customWidth="1"/>
    <col min="12804" max="12805" width="9.5" customWidth="1"/>
    <col min="12808" max="12808" width="9.5" bestFit="1" customWidth="1"/>
    <col min="12809" max="12810" width="9.33203125" bestFit="1" customWidth="1"/>
    <col min="13060" max="13061" width="9.5" customWidth="1"/>
    <col min="13064" max="13064" width="9.5" bestFit="1" customWidth="1"/>
    <col min="13065" max="13066" width="9.33203125" bestFit="1" customWidth="1"/>
    <col min="13316" max="13317" width="9.5" customWidth="1"/>
    <col min="13320" max="13320" width="9.5" bestFit="1" customWidth="1"/>
    <col min="13321" max="13322" width="9.33203125" bestFit="1" customWidth="1"/>
    <col min="13572" max="13573" width="9.5" customWidth="1"/>
    <col min="13576" max="13576" width="9.5" bestFit="1" customWidth="1"/>
    <col min="13577" max="13578" width="9.33203125" bestFit="1" customWidth="1"/>
    <col min="13828" max="13829" width="9.5" customWidth="1"/>
    <col min="13832" max="13832" width="9.5" bestFit="1" customWidth="1"/>
    <col min="13833" max="13834" width="9.33203125" bestFit="1" customWidth="1"/>
    <col min="14084" max="14085" width="9.5" customWidth="1"/>
    <col min="14088" max="14088" width="9.5" bestFit="1" customWidth="1"/>
    <col min="14089" max="14090" width="9.33203125" bestFit="1" customWidth="1"/>
    <col min="14340" max="14341" width="9.5" customWidth="1"/>
    <col min="14344" max="14344" width="9.5" bestFit="1" customWidth="1"/>
    <col min="14345" max="14346" width="9.33203125" bestFit="1" customWidth="1"/>
    <col min="14596" max="14597" width="9.5" customWidth="1"/>
    <col min="14600" max="14600" width="9.5" bestFit="1" customWidth="1"/>
    <col min="14601" max="14602" width="9.33203125" bestFit="1" customWidth="1"/>
    <col min="14852" max="14853" width="9.5" customWidth="1"/>
    <col min="14856" max="14856" width="9.5" bestFit="1" customWidth="1"/>
    <col min="14857" max="14858" width="9.33203125" bestFit="1" customWidth="1"/>
    <col min="15108" max="15109" width="9.5" customWidth="1"/>
    <col min="15112" max="15112" width="9.5" bestFit="1" customWidth="1"/>
    <col min="15113" max="15114" width="9.33203125" bestFit="1" customWidth="1"/>
    <col min="15364" max="15365" width="9.5" customWidth="1"/>
    <col min="15368" max="15368" width="9.5" bestFit="1" customWidth="1"/>
    <col min="15369" max="15370" width="9.33203125" bestFit="1" customWidth="1"/>
    <col min="15620" max="15621" width="9.5" customWidth="1"/>
    <col min="15624" max="15624" width="9.5" bestFit="1" customWidth="1"/>
    <col min="15625" max="15626" width="9.33203125" bestFit="1" customWidth="1"/>
    <col min="15876" max="15877" width="9.5" customWidth="1"/>
    <col min="15880" max="15880" width="9.5" bestFit="1" customWidth="1"/>
    <col min="15881" max="15882" width="9.33203125" bestFit="1" customWidth="1"/>
    <col min="16132" max="16133" width="9.5" customWidth="1"/>
    <col min="16136" max="16136" width="9.5" bestFit="1" customWidth="1"/>
    <col min="16137" max="16138" width="9.33203125" bestFit="1" customWidth="1"/>
  </cols>
  <sheetData>
    <row r="1" spans="1:18" x14ac:dyDescent="0.2">
      <c r="A1" s="305" t="s">
        <v>443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</row>
    <row r="2" spans="1:18" x14ac:dyDescent="0.2">
      <c r="A2" s="305"/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</row>
    <row r="3" spans="1:18" x14ac:dyDescent="0.2">
      <c r="A3" s="1" t="s">
        <v>1</v>
      </c>
      <c r="B3" s="2" t="s">
        <v>2</v>
      </c>
      <c r="C3" s="2" t="s">
        <v>3</v>
      </c>
      <c r="D3" s="2"/>
      <c r="E3" s="2"/>
      <c r="F3" s="2"/>
      <c r="G3" s="3"/>
      <c r="H3" s="4">
        <v>0</v>
      </c>
      <c r="I3" s="2"/>
      <c r="J3" s="5"/>
      <c r="K3" s="6" t="s">
        <v>601</v>
      </c>
      <c r="M3" s="7"/>
      <c r="N3" s="8" t="s">
        <v>602</v>
      </c>
      <c r="O3" s="2"/>
      <c r="P3" s="9"/>
      <c r="Q3" s="2" t="s">
        <v>4</v>
      </c>
      <c r="R3" s="2"/>
    </row>
    <row r="4" spans="1:1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">
      <c r="A5" s="306" t="s">
        <v>5</v>
      </c>
      <c r="B5" s="306" t="s">
        <v>6</v>
      </c>
      <c r="C5" s="307" t="s">
        <v>7</v>
      </c>
      <c r="D5" s="306" t="s">
        <v>8</v>
      </c>
      <c r="E5" s="307" t="s">
        <v>7</v>
      </c>
      <c r="F5" s="306" t="s">
        <v>444</v>
      </c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</row>
    <row r="6" spans="1:18" x14ac:dyDescent="0.2">
      <c r="A6" s="306"/>
      <c r="B6" s="306"/>
      <c r="C6" s="308"/>
      <c r="D6" s="306"/>
      <c r="E6" s="308"/>
      <c r="F6" s="10">
        <v>2025</v>
      </c>
      <c r="G6" s="306" t="s">
        <v>11</v>
      </c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</row>
    <row r="7" spans="1:18" ht="16" x14ac:dyDescent="0.2">
      <c r="A7" s="306"/>
      <c r="B7" s="306"/>
      <c r="C7" s="309"/>
      <c r="D7" s="306"/>
      <c r="E7" s="309"/>
      <c r="F7" s="11" t="s">
        <v>12</v>
      </c>
      <c r="G7" s="10" t="s">
        <v>13</v>
      </c>
      <c r="H7" s="10" t="s">
        <v>14</v>
      </c>
      <c r="I7" s="10" t="s">
        <v>15</v>
      </c>
      <c r="J7" s="10" t="s">
        <v>16</v>
      </c>
      <c r="K7" s="10" t="s">
        <v>17</v>
      </c>
      <c r="L7" s="10" t="s">
        <v>18</v>
      </c>
      <c r="M7" s="10" t="s">
        <v>19</v>
      </c>
      <c r="N7" s="10" t="s">
        <v>20</v>
      </c>
      <c r="O7" s="10" t="s">
        <v>21</v>
      </c>
      <c r="P7" s="10" t="s">
        <v>22</v>
      </c>
      <c r="Q7" s="10" t="s">
        <v>23</v>
      </c>
      <c r="R7" s="10" t="s">
        <v>24</v>
      </c>
    </row>
    <row r="8" spans="1:18" x14ac:dyDescent="0.2">
      <c r="A8" s="12">
        <v>1</v>
      </c>
      <c r="B8" s="12" t="s">
        <v>25</v>
      </c>
      <c r="C8" s="12" t="s">
        <v>26</v>
      </c>
      <c r="D8" s="12">
        <v>20.149999999999999</v>
      </c>
      <c r="E8" s="12">
        <v>1997</v>
      </c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</row>
    <row r="9" spans="1:18" x14ac:dyDescent="0.2">
      <c r="A9" s="12">
        <v>1</v>
      </c>
      <c r="B9" s="12" t="s">
        <v>27</v>
      </c>
      <c r="C9" s="12" t="s">
        <v>26</v>
      </c>
      <c r="D9" s="12">
        <v>20.65</v>
      </c>
      <c r="E9" s="12">
        <v>1997</v>
      </c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</row>
    <row r="10" spans="1:18" x14ac:dyDescent="0.2">
      <c r="A10" s="12">
        <v>1</v>
      </c>
      <c r="B10" s="12" t="s">
        <v>28</v>
      </c>
      <c r="C10" s="12" t="s">
        <v>26</v>
      </c>
      <c r="D10" s="12">
        <v>23.8</v>
      </c>
      <c r="E10" s="12">
        <v>1997</v>
      </c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</row>
    <row r="11" spans="1:18" x14ac:dyDescent="0.2">
      <c r="A11" s="12">
        <v>1</v>
      </c>
      <c r="B11" s="12" t="s">
        <v>29</v>
      </c>
      <c r="C11" s="12" t="s">
        <v>26</v>
      </c>
      <c r="D11" s="12">
        <v>27.64</v>
      </c>
      <c r="E11" s="12">
        <v>2021</v>
      </c>
      <c r="F11" s="124"/>
      <c r="G11" s="124">
        <v>48.299319727891152</v>
      </c>
      <c r="H11" s="124">
        <v>13.103448275862069</v>
      </c>
      <c r="I11" s="124">
        <v>5.5172413793103452</v>
      </c>
      <c r="J11" s="124">
        <v>0.68965517241379315</v>
      </c>
      <c r="K11" s="124"/>
      <c r="L11" s="124"/>
      <c r="M11" s="124"/>
      <c r="N11" s="124"/>
      <c r="O11" s="124"/>
      <c r="P11" s="124"/>
      <c r="Q11" s="124"/>
      <c r="R11" s="124"/>
    </row>
    <row r="12" spans="1:18" x14ac:dyDescent="0.2">
      <c r="A12" s="12">
        <v>1</v>
      </c>
      <c r="B12" s="12" t="s">
        <v>30</v>
      </c>
      <c r="C12" s="12" t="s">
        <v>26</v>
      </c>
      <c r="D12" s="129">
        <v>24.01</v>
      </c>
      <c r="E12" s="12">
        <v>2021</v>
      </c>
      <c r="F12" s="124"/>
      <c r="G12" s="124">
        <v>46.616541353383454</v>
      </c>
      <c r="H12" s="124">
        <v>9.0225563909774422</v>
      </c>
      <c r="I12" s="124">
        <v>4.5112781954887211</v>
      </c>
      <c r="J12" s="124">
        <v>0</v>
      </c>
      <c r="K12" s="124"/>
      <c r="L12" s="124"/>
      <c r="M12" s="124"/>
      <c r="N12" s="124"/>
      <c r="O12" s="124"/>
      <c r="P12" s="124"/>
      <c r="Q12" s="124"/>
      <c r="R12" s="124"/>
    </row>
    <row r="13" spans="1:18" x14ac:dyDescent="0.2">
      <c r="A13" s="12">
        <v>1</v>
      </c>
      <c r="B13" s="12" t="s">
        <v>31</v>
      </c>
      <c r="C13" s="12" t="s">
        <v>26</v>
      </c>
      <c r="D13" s="12">
        <v>24</v>
      </c>
      <c r="E13" s="12">
        <v>2021</v>
      </c>
      <c r="F13" s="124"/>
      <c r="G13" s="124">
        <v>42.307692307692307</v>
      </c>
      <c r="H13" s="124">
        <v>9.2307692307692317</v>
      </c>
      <c r="I13" s="124">
        <v>5.384615384615385</v>
      </c>
      <c r="J13" s="124">
        <v>0.76923076923076927</v>
      </c>
      <c r="K13" s="124"/>
      <c r="L13" s="124"/>
      <c r="M13" s="124"/>
      <c r="N13" s="124"/>
      <c r="O13" s="124"/>
      <c r="P13" s="124"/>
      <c r="Q13" s="124"/>
      <c r="R13" s="124"/>
    </row>
    <row r="14" spans="1:18" x14ac:dyDescent="0.2">
      <c r="A14" s="12">
        <v>1</v>
      </c>
      <c r="B14" s="12" t="s">
        <v>32</v>
      </c>
      <c r="C14" s="12" t="s">
        <v>26</v>
      </c>
      <c r="D14" s="129">
        <v>24.9</v>
      </c>
      <c r="E14" s="12">
        <v>2021</v>
      </c>
      <c r="F14" s="124"/>
      <c r="G14" s="124">
        <v>16.666666666666664</v>
      </c>
      <c r="H14" s="124">
        <v>11.363636363636363</v>
      </c>
      <c r="I14" s="124">
        <v>4.5454545454545459</v>
      </c>
      <c r="J14" s="124">
        <v>0</v>
      </c>
      <c r="K14" s="124"/>
      <c r="L14" s="124"/>
      <c r="M14" s="124"/>
      <c r="N14" s="124"/>
      <c r="O14" s="124"/>
      <c r="P14" s="124"/>
      <c r="Q14" s="124"/>
      <c r="R14" s="124"/>
    </row>
    <row r="15" spans="1:18" x14ac:dyDescent="0.2">
      <c r="A15" s="12">
        <v>1</v>
      </c>
      <c r="B15" s="12" t="s">
        <v>33</v>
      </c>
      <c r="C15" s="12" t="s">
        <v>26</v>
      </c>
      <c r="D15" s="129">
        <v>27.79</v>
      </c>
      <c r="E15" s="12">
        <v>2021</v>
      </c>
      <c r="F15" s="124"/>
      <c r="G15" s="124">
        <v>31.428571428571427</v>
      </c>
      <c r="H15" s="124">
        <v>15.107913669064748</v>
      </c>
      <c r="I15" s="124">
        <v>5.755395683453238</v>
      </c>
      <c r="J15" s="124">
        <v>0</v>
      </c>
      <c r="K15" s="124"/>
      <c r="L15" s="124"/>
      <c r="M15" s="124"/>
      <c r="N15" s="124"/>
      <c r="O15" s="124"/>
      <c r="P15" s="124"/>
      <c r="Q15" s="124"/>
      <c r="R15" s="124"/>
    </row>
    <row r="16" spans="1:18" x14ac:dyDescent="0.2">
      <c r="A16" s="12">
        <v>1</v>
      </c>
      <c r="B16" s="12" t="s">
        <v>34</v>
      </c>
      <c r="C16" s="12" t="s">
        <v>26</v>
      </c>
      <c r="D16" s="129">
        <v>23.54</v>
      </c>
      <c r="E16" s="12">
        <v>2021</v>
      </c>
      <c r="F16" s="124"/>
      <c r="G16" s="124">
        <v>27.27272727272727</v>
      </c>
      <c r="H16" s="124">
        <v>8.2706766917293226</v>
      </c>
      <c r="I16" s="124">
        <v>3.007518796992481</v>
      </c>
      <c r="J16" s="124">
        <v>0</v>
      </c>
      <c r="K16" s="124"/>
      <c r="L16" s="124"/>
      <c r="M16" s="124"/>
      <c r="N16" s="124"/>
      <c r="O16" s="124"/>
      <c r="P16" s="124"/>
      <c r="Q16" s="124"/>
      <c r="R16" s="124"/>
    </row>
    <row r="17" spans="1:18" x14ac:dyDescent="0.2">
      <c r="A17" s="12">
        <v>1</v>
      </c>
      <c r="B17" s="12" t="s">
        <v>35</v>
      </c>
      <c r="C17" s="12" t="s">
        <v>26</v>
      </c>
      <c r="D17" s="129">
        <v>24.41</v>
      </c>
      <c r="E17" s="12">
        <v>2021</v>
      </c>
      <c r="F17" s="124"/>
      <c r="G17" s="124">
        <v>33.587786259541986</v>
      </c>
      <c r="H17" s="124">
        <v>14.503816793893129</v>
      </c>
      <c r="I17" s="124">
        <v>3.0534351145038165</v>
      </c>
      <c r="J17" s="124">
        <v>0</v>
      </c>
      <c r="K17" s="124"/>
      <c r="L17" s="124"/>
      <c r="M17" s="124"/>
      <c r="N17" s="124"/>
      <c r="O17" s="124"/>
      <c r="P17" s="124"/>
      <c r="Q17" s="124"/>
      <c r="R17" s="124"/>
    </row>
    <row r="18" spans="1:18" x14ac:dyDescent="0.2">
      <c r="A18" s="12">
        <v>1</v>
      </c>
      <c r="B18" s="12" t="s">
        <v>36</v>
      </c>
      <c r="C18" s="12" t="s">
        <v>26</v>
      </c>
      <c r="D18" s="129">
        <v>24.35</v>
      </c>
      <c r="E18" s="12">
        <v>2021</v>
      </c>
      <c r="F18" s="124"/>
      <c r="G18" s="124">
        <v>48.120300751879697</v>
      </c>
      <c r="H18" s="124">
        <v>13.533834586466165</v>
      </c>
      <c r="I18" s="124">
        <v>3.7593984962406015</v>
      </c>
      <c r="J18" s="124">
        <v>0</v>
      </c>
      <c r="K18" s="124"/>
      <c r="L18" s="124"/>
      <c r="M18" s="124"/>
      <c r="N18" s="124"/>
      <c r="O18" s="124"/>
      <c r="P18" s="124"/>
      <c r="Q18" s="124"/>
      <c r="R18" s="124"/>
    </row>
    <row r="19" spans="1:18" x14ac:dyDescent="0.2">
      <c r="A19" s="12">
        <v>1</v>
      </c>
      <c r="B19" s="12" t="s">
        <v>37</v>
      </c>
      <c r="C19" s="12" t="s">
        <v>26</v>
      </c>
      <c r="D19" s="12">
        <v>23.38</v>
      </c>
      <c r="E19" s="12">
        <v>2024</v>
      </c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</row>
    <row r="20" spans="1:18" x14ac:dyDescent="0.2">
      <c r="A20" s="12">
        <v>1</v>
      </c>
      <c r="B20" s="12" t="s">
        <v>38</v>
      </c>
      <c r="C20" s="12" t="s">
        <v>26</v>
      </c>
      <c r="D20" s="12">
        <v>34.19</v>
      </c>
      <c r="E20" s="12">
        <v>2024</v>
      </c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</row>
    <row r="21" spans="1:18" x14ac:dyDescent="0.2">
      <c r="A21" s="12">
        <v>1</v>
      </c>
      <c r="B21" s="12" t="s">
        <v>39</v>
      </c>
      <c r="C21" s="12" t="s">
        <v>26</v>
      </c>
      <c r="D21" s="12">
        <v>23.26</v>
      </c>
      <c r="E21" s="12">
        <v>2024</v>
      </c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</row>
    <row r="22" spans="1:18" x14ac:dyDescent="0.2">
      <c r="A22" s="12">
        <v>1</v>
      </c>
      <c r="B22" s="12" t="s">
        <v>40</v>
      </c>
      <c r="C22" s="12" t="s">
        <v>26</v>
      </c>
      <c r="D22" s="12">
        <v>23.42</v>
      </c>
      <c r="E22" s="12">
        <v>2024</v>
      </c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</row>
    <row r="23" spans="1:18" x14ac:dyDescent="0.2">
      <c r="A23" s="12">
        <v>1</v>
      </c>
      <c r="B23" s="12" t="s">
        <v>41</v>
      </c>
      <c r="C23" s="12" t="s">
        <v>26</v>
      </c>
      <c r="D23" s="12">
        <v>22.27</v>
      </c>
      <c r="E23" s="12">
        <v>2024</v>
      </c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</row>
    <row r="24" spans="1:18" x14ac:dyDescent="0.2">
      <c r="A24" s="12">
        <v>1</v>
      </c>
      <c r="B24" s="12" t="s">
        <v>42</v>
      </c>
      <c r="C24" s="12" t="s">
        <v>26</v>
      </c>
      <c r="D24" s="12">
        <v>12.5</v>
      </c>
      <c r="E24" s="12">
        <v>2024</v>
      </c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</row>
    <row r="25" spans="1:18" x14ac:dyDescent="0.2">
      <c r="A25" s="12">
        <v>1</v>
      </c>
      <c r="B25" s="12" t="s">
        <v>43</v>
      </c>
      <c r="C25" s="12" t="s">
        <v>26</v>
      </c>
      <c r="D25" s="12">
        <v>8.42</v>
      </c>
      <c r="E25" s="12">
        <v>2024</v>
      </c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</row>
    <row r="26" spans="1:18" x14ac:dyDescent="0.2">
      <c r="A26" s="12">
        <v>1</v>
      </c>
      <c r="B26" s="12" t="s">
        <v>44</v>
      </c>
      <c r="C26" s="12" t="s">
        <v>26</v>
      </c>
      <c r="D26" s="12">
        <v>30.48</v>
      </c>
      <c r="E26" s="12">
        <v>2024</v>
      </c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</row>
    <row r="27" spans="1:18" x14ac:dyDescent="0.2">
      <c r="A27" s="12">
        <v>1</v>
      </c>
      <c r="B27" s="12" t="s">
        <v>45</v>
      </c>
      <c r="C27" s="12" t="s">
        <v>26</v>
      </c>
      <c r="D27" s="12">
        <v>23.7</v>
      </c>
      <c r="E27" s="12">
        <v>2024</v>
      </c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</row>
    <row r="28" spans="1:18" x14ac:dyDescent="0.2">
      <c r="A28" s="12">
        <v>1</v>
      </c>
      <c r="B28" s="12" t="s">
        <v>46</v>
      </c>
      <c r="C28" s="12" t="s">
        <v>26</v>
      </c>
      <c r="D28" s="12">
        <v>23.61</v>
      </c>
      <c r="E28" s="12">
        <v>2024</v>
      </c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</row>
    <row r="29" spans="1:18" x14ac:dyDescent="0.2">
      <c r="A29" s="12">
        <v>1</v>
      </c>
      <c r="B29" s="12" t="s">
        <v>47</v>
      </c>
      <c r="C29" s="12" t="s">
        <v>26</v>
      </c>
      <c r="D29" s="12">
        <v>23.48</v>
      </c>
      <c r="E29" s="12">
        <v>2024</v>
      </c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</row>
    <row r="30" spans="1:18" x14ac:dyDescent="0.2">
      <c r="A30" s="12">
        <v>1</v>
      </c>
      <c r="B30" s="12" t="s">
        <v>48</v>
      </c>
      <c r="C30" s="12" t="s">
        <v>26</v>
      </c>
      <c r="D30" s="12">
        <v>5.57</v>
      </c>
      <c r="E30" s="12">
        <v>2026</v>
      </c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</row>
    <row r="31" spans="1:18" x14ac:dyDescent="0.2">
      <c r="A31" s="12">
        <v>1</v>
      </c>
      <c r="B31" s="12" t="s">
        <v>49</v>
      </c>
      <c r="C31" s="12" t="s">
        <v>26</v>
      </c>
      <c r="D31" s="12">
        <v>27.24</v>
      </c>
      <c r="E31" s="12">
        <v>2025</v>
      </c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</row>
    <row r="32" spans="1:18" x14ac:dyDescent="0.2">
      <c r="A32" s="12">
        <v>1</v>
      </c>
      <c r="B32" s="12" t="s">
        <v>50</v>
      </c>
      <c r="C32" s="12" t="s">
        <v>26</v>
      </c>
      <c r="D32" s="12">
        <v>23.19</v>
      </c>
      <c r="E32" s="12">
        <v>2025</v>
      </c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</row>
    <row r="33" spans="1:18" x14ac:dyDescent="0.2">
      <c r="A33" s="12">
        <v>1</v>
      </c>
      <c r="B33" s="12" t="s">
        <v>51</v>
      </c>
      <c r="C33" s="12" t="s">
        <v>26</v>
      </c>
      <c r="D33" s="12">
        <v>11.87</v>
      </c>
      <c r="E33" s="12">
        <v>2025</v>
      </c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</row>
    <row r="34" spans="1:18" x14ac:dyDescent="0.2">
      <c r="A34" s="12">
        <v>1</v>
      </c>
      <c r="B34" s="12" t="s">
        <v>52</v>
      </c>
      <c r="C34" s="12" t="s">
        <v>26</v>
      </c>
      <c r="D34" s="12">
        <v>29.15</v>
      </c>
      <c r="E34" s="12">
        <v>2025</v>
      </c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</row>
    <row r="35" spans="1:18" x14ac:dyDescent="0.2">
      <c r="A35" s="12">
        <v>1</v>
      </c>
      <c r="B35" s="12" t="s">
        <v>53</v>
      </c>
      <c r="C35" s="12" t="s">
        <v>26</v>
      </c>
      <c r="D35" s="12">
        <v>23.47</v>
      </c>
      <c r="E35" s="12">
        <v>2025</v>
      </c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</row>
    <row r="36" spans="1:18" x14ac:dyDescent="0.2">
      <c r="A36" s="12">
        <v>1</v>
      </c>
      <c r="B36" s="12" t="s">
        <v>54</v>
      </c>
      <c r="C36" s="12" t="s">
        <v>26</v>
      </c>
      <c r="D36" s="12">
        <v>25.26</v>
      </c>
      <c r="E36" s="12">
        <v>2025</v>
      </c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</row>
    <row r="37" spans="1:18" x14ac:dyDescent="0.2">
      <c r="A37" s="12">
        <v>1</v>
      </c>
      <c r="B37" s="12" t="s">
        <v>55</v>
      </c>
      <c r="C37" s="12" t="s">
        <v>26</v>
      </c>
      <c r="D37" s="12">
        <v>21.6</v>
      </c>
      <c r="E37" s="12">
        <v>2025</v>
      </c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</row>
    <row r="38" spans="1:18" x14ac:dyDescent="0.2">
      <c r="A38" s="12">
        <v>1</v>
      </c>
      <c r="B38" s="12" t="s">
        <v>56</v>
      </c>
      <c r="C38" s="12" t="s">
        <v>26</v>
      </c>
      <c r="D38" s="12">
        <v>8.25</v>
      </c>
      <c r="E38" s="12">
        <v>2025</v>
      </c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</row>
    <row r="39" spans="1:18" x14ac:dyDescent="0.2">
      <c r="A39" s="12">
        <v>1</v>
      </c>
      <c r="B39" s="12" t="s">
        <v>57</v>
      </c>
      <c r="C39" s="12" t="s">
        <v>26</v>
      </c>
      <c r="D39" s="12">
        <v>30.37</v>
      </c>
      <c r="E39" s="12">
        <v>2025</v>
      </c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</row>
    <row r="40" spans="1:18" x14ac:dyDescent="0.2">
      <c r="A40" s="12">
        <v>1</v>
      </c>
      <c r="B40" s="12" t="s">
        <v>58</v>
      </c>
      <c r="C40" s="12" t="s">
        <v>26</v>
      </c>
      <c r="D40" s="12">
        <v>25.02</v>
      </c>
      <c r="E40" s="12">
        <v>2025</v>
      </c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</row>
    <row r="41" spans="1:18" x14ac:dyDescent="0.2">
      <c r="A41" s="12">
        <v>1</v>
      </c>
      <c r="B41" s="12" t="s">
        <v>59</v>
      </c>
      <c r="C41" s="12" t="s">
        <v>26</v>
      </c>
      <c r="D41" s="12">
        <v>21.24</v>
      </c>
      <c r="E41" s="12">
        <v>2025</v>
      </c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</row>
    <row r="42" spans="1:18" x14ac:dyDescent="0.2">
      <c r="A42" s="12">
        <v>1</v>
      </c>
      <c r="B42" s="12" t="s">
        <v>60</v>
      </c>
      <c r="C42" s="12" t="s">
        <v>26</v>
      </c>
      <c r="D42" s="12">
        <v>22.69</v>
      </c>
      <c r="E42" s="12">
        <v>2025</v>
      </c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</row>
    <row r="43" spans="1:18" x14ac:dyDescent="0.2">
      <c r="A43" s="12">
        <v>1</v>
      </c>
      <c r="B43" s="12" t="s">
        <v>61</v>
      </c>
      <c r="C43" s="12" t="s">
        <v>26</v>
      </c>
      <c r="D43" s="12">
        <v>24.24</v>
      </c>
      <c r="E43" s="12">
        <v>2025</v>
      </c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</row>
    <row r="44" spans="1:18" x14ac:dyDescent="0.2">
      <c r="A44" s="12">
        <v>1</v>
      </c>
      <c r="B44" s="12" t="s">
        <v>62</v>
      </c>
      <c r="C44" s="12" t="s">
        <v>26</v>
      </c>
      <c r="D44" s="12">
        <v>17.47</v>
      </c>
      <c r="E44" s="12">
        <v>2026</v>
      </c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</row>
    <row r="45" spans="1:18" x14ac:dyDescent="0.2">
      <c r="A45" s="12">
        <v>1</v>
      </c>
      <c r="B45" s="12" t="s">
        <v>63</v>
      </c>
      <c r="C45" s="12" t="s">
        <v>26</v>
      </c>
      <c r="D45" s="12">
        <v>48.83</v>
      </c>
      <c r="E45" s="12">
        <v>2026</v>
      </c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</row>
    <row r="46" spans="1:18" x14ac:dyDescent="0.2">
      <c r="A46" s="12">
        <v>1</v>
      </c>
      <c r="B46" s="12" t="s">
        <v>64</v>
      </c>
      <c r="C46" s="12" t="s">
        <v>26</v>
      </c>
      <c r="D46" s="12">
        <v>28.89</v>
      </c>
      <c r="E46" s="12">
        <v>2026</v>
      </c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</row>
    <row r="47" spans="1:18" x14ac:dyDescent="0.2">
      <c r="A47" s="12">
        <v>1</v>
      </c>
      <c r="B47" s="12" t="s">
        <v>65</v>
      </c>
      <c r="C47" s="12" t="s">
        <v>26</v>
      </c>
      <c r="D47" s="12">
        <v>28.34</v>
      </c>
      <c r="E47" s="12">
        <v>2026</v>
      </c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</row>
    <row r="48" spans="1:18" x14ac:dyDescent="0.2">
      <c r="A48" s="12">
        <v>1</v>
      </c>
      <c r="B48" s="12" t="s">
        <v>66</v>
      </c>
      <c r="C48" s="12" t="s">
        <v>26</v>
      </c>
      <c r="D48" s="12">
        <v>24.73</v>
      </c>
      <c r="E48" s="12">
        <v>2026</v>
      </c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</row>
    <row r="49" spans="1:18" x14ac:dyDescent="0.2">
      <c r="A49" s="12">
        <v>1</v>
      </c>
      <c r="B49" s="12" t="s">
        <v>67</v>
      </c>
      <c r="C49" s="12" t="s">
        <v>26</v>
      </c>
      <c r="D49" s="12">
        <v>14.35</v>
      </c>
      <c r="E49" s="12">
        <v>2026</v>
      </c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</row>
    <row r="50" spans="1:18" x14ac:dyDescent="0.2">
      <c r="A50" s="12">
        <v>1</v>
      </c>
      <c r="B50" s="12" t="s">
        <v>68</v>
      </c>
      <c r="C50" s="12" t="s">
        <v>26</v>
      </c>
      <c r="D50" s="12">
        <v>38.29</v>
      </c>
      <c r="E50" s="12">
        <v>2026</v>
      </c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</row>
    <row r="51" spans="1:18" x14ac:dyDescent="0.2">
      <c r="A51" s="12">
        <v>1</v>
      </c>
      <c r="B51" s="12" t="s">
        <v>69</v>
      </c>
      <c r="C51" s="12" t="s">
        <v>26</v>
      </c>
      <c r="D51" s="12">
        <v>22.95</v>
      </c>
      <c r="E51" s="12">
        <v>2026</v>
      </c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</row>
    <row r="52" spans="1:18" x14ac:dyDescent="0.2">
      <c r="A52" s="12">
        <v>1</v>
      </c>
      <c r="B52" s="12" t="s">
        <v>70</v>
      </c>
      <c r="C52" s="12" t="s">
        <v>26</v>
      </c>
      <c r="D52" s="12">
        <v>10.119999999999999</v>
      </c>
      <c r="E52" s="12">
        <v>2026</v>
      </c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</row>
    <row r="53" spans="1:18" x14ac:dyDescent="0.2">
      <c r="A53" s="310" t="s">
        <v>71</v>
      </c>
      <c r="B53" s="311"/>
      <c r="C53" s="312"/>
      <c r="D53" s="13">
        <f>SUM(D8:D52)</f>
        <v>1047.0800000000002</v>
      </c>
      <c r="E53" s="13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</row>
    <row r="54" spans="1:18" x14ac:dyDescent="0.2">
      <c r="A54" s="12">
        <v>2</v>
      </c>
      <c r="B54" s="12" t="s">
        <v>72</v>
      </c>
      <c r="C54" s="12" t="s">
        <v>26</v>
      </c>
      <c r="D54" s="12">
        <v>2.83</v>
      </c>
      <c r="E54" s="12">
        <v>1997</v>
      </c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</row>
    <row r="55" spans="1:18" x14ac:dyDescent="0.2">
      <c r="A55" s="12">
        <v>2</v>
      </c>
      <c r="B55" s="12" t="s">
        <v>73</v>
      </c>
      <c r="C55" s="12" t="s">
        <v>26</v>
      </c>
      <c r="D55" s="12">
        <v>13.72</v>
      </c>
      <c r="E55" s="12">
        <v>1997</v>
      </c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</row>
    <row r="56" spans="1:18" x14ac:dyDescent="0.2">
      <c r="A56" s="12">
        <v>2</v>
      </c>
      <c r="B56" s="12" t="s">
        <v>74</v>
      </c>
      <c r="C56" s="12" t="s">
        <v>26</v>
      </c>
      <c r="D56" s="12">
        <v>25.5</v>
      </c>
      <c r="E56" s="12">
        <v>1997</v>
      </c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</row>
    <row r="57" spans="1:18" x14ac:dyDescent="0.2">
      <c r="A57" s="12">
        <v>2</v>
      </c>
      <c r="B57" s="12" t="s">
        <v>75</v>
      </c>
      <c r="C57" s="12" t="s">
        <v>26</v>
      </c>
      <c r="D57" s="12">
        <v>33.6</v>
      </c>
      <c r="E57" s="12">
        <v>1997</v>
      </c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</row>
    <row r="58" spans="1:18" x14ac:dyDescent="0.2">
      <c r="A58" s="12">
        <v>2</v>
      </c>
      <c r="B58" s="12" t="s">
        <v>76</v>
      </c>
      <c r="C58" s="12" t="s">
        <v>26</v>
      </c>
      <c r="D58" s="12">
        <v>32.25</v>
      </c>
      <c r="E58" s="12">
        <v>1997</v>
      </c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</row>
    <row r="59" spans="1:18" x14ac:dyDescent="0.2">
      <c r="A59" s="12">
        <v>2</v>
      </c>
      <c r="B59" s="12" t="s">
        <v>77</v>
      </c>
      <c r="C59" s="12" t="s">
        <v>26</v>
      </c>
      <c r="D59" s="12">
        <v>35.94</v>
      </c>
      <c r="E59" s="12">
        <v>1996</v>
      </c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</row>
    <row r="60" spans="1:18" x14ac:dyDescent="0.2">
      <c r="A60" s="12">
        <v>2</v>
      </c>
      <c r="B60" s="12" t="s">
        <v>78</v>
      </c>
      <c r="C60" s="12" t="s">
        <v>26</v>
      </c>
      <c r="D60" s="12">
        <v>32.69</v>
      </c>
      <c r="E60" s="12">
        <v>1997</v>
      </c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</row>
    <row r="61" spans="1:18" x14ac:dyDescent="0.2">
      <c r="A61" s="12">
        <v>2</v>
      </c>
      <c r="B61" s="12" t="s">
        <v>79</v>
      </c>
      <c r="C61" s="12" t="s">
        <v>26</v>
      </c>
      <c r="D61" s="12">
        <v>36.6</v>
      </c>
      <c r="E61" s="12">
        <v>1996</v>
      </c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</row>
    <row r="62" spans="1:18" x14ac:dyDescent="0.2">
      <c r="A62" s="12">
        <v>2</v>
      </c>
      <c r="B62" s="12" t="s">
        <v>80</v>
      </c>
      <c r="C62" s="12" t="s">
        <v>26</v>
      </c>
      <c r="D62" s="12">
        <v>33.03</v>
      </c>
      <c r="E62" s="12">
        <v>1996</v>
      </c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</row>
    <row r="63" spans="1:18" x14ac:dyDescent="0.2">
      <c r="A63" s="12">
        <v>2</v>
      </c>
      <c r="B63" s="12" t="s">
        <v>81</v>
      </c>
      <c r="C63" s="12" t="s">
        <v>26</v>
      </c>
      <c r="D63" s="12">
        <v>33.15</v>
      </c>
      <c r="E63" s="12">
        <v>1996</v>
      </c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</row>
    <row r="64" spans="1:18" x14ac:dyDescent="0.2">
      <c r="A64" s="12">
        <v>2</v>
      </c>
      <c r="B64" s="12" t="s">
        <v>82</v>
      </c>
      <c r="C64" s="12" t="s">
        <v>26</v>
      </c>
      <c r="D64" s="12">
        <v>35.58</v>
      </c>
      <c r="E64" s="12">
        <v>1997</v>
      </c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</row>
    <row r="65" spans="1:18" x14ac:dyDescent="0.2">
      <c r="A65" s="12">
        <v>2</v>
      </c>
      <c r="B65" s="12" t="s">
        <v>83</v>
      </c>
      <c r="C65" s="12" t="s">
        <v>26</v>
      </c>
      <c r="D65" s="12">
        <v>36.58</v>
      </c>
      <c r="E65" s="12">
        <v>1997</v>
      </c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</row>
    <row r="66" spans="1:18" x14ac:dyDescent="0.2">
      <c r="A66" s="12">
        <v>2</v>
      </c>
      <c r="B66" s="12" t="s">
        <v>84</v>
      </c>
      <c r="C66" s="12" t="s">
        <v>26</v>
      </c>
      <c r="D66" s="12">
        <v>22.62</v>
      </c>
      <c r="E66" s="12">
        <v>1997</v>
      </c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</row>
    <row r="67" spans="1:18" x14ac:dyDescent="0.2">
      <c r="A67" s="12">
        <v>2</v>
      </c>
      <c r="B67" s="12" t="s">
        <v>85</v>
      </c>
      <c r="C67" s="12" t="s">
        <v>26</v>
      </c>
      <c r="D67" s="12">
        <v>30.83</v>
      </c>
      <c r="E67" s="12">
        <v>1997</v>
      </c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</row>
    <row r="68" spans="1:18" x14ac:dyDescent="0.2">
      <c r="A68" s="12">
        <v>2</v>
      </c>
      <c r="B68" s="12" t="s">
        <v>86</v>
      </c>
      <c r="C68" s="12" t="s">
        <v>26</v>
      </c>
      <c r="D68" s="12">
        <v>29.14</v>
      </c>
      <c r="E68" s="12">
        <v>1997</v>
      </c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</row>
    <row r="69" spans="1:18" x14ac:dyDescent="0.2">
      <c r="A69" s="12">
        <v>2</v>
      </c>
      <c r="B69" s="12" t="s">
        <v>87</v>
      </c>
      <c r="C69" s="12" t="s">
        <v>26</v>
      </c>
      <c r="D69" s="12">
        <v>32.36</v>
      </c>
      <c r="E69" s="12">
        <v>1997</v>
      </c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</row>
    <row r="70" spans="1:18" x14ac:dyDescent="0.2">
      <c r="A70" s="12">
        <v>2</v>
      </c>
      <c r="B70" s="12" t="s">
        <v>88</v>
      </c>
      <c r="C70" s="12" t="s">
        <v>26</v>
      </c>
      <c r="D70" s="12">
        <v>32.520000000000003</v>
      </c>
      <c r="E70" s="12">
        <v>1997</v>
      </c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</row>
    <row r="71" spans="1:18" x14ac:dyDescent="0.2">
      <c r="A71" s="12">
        <v>2</v>
      </c>
      <c r="B71" s="12" t="s">
        <v>89</v>
      </c>
      <c r="C71" s="12" t="s">
        <v>26</v>
      </c>
      <c r="D71" s="12">
        <v>31.73</v>
      </c>
      <c r="E71" s="12">
        <v>1997</v>
      </c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</row>
    <row r="72" spans="1:18" x14ac:dyDescent="0.2">
      <c r="A72" s="12">
        <v>2</v>
      </c>
      <c r="B72" s="12" t="s">
        <v>90</v>
      </c>
      <c r="C72" s="12" t="s">
        <v>26</v>
      </c>
      <c r="D72" s="12">
        <v>33.07</v>
      </c>
      <c r="E72" s="12">
        <v>1996</v>
      </c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</row>
    <row r="73" spans="1:18" x14ac:dyDescent="0.2">
      <c r="A73" s="12">
        <v>2</v>
      </c>
      <c r="B73" s="12" t="s">
        <v>91</v>
      </c>
      <c r="C73" s="12" t="s">
        <v>26</v>
      </c>
      <c r="D73" s="12">
        <v>31.59</v>
      </c>
      <c r="E73" s="12">
        <v>1996</v>
      </c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</row>
    <row r="74" spans="1:18" x14ac:dyDescent="0.2">
      <c r="A74" s="12">
        <v>2</v>
      </c>
      <c r="B74" s="12" t="s">
        <v>92</v>
      </c>
      <c r="C74" s="12" t="s">
        <v>26</v>
      </c>
      <c r="D74" s="12">
        <v>33.049999999999997</v>
      </c>
      <c r="E74" s="12">
        <v>1996</v>
      </c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</row>
    <row r="75" spans="1:18" x14ac:dyDescent="0.2">
      <c r="A75" s="12">
        <v>2</v>
      </c>
      <c r="B75" s="12" t="s">
        <v>93</v>
      </c>
      <c r="C75" s="12" t="s">
        <v>26</v>
      </c>
      <c r="D75" s="12">
        <v>30.13</v>
      </c>
      <c r="E75" s="12">
        <v>1996</v>
      </c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</row>
    <row r="76" spans="1:18" x14ac:dyDescent="0.2">
      <c r="A76" s="12">
        <v>2</v>
      </c>
      <c r="B76" s="12" t="s">
        <v>94</v>
      </c>
      <c r="C76" s="12" t="s">
        <v>26</v>
      </c>
      <c r="D76" s="12">
        <v>30.41</v>
      </c>
      <c r="E76" s="12">
        <v>1996</v>
      </c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</row>
    <row r="77" spans="1:18" x14ac:dyDescent="0.2">
      <c r="A77" s="12">
        <v>2</v>
      </c>
      <c r="B77" s="12" t="s">
        <v>95</v>
      </c>
      <c r="C77" s="12" t="s">
        <v>26</v>
      </c>
      <c r="D77" s="12">
        <v>30.58</v>
      </c>
      <c r="E77" s="12">
        <v>1996</v>
      </c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</row>
    <row r="78" spans="1:18" x14ac:dyDescent="0.2">
      <c r="A78" s="12">
        <v>2</v>
      </c>
      <c r="B78" s="12" t="s">
        <v>96</v>
      </c>
      <c r="C78" s="12" t="s">
        <v>26</v>
      </c>
      <c r="D78" s="12">
        <v>29.91</v>
      </c>
      <c r="E78" s="12">
        <v>1996</v>
      </c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</row>
    <row r="79" spans="1:18" x14ac:dyDescent="0.2">
      <c r="A79" s="12">
        <v>2</v>
      </c>
      <c r="B79" s="12" t="s">
        <v>97</v>
      </c>
      <c r="C79" s="12" t="s">
        <v>26</v>
      </c>
      <c r="D79" s="12">
        <v>30.33</v>
      </c>
      <c r="E79" s="12">
        <v>1997</v>
      </c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</row>
    <row r="80" spans="1:18" x14ac:dyDescent="0.2">
      <c r="A80" s="12">
        <v>2</v>
      </c>
      <c r="B80" s="12" t="s">
        <v>98</v>
      </c>
      <c r="C80" s="12" t="s">
        <v>26</v>
      </c>
      <c r="D80" s="12">
        <v>30.55</v>
      </c>
      <c r="E80" s="12">
        <v>1997</v>
      </c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</row>
    <row r="81" spans="1:18" x14ac:dyDescent="0.2">
      <c r="A81" s="12">
        <v>2</v>
      </c>
      <c r="B81" s="12" t="s">
        <v>99</v>
      </c>
      <c r="C81" s="12" t="s">
        <v>26</v>
      </c>
      <c r="D81" s="12">
        <v>29.63</v>
      </c>
      <c r="E81" s="12">
        <v>1997</v>
      </c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</row>
    <row r="82" spans="1:18" x14ac:dyDescent="0.2">
      <c r="A82" s="12">
        <v>2</v>
      </c>
      <c r="B82" s="12" t="s">
        <v>100</v>
      </c>
      <c r="C82" s="12" t="s">
        <v>26</v>
      </c>
      <c r="D82" s="12">
        <v>27.82</v>
      </c>
      <c r="E82" s="12">
        <v>1996</v>
      </c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</row>
    <row r="83" spans="1:18" x14ac:dyDescent="0.2">
      <c r="A83" s="12">
        <v>2</v>
      </c>
      <c r="B83" s="12" t="s">
        <v>101</v>
      </c>
      <c r="C83" s="12" t="s">
        <v>26</v>
      </c>
      <c r="D83" s="12">
        <v>27.68</v>
      </c>
      <c r="E83" s="12">
        <v>1996</v>
      </c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</row>
    <row r="84" spans="1:18" x14ac:dyDescent="0.2">
      <c r="A84" s="12">
        <v>2</v>
      </c>
      <c r="B84" s="12" t="s">
        <v>102</v>
      </c>
      <c r="C84" s="12" t="s">
        <v>26</v>
      </c>
      <c r="D84" s="12">
        <v>27.83</v>
      </c>
      <c r="E84" s="12">
        <v>1996</v>
      </c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</row>
    <row r="85" spans="1:18" x14ac:dyDescent="0.2">
      <c r="A85" s="12">
        <v>2</v>
      </c>
      <c r="B85" s="12" t="s">
        <v>103</v>
      </c>
      <c r="C85" s="12" t="s">
        <v>26</v>
      </c>
      <c r="D85" s="12">
        <v>27.51</v>
      </c>
      <c r="E85" s="12">
        <v>1996</v>
      </c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</row>
    <row r="86" spans="1:18" x14ac:dyDescent="0.2">
      <c r="A86" s="12">
        <v>2</v>
      </c>
      <c r="B86" s="12" t="s">
        <v>104</v>
      </c>
      <c r="C86" s="12" t="s">
        <v>26</v>
      </c>
      <c r="D86" s="12">
        <v>26.43</v>
      </c>
      <c r="E86" s="12">
        <v>1997</v>
      </c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</row>
    <row r="87" spans="1:18" x14ac:dyDescent="0.2">
      <c r="A87" s="12">
        <v>2</v>
      </c>
      <c r="B87" s="12" t="s">
        <v>105</v>
      </c>
      <c r="C87" s="12" t="s">
        <v>26</v>
      </c>
      <c r="D87" s="12">
        <v>28.92</v>
      </c>
      <c r="E87" s="12">
        <v>1996</v>
      </c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</row>
    <row r="88" spans="1:18" x14ac:dyDescent="0.2">
      <c r="A88" s="12">
        <v>2</v>
      </c>
      <c r="B88" s="12" t="s">
        <v>106</v>
      </c>
      <c r="C88" s="12" t="s">
        <v>26</v>
      </c>
      <c r="D88" s="12">
        <v>28.55</v>
      </c>
      <c r="E88" s="12">
        <v>1996</v>
      </c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</row>
    <row r="89" spans="1:18" x14ac:dyDescent="0.2">
      <c r="A89" s="12">
        <v>2</v>
      </c>
      <c r="B89" s="12" t="s">
        <v>107</v>
      </c>
      <c r="C89" s="12" t="s">
        <v>26</v>
      </c>
      <c r="D89" s="12">
        <v>28.47</v>
      </c>
      <c r="E89" s="12">
        <v>1996</v>
      </c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</row>
    <row r="90" spans="1:18" x14ac:dyDescent="0.2">
      <c r="A90" s="12">
        <v>2</v>
      </c>
      <c r="B90" s="12" t="s">
        <v>108</v>
      </c>
      <c r="C90" s="12" t="s">
        <v>26</v>
      </c>
      <c r="D90" s="12">
        <v>29.95</v>
      </c>
      <c r="E90" s="12">
        <v>1996</v>
      </c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</row>
    <row r="91" spans="1:18" x14ac:dyDescent="0.2">
      <c r="A91" s="12">
        <v>2</v>
      </c>
      <c r="B91" s="12" t="s">
        <v>109</v>
      </c>
      <c r="C91" s="12" t="s">
        <v>26</v>
      </c>
      <c r="D91" s="12">
        <v>28.23</v>
      </c>
      <c r="E91" s="12">
        <v>1996</v>
      </c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</row>
    <row r="92" spans="1:18" x14ac:dyDescent="0.2">
      <c r="A92" s="310" t="s">
        <v>71</v>
      </c>
      <c r="B92" s="311"/>
      <c r="C92" s="312"/>
      <c r="D92" s="13">
        <f>SUM(D54:D91)</f>
        <v>1121.31</v>
      </c>
      <c r="E92" s="13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</row>
    <row r="93" spans="1:18" x14ac:dyDescent="0.2">
      <c r="A93" s="12">
        <v>3</v>
      </c>
      <c r="B93" s="12" t="s">
        <v>110</v>
      </c>
      <c r="C93" s="12" t="s">
        <v>26</v>
      </c>
      <c r="D93" s="12">
        <v>27.66</v>
      </c>
      <c r="E93" s="12">
        <v>1997</v>
      </c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</row>
    <row r="94" spans="1:18" x14ac:dyDescent="0.2">
      <c r="A94" s="12">
        <v>3</v>
      </c>
      <c r="B94" s="12" t="s">
        <v>111</v>
      </c>
      <c r="C94" s="12" t="s">
        <v>26</v>
      </c>
      <c r="D94" s="12">
        <v>28.78</v>
      </c>
      <c r="E94" s="12">
        <v>1997</v>
      </c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</row>
    <row r="95" spans="1:18" x14ac:dyDescent="0.2">
      <c r="A95" s="12">
        <v>3</v>
      </c>
      <c r="B95" s="12" t="s">
        <v>112</v>
      </c>
      <c r="C95" s="12" t="s">
        <v>26</v>
      </c>
      <c r="D95" s="12">
        <v>29.35</v>
      </c>
      <c r="E95" s="12">
        <v>1997</v>
      </c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</row>
    <row r="96" spans="1:18" x14ac:dyDescent="0.2">
      <c r="A96" s="12">
        <v>3</v>
      </c>
      <c r="B96" s="12" t="s">
        <v>113</v>
      </c>
      <c r="C96" s="12" t="s">
        <v>26</v>
      </c>
      <c r="D96" s="12">
        <v>28.38</v>
      </c>
      <c r="E96" s="12">
        <v>1996</v>
      </c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</row>
    <row r="97" spans="1:18" x14ac:dyDescent="0.2">
      <c r="A97" s="12">
        <v>3</v>
      </c>
      <c r="B97" s="12" t="s">
        <v>114</v>
      </c>
      <c r="C97" s="12" t="s">
        <v>26</v>
      </c>
      <c r="D97" s="12">
        <v>30.21</v>
      </c>
      <c r="E97" s="12">
        <v>1996</v>
      </c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</row>
    <row r="98" spans="1:18" x14ac:dyDescent="0.2">
      <c r="A98" s="12">
        <v>3</v>
      </c>
      <c r="B98" s="12" t="s">
        <v>115</v>
      </c>
      <c r="C98" s="12" t="s">
        <v>26</v>
      </c>
      <c r="D98" s="12">
        <v>29.59</v>
      </c>
      <c r="E98" s="12">
        <v>1996</v>
      </c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</row>
    <row r="99" spans="1:18" x14ac:dyDescent="0.2">
      <c r="A99" s="12">
        <v>3</v>
      </c>
      <c r="B99" s="12" t="s">
        <v>116</v>
      </c>
      <c r="C99" s="12" t="s">
        <v>26</v>
      </c>
      <c r="D99" s="12">
        <v>29.73</v>
      </c>
      <c r="E99" s="12">
        <v>1996</v>
      </c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</row>
    <row r="100" spans="1:18" x14ac:dyDescent="0.2">
      <c r="A100" s="12">
        <v>3</v>
      </c>
      <c r="B100" s="12" t="s">
        <v>117</v>
      </c>
      <c r="C100" s="12" t="s">
        <v>26</v>
      </c>
      <c r="D100" s="12">
        <v>29.87</v>
      </c>
      <c r="E100" s="12">
        <v>1997</v>
      </c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</row>
    <row r="101" spans="1:18" x14ac:dyDescent="0.2">
      <c r="A101" s="12">
        <v>3</v>
      </c>
      <c r="B101" s="12" t="s">
        <v>118</v>
      </c>
      <c r="C101" s="12" t="s">
        <v>26</v>
      </c>
      <c r="D101" s="12">
        <v>30.01</v>
      </c>
      <c r="E101" s="12">
        <v>1996</v>
      </c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</row>
    <row r="102" spans="1:18" x14ac:dyDescent="0.2">
      <c r="A102" s="12">
        <v>3</v>
      </c>
      <c r="B102" s="12" t="s">
        <v>119</v>
      </c>
      <c r="C102" s="12" t="s">
        <v>26</v>
      </c>
      <c r="D102" s="12">
        <v>29.74</v>
      </c>
      <c r="E102" s="12">
        <v>1997</v>
      </c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</row>
    <row r="103" spans="1:18" x14ac:dyDescent="0.2">
      <c r="A103" s="12">
        <v>3</v>
      </c>
      <c r="B103" s="12" t="s">
        <v>120</v>
      </c>
      <c r="C103" s="12" t="s">
        <v>26</v>
      </c>
      <c r="D103" s="12">
        <v>30.38</v>
      </c>
      <c r="E103" s="12">
        <v>1996</v>
      </c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</row>
    <row r="104" spans="1:18" x14ac:dyDescent="0.2">
      <c r="A104" s="12">
        <v>3</v>
      </c>
      <c r="B104" s="12" t="s">
        <v>121</v>
      </c>
      <c r="C104" s="12" t="s">
        <v>26</v>
      </c>
      <c r="D104" s="12">
        <v>30.61</v>
      </c>
      <c r="E104" s="12">
        <v>1996</v>
      </c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</row>
    <row r="105" spans="1:18" x14ac:dyDescent="0.2">
      <c r="A105" s="12">
        <v>3</v>
      </c>
      <c r="B105" s="12" t="s">
        <v>122</v>
      </c>
      <c r="C105" s="12" t="s">
        <v>26</v>
      </c>
      <c r="D105" s="12">
        <v>29.7</v>
      </c>
      <c r="E105" s="12">
        <v>1996</v>
      </c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</row>
    <row r="106" spans="1:18" x14ac:dyDescent="0.2">
      <c r="A106" s="12">
        <v>3</v>
      </c>
      <c r="B106" s="12" t="s">
        <v>123</v>
      </c>
      <c r="C106" s="12" t="s">
        <v>26</v>
      </c>
      <c r="D106" s="12">
        <v>28.71</v>
      </c>
      <c r="E106" s="12">
        <v>1997</v>
      </c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</row>
    <row r="107" spans="1:18" x14ac:dyDescent="0.2">
      <c r="A107" s="12">
        <v>3</v>
      </c>
      <c r="B107" s="12" t="s">
        <v>124</v>
      </c>
      <c r="C107" s="12" t="s">
        <v>26</v>
      </c>
      <c r="D107" s="12">
        <v>30.04</v>
      </c>
      <c r="E107" s="12">
        <v>1997</v>
      </c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</row>
    <row r="108" spans="1:18" x14ac:dyDescent="0.2">
      <c r="A108" s="12">
        <v>3</v>
      </c>
      <c r="B108" s="12" t="s">
        <v>125</v>
      </c>
      <c r="C108" s="12" t="s">
        <v>26</v>
      </c>
      <c r="D108" s="12">
        <v>30.11</v>
      </c>
      <c r="E108" s="12">
        <v>1997</v>
      </c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</row>
    <row r="109" spans="1:18" x14ac:dyDescent="0.2">
      <c r="A109" s="12">
        <v>3</v>
      </c>
      <c r="B109" s="12" t="s">
        <v>126</v>
      </c>
      <c r="C109" s="12" t="s">
        <v>26</v>
      </c>
      <c r="D109" s="12">
        <v>30.46</v>
      </c>
      <c r="E109" s="12">
        <v>1997</v>
      </c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</row>
    <row r="110" spans="1:18" x14ac:dyDescent="0.2">
      <c r="A110" s="12">
        <v>3</v>
      </c>
      <c r="B110" s="12" t="s">
        <v>127</v>
      </c>
      <c r="C110" s="12" t="s">
        <v>26</v>
      </c>
      <c r="D110" s="12">
        <v>30.31</v>
      </c>
      <c r="E110" s="12">
        <v>1997</v>
      </c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</row>
    <row r="111" spans="1:18" x14ac:dyDescent="0.2">
      <c r="A111" s="12">
        <v>3</v>
      </c>
      <c r="B111" s="12" t="s">
        <v>128</v>
      </c>
      <c r="C111" s="12" t="s">
        <v>26</v>
      </c>
      <c r="D111" s="12">
        <v>31.15</v>
      </c>
      <c r="E111" s="12">
        <v>1996</v>
      </c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</row>
    <row r="112" spans="1:18" x14ac:dyDescent="0.2">
      <c r="A112" s="12">
        <v>3</v>
      </c>
      <c r="B112" s="12" t="s">
        <v>129</v>
      </c>
      <c r="C112" s="12" t="s">
        <v>26</v>
      </c>
      <c r="D112" s="12">
        <v>30.26</v>
      </c>
      <c r="E112" s="12">
        <v>1996</v>
      </c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</row>
    <row r="113" spans="1:18" x14ac:dyDescent="0.2">
      <c r="A113" s="12">
        <v>3</v>
      </c>
      <c r="B113" s="12" t="s">
        <v>130</v>
      </c>
      <c r="C113" s="12" t="s">
        <v>26</v>
      </c>
      <c r="D113" s="12">
        <v>30.35</v>
      </c>
      <c r="E113" s="12">
        <v>1996</v>
      </c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</row>
    <row r="114" spans="1:18" x14ac:dyDescent="0.2">
      <c r="A114" s="12">
        <v>3</v>
      </c>
      <c r="B114" s="12" t="s">
        <v>131</v>
      </c>
      <c r="C114" s="12" t="s">
        <v>26</v>
      </c>
      <c r="D114" s="12">
        <v>30.17</v>
      </c>
      <c r="E114" s="12">
        <v>1996</v>
      </c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</row>
    <row r="115" spans="1:18" x14ac:dyDescent="0.2">
      <c r="A115" s="12">
        <v>3</v>
      </c>
      <c r="B115" s="12" t="s">
        <v>132</v>
      </c>
      <c r="C115" s="12" t="s">
        <v>26</v>
      </c>
      <c r="D115" s="12">
        <v>29.46</v>
      </c>
      <c r="E115" s="12">
        <v>1996</v>
      </c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</row>
    <row r="116" spans="1:18" x14ac:dyDescent="0.2">
      <c r="A116" s="12">
        <v>3</v>
      </c>
      <c r="B116" s="12" t="s">
        <v>133</v>
      </c>
      <c r="C116" s="12" t="s">
        <v>26</v>
      </c>
      <c r="D116" s="12">
        <v>30.44</v>
      </c>
      <c r="E116" s="12">
        <v>1996</v>
      </c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</row>
    <row r="117" spans="1:18" x14ac:dyDescent="0.2">
      <c r="A117" s="12">
        <v>3</v>
      </c>
      <c r="B117" s="12" t="s">
        <v>134</v>
      </c>
      <c r="C117" s="12" t="s">
        <v>26</v>
      </c>
      <c r="D117" s="12">
        <v>29.85</v>
      </c>
      <c r="E117" s="12">
        <v>1996</v>
      </c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</row>
    <row r="118" spans="1:18" x14ac:dyDescent="0.2">
      <c r="A118" s="12">
        <v>3</v>
      </c>
      <c r="B118" s="12" t="s">
        <v>135</v>
      </c>
      <c r="C118" s="12" t="s">
        <v>26</v>
      </c>
      <c r="D118" s="12">
        <v>29.45</v>
      </c>
      <c r="E118" s="12">
        <v>1996</v>
      </c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</row>
    <row r="119" spans="1:18" x14ac:dyDescent="0.2">
      <c r="A119" s="12">
        <v>3</v>
      </c>
      <c r="B119" s="12" t="s">
        <v>136</v>
      </c>
      <c r="C119" s="12" t="s">
        <v>26</v>
      </c>
      <c r="D119" s="12">
        <v>32.07</v>
      </c>
      <c r="E119" s="12">
        <v>1997</v>
      </c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</row>
    <row r="120" spans="1:18" x14ac:dyDescent="0.2">
      <c r="A120" s="12">
        <v>3</v>
      </c>
      <c r="B120" s="12" t="s">
        <v>137</v>
      </c>
      <c r="C120" s="12" t="s">
        <v>26</v>
      </c>
      <c r="D120" s="12">
        <v>28.24</v>
      </c>
      <c r="E120" s="12">
        <v>1997</v>
      </c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</row>
    <row r="121" spans="1:18" x14ac:dyDescent="0.2">
      <c r="A121" s="12">
        <v>3</v>
      </c>
      <c r="B121" s="12" t="s">
        <v>138</v>
      </c>
      <c r="C121" s="12" t="s">
        <v>26</v>
      </c>
      <c r="D121" s="12">
        <v>28.72</v>
      </c>
      <c r="E121" s="12">
        <v>1997</v>
      </c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</row>
    <row r="122" spans="1:18" x14ac:dyDescent="0.2">
      <c r="A122" s="12">
        <v>3</v>
      </c>
      <c r="B122" s="12" t="s">
        <v>139</v>
      </c>
      <c r="C122" s="12" t="s">
        <v>26</v>
      </c>
      <c r="D122" s="12">
        <v>31.29</v>
      </c>
      <c r="E122" s="12">
        <v>1997</v>
      </c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</row>
    <row r="123" spans="1:18" x14ac:dyDescent="0.2">
      <c r="A123" s="12">
        <v>3</v>
      </c>
      <c r="B123" s="12" t="s">
        <v>140</v>
      </c>
      <c r="C123" s="12" t="s">
        <v>26</v>
      </c>
      <c r="D123" s="12">
        <v>29.26</v>
      </c>
      <c r="E123" s="12">
        <v>1997</v>
      </c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</row>
    <row r="124" spans="1:18" x14ac:dyDescent="0.2">
      <c r="A124" s="12">
        <v>3</v>
      </c>
      <c r="B124" s="12" t="s">
        <v>141</v>
      </c>
      <c r="C124" s="12" t="s">
        <v>26</v>
      </c>
      <c r="D124" s="12">
        <v>31.14</v>
      </c>
      <c r="E124" s="12">
        <v>1996</v>
      </c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</row>
    <row r="125" spans="1:18" x14ac:dyDescent="0.2">
      <c r="A125" s="12">
        <v>3</v>
      </c>
      <c r="B125" s="12" t="s">
        <v>142</v>
      </c>
      <c r="C125" s="12" t="s">
        <v>26</v>
      </c>
      <c r="D125" s="12">
        <v>30.04</v>
      </c>
      <c r="E125" s="12">
        <v>1997</v>
      </c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</row>
    <row r="126" spans="1:18" x14ac:dyDescent="0.2">
      <c r="A126" s="12">
        <v>3</v>
      </c>
      <c r="B126" s="12" t="s">
        <v>143</v>
      </c>
      <c r="C126" s="12" t="s">
        <v>26</v>
      </c>
      <c r="D126" s="12">
        <v>29.36</v>
      </c>
      <c r="E126" s="12">
        <v>1997</v>
      </c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</row>
    <row r="127" spans="1:18" x14ac:dyDescent="0.2">
      <c r="A127" s="12">
        <v>3</v>
      </c>
      <c r="B127" s="12" t="s">
        <v>144</v>
      </c>
      <c r="C127" s="12" t="s">
        <v>26</v>
      </c>
      <c r="D127" s="12">
        <v>30.39</v>
      </c>
      <c r="E127" s="12">
        <v>1997</v>
      </c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</row>
    <row r="128" spans="1:18" x14ac:dyDescent="0.2">
      <c r="A128" s="12">
        <v>3</v>
      </c>
      <c r="B128" s="12" t="s">
        <v>145</v>
      </c>
      <c r="C128" s="12" t="s">
        <v>26</v>
      </c>
      <c r="D128" s="12">
        <v>29.62</v>
      </c>
      <c r="E128" s="12">
        <v>1996</v>
      </c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</row>
    <row r="129" spans="1:18" x14ac:dyDescent="0.2">
      <c r="A129" s="12">
        <v>3</v>
      </c>
      <c r="B129" s="12" t="s">
        <v>146</v>
      </c>
      <c r="C129" s="12" t="s">
        <v>26</v>
      </c>
      <c r="D129" s="12">
        <v>30.55</v>
      </c>
      <c r="E129" s="12">
        <v>1996</v>
      </c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</row>
    <row r="130" spans="1:18" x14ac:dyDescent="0.2">
      <c r="A130" s="12">
        <v>3</v>
      </c>
      <c r="B130" s="12" t="s">
        <v>147</v>
      </c>
      <c r="C130" s="12" t="s">
        <v>26</v>
      </c>
      <c r="D130" s="12">
        <v>30.89</v>
      </c>
      <c r="E130" s="12">
        <v>1996</v>
      </c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</row>
    <row r="131" spans="1:18" x14ac:dyDescent="0.2">
      <c r="A131" s="12">
        <v>3</v>
      </c>
      <c r="B131" s="12" t="s">
        <v>148</v>
      </c>
      <c r="C131" s="12" t="s">
        <v>26</v>
      </c>
      <c r="D131" s="12">
        <v>31.76</v>
      </c>
      <c r="E131" s="12">
        <v>1996</v>
      </c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</row>
    <row r="132" spans="1:18" x14ac:dyDescent="0.2">
      <c r="A132" s="310" t="s">
        <v>71</v>
      </c>
      <c r="B132" s="311"/>
      <c r="C132" s="312"/>
      <c r="D132" s="13">
        <f>SUM(D93:D131)</f>
        <v>1168.1000000000001</v>
      </c>
      <c r="E132" s="13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</row>
    <row r="133" spans="1:18" x14ac:dyDescent="0.2">
      <c r="A133" s="12">
        <v>4</v>
      </c>
      <c r="B133" s="12" t="s">
        <v>149</v>
      </c>
      <c r="C133" s="12" t="s">
        <v>26</v>
      </c>
      <c r="D133" s="12">
        <v>0.99</v>
      </c>
      <c r="E133" s="12">
        <v>1997</v>
      </c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</row>
    <row r="134" spans="1:18" x14ac:dyDescent="0.2">
      <c r="A134" s="12">
        <v>4</v>
      </c>
      <c r="B134" s="12" t="s">
        <v>150</v>
      </c>
      <c r="C134" s="12" t="s">
        <v>26</v>
      </c>
      <c r="D134" s="12">
        <v>10.15</v>
      </c>
      <c r="E134" s="12">
        <v>1997</v>
      </c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</row>
    <row r="135" spans="1:18" x14ac:dyDescent="0.2">
      <c r="A135" s="12">
        <v>4</v>
      </c>
      <c r="B135" s="12" t="s">
        <v>151</v>
      </c>
      <c r="C135" s="12" t="s">
        <v>26</v>
      </c>
      <c r="D135" s="12">
        <v>1.9</v>
      </c>
      <c r="E135" s="12">
        <v>1997</v>
      </c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</row>
    <row r="136" spans="1:18" x14ac:dyDescent="0.2">
      <c r="A136" s="12">
        <v>4</v>
      </c>
      <c r="B136" s="12" t="s">
        <v>152</v>
      </c>
      <c r="C136" s="12" t="s">
        <v>26</v>
      </c>
      <c r="D136" s="12">
        <v>14.17</v>
      </c>
      <c r="E136" s="12">
        <v>1997</v>
      </c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</row>
    <row r="137" spans="1:18" x14ac:dyDescent="0.2">
      <c r="A137" s="12">
        <v>4</v>
      </c>
      <c r="B137" s="12" t="s">
        <v>153</v>
      </c>
      <c r="C137" s="12" t="s">
        <v>26</v>
      </c>
      <c r="D137" s="12">
        <v>27.74</v>
      </c>
      <c r="E137" s="12">
        <v>1997</v>
      </c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</row>
    <row r="138" spans="1:18" x14ac:dyDescent="0.2">
      <c r="A138" s="12">
        <v>4</v>
      </c>
      <c r="B138" s="12" t="s">
        <v>154</v>
      </c>
      <c r="C138" s="12" t="s">
        <v>26</v>
      </c>
      <c r="D138" s="12">
        <v>29.3</v>
      </c>
      <c r="E138" s="12">
        <v>1997</v>
      </c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</row>
    <row r="139" spans="1:18" x14ac:dyDescent="0.2">
      <c r="A139" s="12">
        <v>4</v>
      </c>
      <c r="B139" s="12" t="s">
        <v>155</v>
      </c>
      <c r="C139" s="12" t="s">
        <v>26</v>
      </c>
      <c r="D139" s="12">
        <v>1.48</v>
      </c>
      <c r="E139" s="12">
        <v>1997</v>
      </c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</row>
    <row r="140" spans="1:18" x14ac:dyDescent="0.2">
      <c r="A140" s="12">
        <v>4</v>
      </c>
      <c r="B140" s="12" t="s">
        <v>156</v>
      </c>
      <c r="C140" s="12" t="s">
        <v>26</v>
      </c>
      <c r="D140" s="12">
        <v>13.88</v>
      </c>
      <c r="E140" s="12">
        <v>1997</v>
      </c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</row>
    <row r="141" spans="1:18" x14ac:dyDescent="0.2">
      <c r="A141" s="12">
        <v>4</v>
      </c>
      <c r="B141" s="12" t="s">
        <v>157</v>
      </c>
      <c r="C141" s="12" t="s">
        <v>26</v>
      </c>
      <c r="D141" s="12">
        <v>27.64</v>
      </c>
      <c r="E141" s="12">
        <v>1997</v>
      </c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</row>
    <row r="142" spans="1:18" x14ac:dyDescent="0.2">
      <c r="A142" s="12">
        <v>4</v>
      </c>
      <c r="B142" s="12" t="s">
        <v>158</v>
      </c>
      <c r="C142" s="12" t="s">
        <v>26</v>
      </c>
      <c r="D142" s="12">
        <v>28.08</v>
      </c>
      <c r="E142" s="12">
        <v>1997</v>
      </c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</row>
    <row r="143" spans="1:18" x14ac:dyDescent="0.2">
      <c r="A143" s="12">
        <v>4</v>
      </c>
      <c r="B143" s="12" t="s">
        <v>159</v>
      </c>
      <c r="C143" s="12" t="s">
        <v>26</v>
      </c>
      <c r="D143" s="12">
        <v>28.21</v>
      </c>
      <c r="E143" s="12">
        <v>1997</v>
      </c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</row>
    <row r="144" spans="1:18" x14ac:dyDescent="0.2">
      <c r="A144" s="12">
        <v>4</v>
      </c>
      <c r="B144" s="12" t="s">
        <v>160</v>
      </c>
      <c r="C144" s="12" t="s">
        <v>26</v>
      </c>
      <c r="D144" s="12">
        <v>27.4</v>
      </c>
      <c r="E144" s="12">
        <v>1997</v>
      </c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</row>
    <row r="145" spans="1:18" x14ac:dyDescent="0.2">
      <c r="A145" s="12">
        <v>4</v>
      </c>
      <c r="B145" s="12" t="s">
        <v>161</v>
      </c>
      <c r="C145" s="12" t="s">
        <v>26</v>
      </c>
      <c r="D145" s="12">
        <v>3.92</v>
      </c>
      <c r="E145" s="12">
        <v>1997</v>
      </c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</row>
    <row r="146" spans="1:18" x14ac:dyDescent="0.2">
      <c r="A146" s="12">
        <v>4</v>
      </c>
      <c r="B146" s="12" t="s">
        <v>162</v>
      </c>
      <c r="C146" s="12" t="s">
        <v>26</v>
      </c>
      <c r="D146" s="12">
        <v>16.7</v>
      </c>
      <c r="E146" s="12">
        <v>1997</v>
      </c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</row>
    <row r="147" spans="1:18" x14ac:dyDescent="0.2">
      <c r="A147" s="12">
        <v>4</v>
      </c>
      <c r="B147" s="12" t="s">
        <v>163</v>
      </c>
      <c r="C147" s="12" t="s">
        <v>26</v>
      </c>
      <c r="D147" s="12">
        <v>29.13</v>
      </c>
      <c r="E147" s="12">
        <v>1997</v>
      </c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</row>
    <row r="148" spans="1:18" x14ac:dyDescent="0.2">
      <c r="A148" s="12">
        <v>4</v>
      </c>
      <c r="B148" s="12" t="s">
        <v>164</v>
      </c>
      <c r="C148" s="12" t="s">
        <v>26</v>
      </c>
      <c r="D148" s="12">
        <v>31.27</v>
      </c>
      <c r="E148" s="12">
        <v>1997</v>
      </c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</row>
    <row r="149" spans="1:18" x14ac:dyDescent="0.2">
      <c r="A149" s="12">
        <v>4</v>
      </c>
      <c r="B149" s="12" t="s">
        <v>165</v>
      </c>
      <c r="C149" s="12" t="s">
        <v>26</v>
      </c>
      <c r="D149" s="12">
        <v>31.22</v>
      </c>
      <c r="E149" s="12">
        <v>1997</v>
      </c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</row>
    <row r="150" spans="1:18" x14ac:dyDescent="0.2">
      <c r="A150" s="12">
        <v>4</v>
      </c>
      <c r="B150" s="12" t="s">
        <v>166</v>
      </c>
      <c r="C150" s="12" t="s">
        <v>26</v>
      </c>
      <c r="D150" s="12">
        <v>31.24</v>
      </c>
      <c r="E150" s="12">
        <v>1997</v>
      </c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</row>
    <row r="151" spans="1:18" x14ac:dyDescent="0.2">
      <c r="A151" s="12">
        <v>4</v>
      </c>
      <c r="B151" s="12" t="s">
        <v>167</v>
      </c>
      <c r="C151" s="12" t="s">
        <v>26</v>
      </c>
      <c r="D151" s="12">
        <v>30.91</v>
      </c>
      <c r="E151" s="12">
        <v>1997</v>
      </c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</row>
    <row r="152" spans="1:18" x14ac:dyDescent="0.2">
      <c r="A152" s="12">
        <v>4</v>
      </c>
      <c r="B152" s="12" t="s">
        <v>168</v>
      </c>
      <c r="C152" s="12" t="s">
        <v>26</v>
      </c>
      <c r="D152" s="12">
        <v>30.15</v>
      </c>
      <c r="E152" s="12">
        <v>1997</v>
      </c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</row>
    <row r="153" spans="1:18" x14ac:dyDescent="0.2">
      <c r="A153" s="12">
        <v>4</v>
      </c>
      <c r="B153" s="12" t="s">
        <v>169</v>
      </c>
      <c r="C153" s="12" t="s">
        <v>26</v>
      </c>
      <c r="D153" s="12">
        <v>33.74</v>
      </c>
      <c r="E153" s="12">
        <v>1997</v>
      </c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</row>
    <row r="154" spans="1:18" x14ac:dyDescent="0.2">
      <c r="A154" s="12">
        <v>4</v>
      </c>
      <c r="B154" s="12" t="s">
        <v>170</v>
      </c>
      <c r="C154" s="12" t="s">
        <v>26</v>
      </c>
      <c r="D154" s="12">
        <v>31.46</v>
      </c>
      <c r="E154" s="12">
        <v>1997</v>
      </c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</row>
    <row r="155" spans="1:18" x14ac:dyDescent="0.2">
      <c r="A155" s="12">
        <v>4</v>
      </c>
      <c r="B155" s="12" t="s">
        <v>171</v>
      </c>
      <c r="C155" s="12" t="s">
        <v>26</v>
      </c>
      <c r="D155" s="12">
        <v>34.21</v>
      </c>
      <c r="E155" s="12">
        <v>1997</v>
      </c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</row>
    <row r="156" spans="1:18" x14ac:dyDescent="0.2">
      <c r="A156" s="12">
        <v>4</v>
      </c>
      <c r="B156" s="12" t="s">
        <v>172</v>
      </c>
      <c r="C156" s="12" t="s">
        <v>26</v>
      </c>
      <c r="D156" s="12">
        <v>33.81</v>
      </c>
      <c r="E156" s="12">
        <v>1997</v>
      </c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</row>
    <row r="157" spans="1:18" x14ac:dyDescent="0.2">
      <c r="A157" s="12">
        <v>4</v>
      </c>
      <c r="B157" s="12" t="s">
        <v>173</v>
      </c>
      <c r="C157" s="12" t="s">
        <v>26</v>
      </c>
      <c r="D157" s="12">
        <v>31.48</v>
      </c>
      <c r="E157" s="12">
        <v>1997</v>
      </c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</row>
    <row r="158" spans="1:18" x14ac:dyDescent="0.2">
      <c r="A158" s="12">
        <v>4</v>
      </c>
      <c r="B158" s="12" t="s">
        <v>174</v>
      </c>
      <c r="C158" s="12" t="s">
        <v>26</v>
      </c>
      <c r="D158" s="12">
        <v>30.7</v>
      </c>
      <c r="E158" s="12">
        <v>1997</v>
      </c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</row>
    <row r="159" spans="1:18" x14ac:dyDescent="0.2">
      <c r="A159" s="12">
        <v>4</v>
      </c>
      <c r="B159" s="12" t="s">
        <v>175</v>
      </c>
      <c r="C159" s="12" t="s">
        <v>26</v>
      </c>
      <c r="D159" s="12">
        <v>31.98</v>
      </c>
      <c r="E159" s="12">
        <v>1997</v>
      </c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</row>
    <row r="160" spans="1:18" x14ac:dyDescent="0.2">
      <c r="A160" s="12">
        <v>4</v>
      </c>
      <c r="B160" s="12" t="s">
        <v>176</v>
      </c>
      <c r="C160" s="12" t="s">
        <v>26</v>
      </c>
      <c r="D160" s="12">
        <v>31.15</v>
      </c>
      <c r="E160" s="12">
        <v>1997</v>
      </c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</row>
    <row r="161" spans="1:18" x14ac:dyDescent="0.2">
      <c r="A161" s="12">
        <v>4</v>
      </c>
      <c r="B161" s="12" t="s">
        <v>177</v>
      </c>
      <c r="C161" s="12" t="s">
        <v>26</v>
      </c>
      <c r="D161" s="12">
        <v>31.97</v>
      </c>
      <c r="E161" s="12">
        <v>1997</v>
      </c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</row>
    <row r="162" spans="1:18" x14ac:dyDescent="0.2">
      <c r="A162" s="12">
        <v>4</v>
      </c>
      <c r="B162" s="12" t="s">
        <v>178</v>
      </c>
      <c r="C162" s="12" t="s">
        <v>26</v>
      </c>
      <c r="D162" s="12">
        <v>30.79</v>
      </c>
      <c r="E162" s="12">
        <v>1997</v>
      </c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</row>
    <row r="163" spans="1:18" x14ac:dyDescent="0.2">
      <c r="A163" s="12">
        <v>4</v>
      </c>
      <c r="B163" s="12" t="s">
        <v>179</v>
      </c>
      <c r="C163" s="12" t="s">
        <v>26</v>
      </c>
      <c r="D163" s="12">
        <v>29.13</v>
      </c>
      <c r="E163" s="12">
        <v>1997</v>
      </c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</row>
    <row r="164" spans="1:18" x14ac:dyDescent="0.2">
      <c r="A164" s="12">
        <v>4</v>
      </c>
      <c r="B164" s="12" t="s">
        <v>180</v>
      </c>
      <c r="C164" s="12" t="s">
        <v>26</v>
      </c>
      <c r="D164" s="12">
        <v>28.99</v>
      </c>
      <c r="E164" s="12">
        <v>1997</v>
      </c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</row>
    <row r="165" spans="1:18" x14ac:dyDescent="0.2">
      <c r="A165" s="12">
        <v>4</v>
      </c>
      <c r="B165" s="12" t="s">
        <v>181</v>
      </c>
      <c r="C165" s="12" t="s">
        <v>26</v>
      </c>
      <c r="D165" s="12">
        <v>29.09</v>
      </c>
      <c r="E165" s="12">
        <v>1997</v>
      </c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</row>
    <row r="166" spans="1:18" x14ac:dyDescent="0.2">
      <c r="A166" s="12">
        <v>4</v>
      </c>
      <c r="B166" s="12" t="s">
        <v>182</v>
      </c>
      <c r="C166" s="12" t="s">
        <v>26</v>
      </c>
      <c r="D166" s="12">
        <v>29.76</v>
      </c>
      <c r="E166" s="12">
        <v>1997</v>
      </c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</row>
    <row r="167" spans="1:18" x14ac:dyDescent="0.2">
      <c r="A167" s="12">
        <v>4</v>
      </c>
      <c r="B167" s="12" t="s">
        <v>183</v>
      </c>
      <c r="C167" s="12" t="s">
        <v>26</v>
      </c>
      <c r="D167" s="12">
        <v>29.74</v>
      </c>
      <c r="E167" s="12">
        <v>1997</v>
      </c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</row>
    <row r="168" spans="1:18" x14ac:dyDescent="0.2">
      <c r="A168" s="12">
        <v>4</v>
      </c>
      <c r="B168" s="12" t="s">
        <v>184</v>
      </c>
      <c r="C168" s="12" t="s">
        <v>26</v>
      </c>
      <c r="D168" s="12">
        <v>29.93</v>
      </c>
      <c r="E168" s="12">
        <v>1997</v>
      </c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</row>
    <row r="169" spans="1:18" x14ac:dyDescent="0.2">
      <c r="A169" s="12">
        <v>4</v>
      </c>
      <c r="B169" s="12" t="s">
        <v>185</v>
      </c>
      <c r="C169" s="12" t="s">
        <v>26</v>
      </c>
      <c r="D169" s="12">
        <v>27.65</v>
      </c>
      <c r="E169" s="12">
        <v>1997</v>
      </c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</row>
    <row r="170" spans="1:18" x14ac:dyDescent="0.2">
      <c r="A170" s="12">
        <v>4</v>
      </c>
      <c r="B170" s="12" t="s">
        <v>186</v>
      </c>
      <c r="C170" s="12" t="s">
        <v>26</v>
      </c>
      <c r="D170" s="12">
        <v>30.55</v>
      </c>
      <c r="E170" s="12">
        <v>1997</v>
      </c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</row>
    <row r="171" spans="1:18" x14ac:dyDescent="0.2">
      <c r="A171" s="12">
        <v>4</v>
      </c>
      <c r="B171" s="12" t="s">
        <v>187</v>
      </c>
      <c r="C171" s="12" t="s">
        <v>26</v>
      </c>
      <c r="D171" s="12">
        <v>31.22</v>
      </c>
      <c r="E171" s="12">
        <v>1997</v>
      </c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 spans="1:18" x14ac:dyDescent="0.2">
      <c r="A172" s="12">
        <v>4</v>
      </c>
      <c r="B172" s="12" t="s">
        <v>188</v>
      </c>
      <c r="C172" s="12" t="s">
        <v>26</v>
      </c>
      <c r="D172" s="12">
        <v>28.55</v>
      </c>
      <c r="E172" s="12">
        <v>1997</v>
      </c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 spans="1:18" x14ac:dyDescent="0.2">
      <c r="A173" s="12">
        <v>4</v>
      </c>
      <c r="B173" s="12" t="s">
        <v>189</v>
      </c>
      <c r="C173" s="12" t="s">
        <v>26</v>
      </c>
      <c r="D173" s="12">
        <v>26.15</v>
      </c>
      <c r="E173" s="12">
        <v>1997</v>
      </c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 spans="1:18" x14ac:dyDescent="0.2">
      <c r="A174" s="12">
        <v>4</v>
      </c>
      <c r="B174" s="12" t="s">
        <v>190</v>
      </c>
      <c r="C174" s="12" t="s">
        <v>26</v>
      </c>
      <c r="D174" s="12">
        <v>25.94</v>
      </c>
      <c r="E174" s="12">
        <v>1997</v>
      </c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 spans="1:18" x14ac:dyDescent="0.2">
      <c r="A175" s="310" t="s">
        <v>71</v>
      </c>
      <c r="B175" s="311"/>
      <c r="C175" s="312"/>
      <c r="D175" s="13">
        <f>SUM(D133:D174)</f>
        <v>1083.4700000000003</v>
      </c>
      <c r="E175" s="13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 spans="1:18" x14ac:dyDescent="0.2">
      <c r="A176" s="12">
        <v>5</v>
      </c>
      <c r="B176" s="12" t="s">
        <v>191</v>
      </c>
      <c r="C176" s="12" t="s">
        <v>26</v>
      </c>
      <c r="D176" s="12">
        <v>29.8</v>
      </c>
      <c r="E176" s="12">
        <v>1997</v>
      </c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 spans="1:18" x14ac:dyDescent="0.2">
      <c r="A177" s="12">
        <v>5</v>
      </c>
      <c r="B177" s="12" t="s">
        <v>192</v>
      </c>
      <c r="C177" s="12" t="s">
        <v>26</v>
      </c>
      <c r="D177" s="12">
        <v>33.049999999999997</v>
      </c>
      <c r="E177" s="12">
        <v>1997</v>
      </c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 spans="1:18" x14ac:dyDescent="0.2">
      <c r="A178" s="12">
        <v>5</v>
      </c>
      <c r="B178" s="12" t="s">
        <v>193</v>
      </c>
      <c r="C178" s="12" t="s">
        <v>26</v>
      </c>
      <c r="D178" s="12">
        <v>31.59</v>
      </c>
      <c r="E178" s="12">
        <v>1997</v>
      </c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 spans="1:18" x14ac:dyDescent="0.2">
      <c r="A179" s="12">
        <v>5</v>
      </c>
      <c r="B179" s="12" t="s">
        <v>194</v>
      </c>
      <c r="C179" s="12" t="s">
        <v>26</v>
      </c>
      <c r="D179" s="12">
        <v>32.659999999999997</v>
      </c>
      <c r="E179" s="12">
        <v>1997</v>
      </c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 spans="1:18" x14ac:dyDescent="0.2">
      <c r="A180" s="12">
        <v>5</v>
      </c>
      <c r="B180" s="12" t="s">
        <v>195</v>
      </c>
      <c r="C180" s="12" t="s">
        <v>26</v>
      </c>
      <c r="D180" s="12">
        <v>30.89</v>
      </c>
      <c r="E180" s="12">
        <v>1997</v>
      </c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  <row r="181" spans="1:18" x14ac:dyDescent="0.2">
      <c r="A181" s="12">
        <v>5</v>
      </c>
      <c r="B181" s="12" t="s">
        <v>196</v>
      </c>
      <c r="C181" s="12" t="s">
        <v>26</v>
      </c>
      <c r="D181" s="12">
        <v>31.54</v>
      </c>
      <c r="E181" s="12">
        <v>1997</v>
      </c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</row>
    <row r="182" spans="1:18" x14ac:dyDescent="0.2">
      <c r="A182" s="12">
        <v>5</v>
      </c>
      <c r="B182" s="12" t="s">
        <v>197</v>
      </c>
      <c r="C182" s="12" t="s">
        <v>26</v>
      </c>
      <c r="D182" s="12">
        <v>30.18</v>
      </c>
      <c r="E182" s="12">
        <v>1997</v>
      </c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</row>
    <row r="183" spans="1:18" x14ac:dyDescent="0.2">
      <c r="A183" s="12">
        <v>5</v>
      </c>
      <c r="B183" s="12" t="s">
        <v>198</v>
      </c>
      <c r="C183" s="12" t="s">
        <v>26</v>
      </c>
      <c r="D183" s="12">
        <v>29.83</v>
      </c>
      <c r="E183" s="12">
        <v>1997</v>
      </c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</row>
    <row r="184" spans="1:18" x14ac:dyDescent="0.2">
      <c r="A184" s="12">
        <v>5</v>
      </c>
      <c r="B184" s="12" t="s">
        <v>199</v>
      </c>
      <c r="C184" s="12" t="s">
        <v>26</v>
      </c>
      <c r="D184" s="12">
        <v>9.02</v>
      </c>
      <c r="E184" s="12">
        <v>1997</v>
      </c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</row>
    <row r="185" spans="1:18" x14ac:dyDescent="0.2">
      <c r="A185" s="12">
        <v>5</v>
      </c>
      <c r="B185" s="12" t="s">
        <v>200</v>
      </c>
      <c r="C185" s="12" t="s">
        <v>26</v>
      </c>
      <c r="D185" s="12">
        <v>31.88</v>
      </c>
      <c r="E185" s="12">
        <v>1997</v>
      </c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</row>
    <row r="186" spans="1:18" x14ac:dyDescent="0.2">
      <c r="A186" s="12">
        <v>5</v>
      </c>
      <c r="B186" s="12" t="s">
        <v>201</v>
      </c>
      <c r="C186" s="12" t="s">
        <v>26</v>
      </c>
      <c r="D186" s="12">
        <v>26.81</v>
      </c>
      <c r="E186" s="12">
        <v>1997</v>
      </c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</row>
    <row r="187" spans="1:18" x14ac:dyDescent="0.2">
      <c r="A187" s="12">
        <v>5</v>
      </c>
      <c r="B187" s="12" t="s">
        <v>202</v>
      </c>
      <c r="C187" s="12" t="s">
        <v>26</v>
      </c>
      <c r="D187" s="12">
        <v>27.6</v>
      </c>
      <c r="E187" s="12">
        <v>1997</v>
      </c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</row>
    <row r="188" spans="1:18" x14ac:dyDescent="0.2">
      <c r="A188" s="12">
        <v>5</v>
      </c>
      <c r="B188" s="12" t="s">
        <v>203</v>
      </c>
      <c r="C188" s="12" t="s">
        <v>26</v>
      </c>
      <c r="D188" s="12">
        <v>27.88</v>
      </c>
      <c r="E188" s="12">
        <v>1997</v>
      </c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</row>
    <row r="189" spans="1:18" x14ac:dyDescent="0.2">
      <c r="A189" s="12">
        <v>5</v>
      </c>
      <c r="B189" s="12" t="s">
        <v>204</v>
      </c>
      <c r="C189" s="12" t="s">
        <v>26</v>
      </c>
      <c r="D189" s="12">
        <v>28.2</v>
      </c>
      <c r="E189" s="12">
        <v>1997</v>
      </c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</row>
    <row r="190" spans="1:18" x14ac:dyDescent="0.2">
      <c r="A190" s="12">
        <v>5</v>
      </c>
      <c r="B190" s="12" t="s">
        <v>205</v>
      </c>
      <c r="C190" s="12" t="s">
        <v>26</v>
      </c>
      <c r="D190" s="12">
        <v>27.98</v>
      </c>
      <c r="E190" s="12">
        <v>1997</v>
      </c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</row>
    <row r="191" spans="1:18" x14ac:dyDescent="0.2">
      <c r="A191" s="12">
        <v>5</v>
      </c>
      <c r="B191" s="12" t="s">
        <v>206</v>
      </c>
      <c r="C191" s="12" t="s">
        <v>26</v>
      </c>
      <c r="D191" s="12">
        <v>26.14</v>
      </c>
      <c r="E191" s="12">
        <v>1997</v>
      </c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</row>
    <row r="192" spans="1:18" x14ac:dyDescent="0.2">
      <c r="A192" s="12">
        <v>5</v>
      </c>
      <c r="B192" s="12" t="s">
        <v>207</v>
      </c>
      <c r="C192" s="12" t="s">
        <v>26</v>
      </c>
      <c r="D192" s="12">
        <v>13.97</v>
      </c>
      <c r="E192" s="12">
        <v>1997</v>
      </c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</row>
    <row r="193" spans="1:18" x14ac:dyDescent="0.2">
      <c r="A193" s="12">
        <v>5</v>
      </c>
      <c r="B193" s="12" t="s">
        <v>208</v>
      </c>
      <c r="C193" s="12" t="s">
        <v>26</v>
      </c>
      <c r="D193" s="12">
        <v>30.07</v>
      </c>
      <c r="E193" s="12">
        <v>1997</v>
      </c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</row>
    <row r="194" spans="1:18" x14ac:dyDescent="0.2">
      <c r="A194" s="12">
        <v>5</v>
      </c>
      <c r="B194" s="12" t="s">
        <v>209</v>
      </c>
      <c r="C194" s="12" t="s">
        <v>26</v>
      </c>
      <c r="D194" s="12">
        <v>31.77</v>
      </c>
      <c r="E194" s="12">
        <v>1997</v>
      </c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</row>
    <row r="195" spans="1:18" x14ac:dyDescent="0.2">
      <c r="A195" s="12">
        <v>5</v>
      </c>
      <c r="B195" s="12" t="s">
        <v>210</v>
      </c>
      <c r="C195" s="12" t="s">
        <v>26</v>
      </c>
      <c r="D195" s="12">
        <v>27.92</v>
      </c>
      <c r="E195" s="12">
        <v>1997</v>
      </c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</row>
    <row r="196" spans="1:18" x14ac:dyDescent="0.2">
      <c r="A196" s="12">
        <v>5</v>
      </c>
      <c r="B196" s="12" t="s">
        <v>211</v>
      </c>
      <c r="C196" s="12" t="s">
        <v>26</v>
      </c>
      <c r="D196" s="12">
        <v>29.41</v>
      </c>
      <c r="E196" s="12">
        <v>1997</v>
      </c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</row>
    <row r="197" spans="1:18" x14ac:dyDescent="0.2">
      <c r="A197" s="12">
        <v>5</v>
      </c>
      <c r="B197" s="12" t="s">
        <v>212</v>
      </c>
      <c r="C197" s="12" t="s">
        <v>26</v>
      </c>
      <c r="D197" s="12">
        <v>29.67</v>
      </c>
      <c r="E197" s="12">
        <v>1997</v>
      </c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</row>
    <row r="198" spans="1:18" x14ac:dyDescent="0.2">
      <c r="A198" s="12">
        <v>5</v>
      </c>
      <c r="B198" s="12" t="s">
        <v>213</v>
      </c>
      <c r="C198" s="12" t="s">
        <v>26</v>
      </c>
      <c r="D198" s="12">
        <v>28.73</v>
      </c>
      <c r="E198" s="12">
        <v>1997</v>
      </c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</row>
    <row r="199" spans="1:18" x14ac:dyDescent="0.2">
      <c r="A199" s="12">
        <v>5</v>
      </c>
      <c r="B199" s="12" t="s">
        <v>214</v>
      </c>
      <c r="C199" s="12" t="s">
        <v>26</v>
      </c>
      <c r="D199" s="12">
        <v>30.67</v>
      </c>
      <c r="E199" s="12">
        <v>1997</v>
      </c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</row>
    <row r="200" spans="1:18" x14ac:dyDescent="0.2">
      <c r="A200" s="12">
        <v>5</v>
      </c>
      <c r="B200" s="12" t="s">
        <v>215</v>
      </c>
      <c r="C200" s="12" t="s">
        <v>26</v>
      </c>
      <c r="D200" s="12">
        <v>27.34</v>
      </c>
      <c r="E200" s="12">
        <v>1997</v>
      </c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</row>
    <row r="201" spans="1:18" x14ac:dyDescent="0.2">
      <c r="A201" s="12">
        <v>5</v>
      </c>
      <c r="B201" s="12" t="s">
        <v>216</v>
      </c>
      <c r="C201" s="12" t="s">
        <v>26</v>
      </c>
      <c r="D201" s="12">
        <v>32.119999999999997</v>
      </c>
      <c r="E201" s="12">
        <v>1997</v>
      </c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</row>
    <row r="202" spans="1:18" x14ac:dyDescent="0.2">
      <c r="A202" s="12">
        <v>5</v>
      </c>
      <c r="B202" s="12" t="s">
        <v>217</v>
      </c>
      <c r="C202" s="12" t="s">
        <v>26</v>
      </c>
      <c r="D202" s="12">
        <v>27.2</v>
      </c>
      <c r="E202" s="12">
        <v>1997</v>
      </c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</row>
    <row r="203" spans="1:18" x14ac:dyDescent="0.2">
      <c r="A203" s="12">
        <v>5</v>
      </c>
      <c r="B203" s="12" t="s">
        <v>218</v>
      </c>
      <c r="C203" s="12" t="s">
        <v>26</v>
      </c>
      <c r="D203" s="12">
        <v>29.91</v>
      </c>
      <c r="E203" s="12">
        <v>1997</v>
      </c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</row>
    <row r="204" spans="1:18" x14ac:dyDescent="0.2">
      <c r="A204" s="12">
        <v>5</v>
      </c>
      <c r="B204" s="12" t="s">
        <v>219</v>
      </c>
      <c r="C204" s="12" t="s">
        <v>26</v>
      </c>
      <c r="D204" s="12">
        <v>29.53</v>
      </c>
      <c r="E204" s="12">
        <v>1997</v>
      </c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</row>
    <row r="205" spans="1:18" x14ac:dyDescent="0.2">
      <c r="A205" s="12">
        <v>5</v>
      </c>
      <c r="B205" s="12" t="s">
        <v>220</v>
      </c>
      <c r="C205" s="12" t="s">
        <v>26</v>
      </c>
      <c r="D205" s="12">
        <v>21.14</v>
      </c>
      <c r="E205" s="12">
        <v>1997</v>
      </c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</row>
    <row r="206" spans="1:18" x14ac:dyDescent="0.2">
      <c r="A206" s="12">
        <v>5</v>
      </c>
      <c r="B206" s="12" t="s">
        <v>221</v>
      </c>
      <c r="C206" s="12" t="s">
        <v>26</v>
      </c>
      <c r="D206" s="12">
        <v>10.68</v>
      </c>
      <c r="E206" s="12">
        <v>1997</v>
      </c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</row>
    <row r="207" spans="1:18" x14ac:dyDescent="0.2">
      <c r="A207" s="12">
        <v>5</v>
      </c>
      <c r="B207" s="12" t="s">
        <v>222</v>
      </c>
      <c r="C207" s="12" t="s">
        <v>26</v>
      </c>
      <c r="D207" s="12">
        <v>28.14</v>
      </c>
      <c r="E207" s="12">
        <v>1997</v>
      </c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</row>
    <row r="208" spans="1:18" x14ac:dyDescent="0.2">
      <c r="A208" s="12">
        <v>5</v>
      </c>
      <c r="B208" s="12" t="s">
        <v>223</v>
      </c>
      <c r="C208" s="12" t="s">
        <v>26</v>
      </c>
      <c r="D208" s="12">
        <v>31.7</v>
      </c>
      <c r="E208" s="12">
        <v>1997</v>
      </c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</row>
    <row r="209" spans="1:18" x14ac:dyDescent="0.2">
      <c r="A209" s="12">
        <v>5</v>
      </c>
      <c r="B209" s="12" t="s">
        <v>224</v>
      </c>
      <c r="C209" s="12" t="s">
        <v>26</v>
      </c>
      <c r="D209" s="12">
        <v>25.73</v>
      </c>
      <c r="E209" s="12">
        <v>1997</v>
      </c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</row>
    <row r="210" spans="1:18" x14ac:dyDescent="0.2">
      <c r="A210" s="12">
        <v>5</v>
      </c>
      <c r="B210" s="12" t="s">
        <v>225</v>
      </c>
      <c r="C210" s="12" t="s">
        <v>26</v>
      </c>
      <c r="D210" s="12">
        <v>26.37</v>
      </c>
      <c r="E210" s="12">
        <v>1997</v>
      </c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</row>
    <row r="211" spans="1:18" x14ac:dyDescent="0.2">
      <c r="A211" s="12">
        <v>5</v>
      </c>
      <c r="B211" s="12" t="s">
        <v>226</v>
      </c>
      <c r="C211" s="12" t="s">
        <v>26</v>
      </c>
      <c r="D211" s="12">
        <v>15.17</v>
      </c>
      <c r="E211" s="12">
        <v>1997</v>
      </c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</row>
    <row r="212" spans="1:18" x14ac:dyDescent="0.2">
      <c r="A212" s="12">
        <v>5</v>
      </c>
      <c r="B212" s="12" t="s">
        <v>227</v>
      </c>
      <c r="C212" s="12" t="s">
        <v>26</v>
      </c>
      <c r="D212" s="12">
        <v>26.08</v>
      </c>
      <c r="E212" s="12">
        <v>1997</v>
      </c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</row>
    <row r="213" spans="1:18" x14ac:dyDescent="0.2">
      <c r="A213" s="12">
        <v>5</v>
      </c>
      <c r="B213" s="12" t="s">
        <v>228</v>
      </c>
      <c r="C213" s="12" t="s">
        <v>26</v>
      </c>
      <c r="D213" s="12">
        <v>34.26</v>
      </c>
      <c r="E213" s="12">
        <v>1997</v>
      </c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</row>
    <row r="214" spans="1:18" x14ac:dyDescent="0.2">
      <c r="A214" s="12">
        <v>5</v>
      </c>
      <c r="B214" s="12" t="s">
        <v>229</v>
      </c>
      <c r="C214" s="12" t="s">
        <v>26</v>
      </c>
      <c r="D214" s="12">
        <v>26.83</v>
      </c>
      <c r="E214" s="12">
        <v>1997</v>
      </c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</row>
    <row r="215" spans="1:18" x14ac:dyDescent="0.2">
      <c r="A215" s="12">
        <v>5</v>
      </c>
      <c r="B215" s="12" t="s">
        <v>230</v>
      </c>
      <c r="C215" s="12" t="s">
        <v>26</v>
      </c>
      <c r="D215" s="12">
        <v>30.49</v>
      </c>
      <c r="E215" s="12">
        <v>1997</v>
      </c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</row>
    <row r="216" spans="1:18" x14ac:dyDescent="0.2">
      <c r="A216" s="12">
        <v>5</v>
      </c>
      <c r="B216" s="12" t="s">
        <v>231</v>
      </c>
      <c r="C216" s="12" t="s">
        <v>26</v>
      </c>
      <c r="D216" s="12">
        <v>24.54</v>
      </c>
      <c r="E216" s="12">
        <v>1997</v>
      </c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</row>
    <row r="217" spans="1:18" x14ac:dyDescent="0.2">
      <c r="A217" s="12">
        <v>5</v>
      </c>
      <c r="B217" s="12" t="s">
        <v>232</v>
      </c>
      <c r="C217" s="12" t="s">
        <v>26</v>
      </c>
      <c r="D217" s="12">
        <v>20.05</v>
      </c>
      <c r="E217" s="12">
        <v>1997</v>
      </c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</row>
    <row r="218" spans="1:18" x14ac:dyDescent="0.2">
      <c r="A218" s="310" t="s">
        <v>71</v>
      </c>
      <c r="B218" s="311"/>
      <c r="C218" s="312"/>
      <c r="D218" s="13">
        <f>SUM(D176:D217)</f>
        <v>1144.5399999999997</v>
      </c>
      <c r="E218" s="13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</row>
    <row r="219" spans="1:18" x14ac:dyDescent="0.2">
      <c r="A219" s="12">
        <v>6</v>
      </c>
      <c r="B219" s="12" t="s">
        <v>233</v>
      </c>
      <c r="C219" s="12" t="s">
        <v>26</v>
      </c>
      <c r="D219" s="12">
        <v>30.79</v>
      </c>
      <c r="E219" s="12">
        <v>1997</v>
      </c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</row>
    <row r="220" spans="1:18" x14ac:dyDescent="0.2">
      <c r="A220" s="12">
        <v>6</v>
      </c>
      <c r="B220" s="12" t="s">
        <v>234</v>
      </c>
      <c r="C220" s="12" t="s">
        <v>26</v>
      </c>
      <c r="D220" s="12">
        <v>30.22</v>
      </c>
      <c r="E220" s="12">
        <v>1997</v>
      </c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</row>
    <row r="221" spans="1:18" x14ac:dyDescent="0.2">
      <c r="A221" s="12">
        <v>6</v>
      </c>
      <c r="B221" s="12" t="s">
        <v>235</v>
      </c>
      <c r="C221" s="12" t="s">
        <v>26</v>
      </c>
      <c r="D221" s="12">
        <v>28.5</v>
      </c>
      <c r="E221" s="12">
        <v>1997</v>
      </c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</row>
    <row r="222" spans="1:18" x14ac:dyDescent="0.2">
      <c r="A222" s="12">
        <v>6</v>
      </c>
      <c r="B222" s="12" t="s">
        <v>236</v>
      </c>
      <c r="C222" s="12" t="s">
        <v>26</v>
      </c>
      <c r="D222" s="12">
        <v>32.299999999999997</v>
      </c>
      <c r="E222" s="12">
        <v>1997</v>
      </c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</row>
    <row r="223" spans="1:18" x14ac:dyDescent="0.2">
      <c r="A223" s="12">
        <v>6</v>
      </c>
      <c r="B223" s="12" t="s">
        <v>237</v>
      </c>
      <c r="C223" s="12" t="s">
        <v>26</v>
      </c>
      <c r="D223" s="12">
        <v>29.54</v>
      </c>
      <c r="E223" s="12">
        <v>1997</v>
      </c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</row>
    <row r="224" spans="1:18" x14ac:dyDescent="0.2">
      <c r="A224" s="12">
        <v>6</v>
      </c>
      <c r="B224" s="12" t="s">
        <v>238</v>
      </c>
      <c r="C224" s="12" t="s">
        <v>26</v>
      </c>
      <c r="D224" s="12">
        <v>30.28</v>
      </c>
      <c r="E224" s="12">
        <v>1997</v>
      </c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</row>
    <row r="225" spans="1:18" x14ac:dyDescent="0.2">
      <c r="A225" s="12">
        <v>6</v>
      </c>
      <c r="B225" s="12" t="s">
        <v>239</v>
      </c>
      <c r="C225" s="12" t="s">
        <v>26</v>
      </c>
      <c r="D225" s="12">
        <v>19.03</v>
      </c>
      <c r="E225" s="12">
        <v>2006</v>
      </c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</row>
    <row r="226" spans="1:18" x14ac:dyDescent="0.2">
      <c r="A226" s="12">
        <v>6</v>
      </c>
      <c r="B226" s="12" t="s">
        <v>240</v>
      </c>
      <c r="C226" s="12" t="s">
        <v>26</v>
      </c>
      <c r="D226" s="12">
        <v>32.229999999999997</v>
      </c>
      <c r="E226" s="12">
        <v>2006</v>
      </c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</row>
    <row r="227" spans="1:18" x14ac:dyDescent="0.2">
      <c r="A227" s="12">
        <v>6</v>
      </c>
      <c r="B227" s="12" t="s">
        <v>241</v>
      </c>
      <c r="C227" s="12" t="s">
        <v>26</v>
      </c>
      <c r="D227" s="12">
        <v>30.43</v>
      </c>
      <c r="E227" s="12">
        <v>1997</v>
      </c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</row>
    <row r="228" spans="1:18" x14ac:dyDescent="0.2">
      <c r="A228" s="12">
        <v>6</v>
      </c>
      <c r="B228" s="12" t="s">
        <v>242</v>
      </c>
      <c r="C228" s="12" t="s">
        <v>26</v>
      </c>
      <c r="D228" s="12">
        <v>17.739999999999998</v>
      </c>
      <c r="E228" s="12">
        <v>2006</v>
      </c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</row>
    <row r="229" spans="1:18" x14ac:dyDescent="0.2">
      <c r="A229" s="12">
        <v>6</v>
      </c>
      <c r="B229" s="12" t="s">
        <v>243</v>
      </c>
      <c r="C229" s="12" t="s">
        <v>26</v>
      </c>
      <c r="D229" s="12">
        <v>39.43</v>
      </c>
      <c r="E229" s="12">
        <v>2006</v>
      </c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</row>
    <row r="230" spans="1:18" x14ac:dyDescent="0.2">
      <c r="A230" s="12">
        <v>6</v>
      </c>
      <c r="B230" s="12" t="s">
        <v>244</v>
      </c>
      <c r="C230" s="12" t="s">
        <v>26</v>
      </c>
      <c r="D230" s="12">
        <v>27.21</v>
      </c>
      <c r="E230" s="12">
        <v>2006</v>
      </c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</row>
    <row r="231" spans="1:18" x14ac:dyDescent="0.2">
      <c r="A231" s="12">
        <v>6</v>
      </c>
      <c r="B231" s="12" t="s">
        <v>245</v>
      </c>
      <c r="C231" s="12" t="s">
        <v>26</v>
      </c>
      <c r="D231" s="12">
        <v>33.14</v>
      </c>
      <c r="E231" s="12">
        <v>2006</v>
      </c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</row>
    <row r="232" spans="1:18" x14ac:dyDescent="0.2">
      <c r="A232" s="12">
        <v>6</v>
      </c>
      <c r="B232" s="12" t="s">
        <v>246</v>
      </c>
      <c r="C232" s="12" t="s">
        <v>26</v>
      </c>
      <c r="D232" s="12">
        <v>11.38</v>
      </c>
      <c r="E232" s="12">
        <v>2005</v>
      </c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</row>
    <row r="233" spans="1:18" x14ac:dyDescent="0.2">
      <c r="A233" s="12">
        <v>6</v>
      </c>
      <c r="B233" s="12" t="s">
        <v>247</v>
      </c>
      <c r="C233" s="12" t="s">
        <v>26</v>
      </c>
      <c r="D233" s="12">
        <v>24.15</v>
      </c>
      <c r="E233" s="12">
        <v>2005</v>
      </c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</row>
    <row r="234" spans="1:18" x14ac:dyDescent="0.2">
      <c r="A234" s="12">
        <v>6</v>
      </c>
      <c r="B234" s="12" t="s">
        <v>248</v>
      </c>
      <c r="C234" s="12" t="s">
        <v>26</v>
      </c>
      <c r="D234" s="12">
        <v>28.11</v>
      </c>
      <c r="E234" s="12">
        <v>2005</v>
      </c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</row>
    <row r="235" spans="1:18" x14ac:dyDescent="0.2">
      <c r="A235" s="12">
        <v>6</v>
      </c>
      <c r="B235" s="12" t="s">
        <v>249</v>
      </c>
      <c r="C235" s="12" t="s">
        <v>26</v>
      </c>
      <c r="D235" s="12">
        <v>36.28</v>
      </c>
      <c r="E235" s="12">
        <v>2005</v>
      </c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</row>
    <row r="236" spans="1:18" x14ac:dyDescent="0.2">
      <c r="A236" s="12">
        <v>6</v>
      </c>
      <c r="B236" s="12" t="s">
        <v>250</v>
      </c>
      <c r="C236" s="12" t="s">
        <v>26</v>
      </c>
      <c r="D236" s="12">
        <v>24.51</v>
      </c>
      <c r="E236" s="12">
        <v>2005</v>
      </c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</row>
    <row r="237" spans="1:18" x14ac:dyDescent="0.2">
      <c r="A237" s="12">
        <v>6</v>
      </c>
      <c r="B237" s="12" t="s">
        <v>251</v>
      </c>
      <c r="C237" s="12" t="s">
        <v>26</v>
      </c>
      <c r="D237" s="12">
        <v>13.38</v>
      </c>
      <c r="E237" s="12">
        <v>2005</v>
      </c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</row>
    <row r="238" spans="1:18" x14ac:dyDescent="0.2">
      <c r="A238" s="12">
        <v>6</v>
      </c>
      <c r="B238" s="12" t="s">
        <v>252</v>
      </c>
      <c r="C238" s="12" t="s">
        <v>26</v>
      </c>
      <c r="D238" s="12">
        <v>28.09</v>
      </c>
      <c r="E238" s="12">
        <v>2003</v>
      </c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</row>
    <row r="239" spans="1:18" x14ac:dyDescent="0.2">
      <c r="A239" s="12">
        <v>6</v>
      </c>
      <c r="B239" s="12" t="s">
        <v>253</v>
      </c>
      <c r="C239" s="12" t="s">
        <v>26</v>
      </c>
      <c r="D239" s="12">
        <v>26.96</v>
      </c>
      <c r="E239" s="12">
        <v>2003</v>
      </c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</row>
    <row r="240" spans="1:18" x14ac:dyDescent="0.2">
      <c r="A240" s="12">
        <v>6</v>
      </c>
      <c r="B240" s="12" t="s">
        <v>254</v>
      </c>
      <c r="C240" s="12" t="s">
        <v>26</v>
      </c>
      <c r="D240" s="12">
        <v>29.54</v>
      </c>
      <c r="E240" s="12">
        <v>2003</v>
      </c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</row>
    <row r="241" spans="1:18" x14ac:dyDescent="0.2">
      <c r="A241" s="12">
        <v>6</v>
      </c>
      <c r="B241" s="12" t="s">
        <v>255</v>
      </c>
      <c r="C241" s="12" t="s">
        <v>26</v>
      </c>
      <c r="D241" s="12">
        <v>30.81</v>
      </c>
      <c r="E241" s="12">
        <v>2004</v>
      </c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</row>
    <row r="242" spans="1:18" x14ac:dyDescent="0.2">
      <c r="A242" s="12">
        <v>6</v>
      </c>
      <c r="B242" s="12" t="s">
        <v>256</v>
      </c>
      <c r="C242" s="12" t="s">
        <v>26</v>
      </c>
      <c r="D242" s="12">
        <v>39.5</v>
      </c>
      <c r="E242" s="12">
        <v>2004</v>
      </c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</row>
    <row r="243" spans="1:18" x14ac:dyDescent="0.2">
      <c r="A243" s="12">
        <v>6</v>
      </c>
      <c r="B243" s="12" t="s">
        <v>257</v>
      </c>
      <c r="C243" s="12" t="s">
        <v>26</v>
      </c>
      <c r="D243" s="12">
        <v>27.19</v>
      </c>
      <c r="E243" s="12">
        <v>2004</v>
      </c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</row>
    <row r="244" spans="1:18" x14ac:dyDescent="0.2">
      <c r="A244" s="12">
        <v>6</v>
      </c>
      <c r="B244" s="12" t="s">
        <v>258</v>
      </c>
      <c r="C244" s="12" t="s">
        <v>26</v>
      </c>
      <c r="D244" s="12">
        <v>32.31</v>
      </c>
      <c r="E244" s="12">
        <v>2005</v>
      </c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</row>
    <row r="245" spans="1:18" x14ac:dyDescent="0.2">
      <c r="A245" s="12">
        <v>6</v>
      </c>
      <c r="B245" s="12" t="s">
        <v>259</v>
      </c>
      <c r="C245" s="12" t="s">
        <v>26</v>
      </c>
      <c r="D245" s="12">
        <v>30.57</v>
      </c>
      <c r="E245" s="12">
        <v>2003</v>
      </c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</row>
    <row r="246" spans="1:18" x14ac:dyDescent="0.2">
      <c r="A246" s="12">
        <v>6</v>
      </c>
      <c r="B246" s="12" t="s">
        <v>260</v>
      </c>
      <c r="C246" s="12" t="s">
        <v>26</v>
      </c>
      <c r="D246" s="12">
        <v>27.62</v>
      </c>
      <c r="E246" s="12">
        <v>2003</v>
      </c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</row>
    <row r="247" spans="1:18" x14ac:dyDescent="0.2">
      <c r="A247" s="12">
        <v>6</v>
      </c>
      <c r="B247" s="12" t="s">
        <v>261</v>
      </c>
      <c r="C247" s="12" t="s">
        <v>26</v>
      </c>
      <c r="D247" s="12">
        <v>31.26</v>
      </c>
      <c r="E247" s="12">
        <v>2003</v>
      </c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</row>
    <row r="248" spans="1:18" x14ac:dyDescent="0.2">
      <c r="A248" s="12">
        <v>6</v>
      </c>
      <c r="B248" s="12" t="s">
        <v>262</v>
      </c>
      <c r="C248" s="12" t="s">
        <v>26</v>
      </c>
      <c r="D248" s="12">
        <v>31.32</v>
      </c>
      <c r="E248" s="12">
        <v>2003</v>
      </c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</row>
    <row r="249" spans="1:18" x14ac:dyDescent="0.2">
      <c r="A249" s="12">
        <v>6</v>
      </c>
      <c r="B249" s="12" t="s">
        <v>263</v>
      </c>
      <c r="C249" s="12" t="s">
        <v>26</v>
      </c>
      <c r="D249" s="12">
        <v>40.81</v>
      </c>
      <c r="E249" s="12">
        <v>2004</v>
      </c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</row>
    <row r="250" spans="1:18" x14ac:dyDescent="0.2">
      <c r="A250" s="12">
        <v>6</v>
      </c>
      <c r="B250" s="12" t="s">
        <v>264</v>
      </c>
      <c r="C250" s="12" t="s">
        <v>26</v>
      </c>
      <c r="D250" s="12">
        <v>27.6</v>
      </c>
      <c r="E250" s="12">
        <v>2004</v>
      </c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</row>
    <row r="251" spans="1:18" x14ac:dyDescent="0.2">
      <c r="A251" s="12">
        <v>6</v>
      </c>
      <c r="B251" s="12" t="s">
        <v>265</v>
      </c>
      <c r="C251" s="12" t="s">
        <v>26</v>
      </c>
      <c r="D251" s="12">
        <v>33.520000000000003</v>
      </c>
      <c r="E251" s="12">
        <v>1997</v>
      </c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</row>
    <row r="252" spans="1:18" x14ac:dyDescent="0.2">
      <c r="A252" s="12">
        <v>6</v>
      </c>
      <c r="B252" s="12" t="s">
        <v>266</v>
      </c>
      <c r="C252" s="12" t="s">
        <v>26</v>
      </c>
      <c r="D252" s="12">
        <v>29.16</v>
      </c>
      <c r="E252" s="12">
        <v>1997</v>
      </c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</row>
    <row r="253" spans="1:18" x14ac:dyDescent="0.2">
      <c r="A253" s="12">
        <v>6</v>
      </c>
      <c r="B253" s="12" t="s">
        <v>267</v>
      </c>
      <c r="C253" s="12" t="s">
        <v>26</v>
      </c>
      <c r="D253" s="12">
        <v>12.55</v>
      </c>
      <c r="E253" s="12">
        <v>2005</v>
      </c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</row>
    <row r="254" spans="1:18" x14ac:dyDescent="0.2">
      <c r="A254" s="12">
        <v>6</v>
      </c>
      <c r="B254" s="12" t="s">
        <v>268</v>
      </c>
      <c r="C254" s="12" t="s">
        <v>26</v>
      </c>
      <c r="D254" s="12">
        <v>27.55</v>
      </c>
      <c r="E254" s="12">
        <v>2005</v>
      </c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</row>
    <row r="255" spans="1:18" x14ac:dyDescent="0.2">
      <c r="A255" s="310" t="s">
        <v>71</v>
      </c>
      <c r="B255" s="311"/>
      <c r="C255" s="312"/>
      <c r="D255" s="13">
        <f>SUM(D219:D254)</f>
        <v>1025.01</v>
      </c>
      <c r="E255" s="13"/>
      <c r="F255" s="124"/>
      <c r="G255" s="124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  <c r="R255" s="124"/>
    </row>
    <row r="256" spans="1:18" x14ac:dyDescent="0.2">
      <c r="A256" s="12">
        <v>7</v>
      </c>
      <c r="B256" s="12" t="s">
        <v>269</v>
      </c>
      <c r="C256" s="12" t="s">
        <v>26</v>
      </c>
      <c r="D256" s="12">
        <v>27.69</v>
      </c>
      <c r="E256" s="12">
        <v>2002</v>
      </c>
      <c r="F256" s="124"/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  <c r="R256" s="124"/>
    </row>
    <row r="257" spans="1:18" x14ac:dyDescent="0.2">
      <c r="A257" s="12">
        <v>7</v>
      </c>
      <c r="B257" s="12" t="s">
        <v>270</v>
      </c>
      <c r="C257" s="12" t="s">
        <v>26</v>
      </c>
      <c r="D257" s="12">
        <v>28.29</v>
      </c>
      <c r="E257" s="12">
        <v>2002</v>
      </c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  <c r="R257" s="124"/>
    </row>
    <row r="258" spans="1:18" x14ac:dyDescent="0.2">
      <c r="A258" s="12">
        <v>7</v>
      </c>
      <c r="B258" s="12" t="s">
        <v>271</v>
      </c>
      <c r="C258" s="12" t="s">
        <v>26</v>
      </c>
      <c r="D258" s="12">
        <v>37.1</v>
      </c>
      <c r="E258" s="12">
        <v>2002</v>
      </c>
      <c r="F258" s="124"/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  <c r="R258" s="124"/>
    </row>
    <row r="259" spans="1:18" x14ac:dyDescent="0.2">
      <c r="A259" s="12">
        <v>7</v>
      </c>
      <c r="B259" s="12" t="s">
        <v>272</v>
      </c>
      <c r="C259" s="12" t="s">
        <v>26</v>
      </c>
      <c r="D259" s="12">
        <v>30.93</v>
      </c>
      <c r="E259" s="12">
        <v>1998</v>
      </c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</row>
    <row r="260" spans="1:18" x14ac:dyDescent="0.2">
      <c r="A260" s="12">
        <v>7</v>
      </c>
      <c r="B260" s="12" t="s">
        <v>273</v>
      </c>
      <c r="C260" s="12" t="s">
        <v>26</v>
      </c>
      <c r="D260" s="12">
        <v>30.79</v>
      </c>
      <c r="E260" s="12">
        <v>1997</v>
      </c>
      <c r="F260" s="124"/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  <c r="R260" s="124"/>
    </row>
    <row r="261" spans="1:18" x14ac:dyDescent="0.2">
      <c r="A261" s="12">
        <v>7</v>
      </c>
      <c r="B261" s="12" t="s">
        <v>274</v>
      </c>
      <c r="C261" s="12" t="s">
        <v>26</v>
      </c>
      <c r="D261" s="12">
        <v>26.85</v>
      </c>
      <c r="E261" s="12">
        <v>1997</v>
      </c>
      <c r="F261" s="124"/>
      <c r="G261" s="124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  <c r="R261" s="124"/>
    </row>
    <row r="262" spans="1:18" x14ac:dyDescent="0.2">
      <c r="A262" s="12">
        <v>7</v>
      </c>
      <c r="B262" s="12" t="s">
        <v>275</v>
      </c>
      <c r="C262" s="12" t="s">
        <v>26</v>
      </c>
      <c r="D262" s="12">
        <v>32.83</v>
      </c>
      <c r="E262" s="12">
        <v>1998</v>
      </c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</row>
    <row r="263" spans="1:18" x14ac:dyDescent="0.2">
      <c r="A263" s="12">
        <v>7</v>
      </c>
      <c r="B263" s="12" t="s">
        <v>276</v>
      </c>
      <c r="C263" s="12" t="s">
        <v>26</v>
      </c>
      <c r="D263" s="12">
        <v>29.56</v>
      </c>
      <c r="E263" s="12">
        <v>1997</v>
      </c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  <c r="R263" s="124"/>
    </row>
    <row r="264" spans="1:18" x14ac:dyDescent="0.2">
      <c r="A264" s="12">
        <v>7</v>
      </c>
      <c r="B264" s="12" t="s">
        <v>277</v>
      </c>
      <c r="C264" s="12" t="s">
        <v>26</v>
      </c>
      <c r="D264" s="12">
        <v>29.8</v>
      </c>
      <c r="E264" s="12">
        <v>1997</v>
      </c>
      <c r="F264" s="124"/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  <c r="R264" s="124"/>
    </row>
    <row r="265" spans="1:18" x14ac:dyDescent="0.2">
      <c r="A265" s="12">
        <v>7</v>
      </c>
      <c r="B265" s="12" t="s">
        <v>278</v>
      </c>
      <c r="C265" s="12" t="s">
        <v>26</v>
      </c>
      <c r="D265" s="12">
        <v>27</v>
      </c>
      <c r="E265" s="12">
        <v>1997</v>
      </c>
      <c r="F265" s="124"/>
      <c r="G265" s="124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  <c r="R265" s="124"/>
    </row>
    <row r="266" spans="1:18" x14ac:dyDescent="0.2">
      <c r="A266" s="12">
        <v>7</v>
      </c>
      <c r="B266" s="12" t="s">
        <v>279</v>
      </c>
      <c r="C266" s="12" t="s">
        <v>26</v>
      </c>
      <c r="D266" s="12">
        <v>29.43</v>
      </c>
      <c r="E266" s="12">
        <v>1999</v>
      </c>
      <c r="F266" s="124"/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  <c r="R266" s="124"/>
    </row>
    <row r="267" spans="1:18" x14ac:dyDescent="0.2">
      <c r="A267" s="12">
        <v>7</v>
      </c>
      <c r="B267" s="12" t="s">
        <v>280</v>
      </c>
      <c r="C267" s="12" t="s">
        <v>26</v>
      </c>
      <c r="D267" s="12">
        <v>30.05</v>
      </c>
      <c r="E267" s="12">
        <v>2002</v>
      </c>
      <c r="F267" s="124"/>
      <c r="G267" s="124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  <c r="R267" s="124"/>
    </row>
    <row r="268" spans="1:18" x14ac:dyDescent="0.2">
      <c r="A268" s="12">
        <v>7</v>
      </c>
      <c r="B268" s="12" t="s">
        <v>281</v>
      </c>
      <c r="C268" s="12" t="s">
        <v>26</v>
      </c>
      <c r="D268" s="12">
        <v>40.44</v>
      </c>
      <c r="E268" s="12">
        <v>2002</v>
      </c>
      <c r="F268" s="124"/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  <c r="R268" s="124"/>
    </row>
    <row r="269" spans="1:18" x14ac:dyDescent="0.2">
      <c r="A269" s="12">
        <v>7</v>
      </c>
      <c r="B269" s="12" t="s">
        <v>282</v>
      </c>
      <c r="C269" s="12" t="s">
        <v>26</v>
      </c>
      <c r="D269" s="12">
        <v>27.19</v>
      </c>
      <c r="E269" s="12">
        <v>2002</v>
      </c>
      <c r="F269" s="124"/>
      <c r="G269" s="124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  <c r="R269" s="124"/>
    </row>
    <row r="270" spans="1:18" x14ac:dyDescent="0.2">
      <c r="A270" s="12">
        <v>7</v>
      </c>
      <c r="B270" s="12" t="s">
        <v>283</v>
      </c>
      <c r="C270" s="12" t="s">
        <v>26</v>
      </c>
      <c r="D270" s="12">
        <v>29.48</v>
      </c>
      <c r="E270" s="12">
        <v>1998</v>
      </c>
      <c r="F270" s="124"/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  <c r="R270" s="124"/>
    </row>
    <row r="271" spans="1:18" x14ac:dyDescent="0.2">
      <c r="A271" s="12">
        <v>7</v>
      </c>
      <c r="B271" s="12" t="s">
        <v>284</v>
      </c>
      <c r="C271" s="12" t="s">
        <v>26</v>
      </c>
      <c r="D271" s="12">
        <v>33.31</v>
      </c>
      <c r="E271" s="12">
        <v>1997</v>
      </c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</row>
    <row r="272" spans="1:18" x14ac:dyDescent="0.2">
      <c r="A272" s="12">
        <v>7</v>
      </c>
      <c r="B272" s="12" t="s">
        <v>285</v>
      </c>
      <c r="C272" s="12" t="s">
        <v>26</v>
      </c>
      <c r="D272" s="12">
        <v>14.99</v>
      </c>
      <c r="E272" s="12">
        <v>1998</v>
      </c>
      <c r="F272" s="124"/>
      <c r="G272" s="124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  <c r="R272" s="124"/>
    </row>
    <row r="273" spans="1:18" x14ac:dyDescent="0.2">
      <c r="A273" s="12">
        <v>7</v>
      </c>
      <c r="B273" s="12" t="s">
        <v>286</v>
      </c>
      <c r="C273" s="12" t="s">
        <v>26</v>
      </c>
      <c r="D273" s="12">
        <v>26.9</v>
      </c>
      <c r="E273" s="12">
        <v>2004</v>
      </c>
      <c r="F273" s="124"/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  <c r="R273" s="124"/>
    </row>
    <row r="274" spans="1:18" x14ac:dyDescent="0.2">
      <c r="A274" s="12">
        <v>7</v>
      </c>
      <c r="B274" s="12" t="s">
        <v>287</v>
      </c>
      <c r="C274" s="12" t="s">
        <v>26</v>
      </c>
      <c r="D274" s="12">
        <v>6.1</v>
      </c>
      <c r="E274" s="12">
        <v>2012</v>
      </c>
      <c r="F274" s="124"/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  <c r="R274" s="124"/>
    </row>
    <row r="275" spans="1:18" x14ac:dyDescent="0.2">
      <c r="A275" s="12">
        <v>7</v>
      </c>
      <c r="B275" s="12" t="s">
        <v>288</v>
      </c>
      <c r="C275" s="12" t="s">
        <v>26</v>
      </c>
      <c r="D275" s="12">
        <v>20</v>
      </c>
      <c r="E275" s="12">
        <v>2012</v>
      </c>
      <c r="F275" s="124"/>
      <c r="G275" s="124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  <c r="R275" s="124"/>
    </row>
    <row r="276" spans="1:18" x14ac:dyDescent="0.2">
      <c r="A276" s="12">
        <v>7</v>
      </c>
      <c r="B276" s="12" t="s">
        <v>289</v>
      </c>
      <c r="C276" s="12" t="s">
        <v>26</v>
      </c>
      <c r="D276" s="12">
        <v>16</v>
      </c>
      <c r="E276" s="12">
        <v>2012</v>
      </c>
      <c r="F276" s="124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  <c r="R276" s="124"/>
    </row>
    <row r="277" spans="1:18" x14ac:dyDescent="0.2">
      <c r="A277" s="12">
        <v>7</v>
      </c>
      <c r="B277" s="12" t="s">
        <v>290</v>
      </c>
      <c r="C277" s="12" t="s">
        <v>26</v>
      </c>
      <c r="D277" s="12">
        <v>30.54</v>
      </c>
      <c r="E277" s="12">
        <v>2003</v>
      </c>
      <c r="F277" s="124"/>
      <c r="G277" s="124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  <c r="R277" s="124"/>
    </row>
    <row r="278" spans="1:18" x14ac:dyDescent="0.2">
      <c r="A278" s="12">
        <v>7</v>
      </c>
      <c r="B278" s="12" t="s">
        <v>291</v>
      </c>
      <c r="C278" s="12" t="s">
        <v>26</v>
      </c>
      <c r="D278" s="12">
        <v>29.58</v>
      </c>
      <c r="E278" s="12">
        <v>2003</v>
      </c>
      <c r="F278" s="124"/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  <c r="R278" s="124"/>
    </row>
    <row r="279" spans="1:18" x14ac:dyDescent="0.2">
      <c r="A279" s="12">
        <v>7</v>
      </c>
      <c r="B279" s="12" t="s">
        <v>292</v>
      </c>
      <c r="C279" s="12" t="s">
        <v>26</v>
      </c>
      <c r="D279" s="12">
        <v>41.15</v>
      </c>
      <c r="E279" s="12">
        <v>2003</v>
      </c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  <c r="R279" s="124"/>
    </row>
    <row r="280" spans="1:18" x14ac:dyDescent="0.2">
      <c r="A280" s="12">
        <v>7</v>
      </c>
      <c r="B280" s="12" t="s">
        <v>293</v>
      </c>
      <c r="C280" s="12" t="s">
        <v>26</v>
      </c>
      <c r="D280" s="12">
        <v>27.03</v>
      </c>
      <c r="E280" s="12">
        <v>2002</v>
      </c>
      <c r="F280" s="124"/>
      <c r="G280" s="124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  <c r="R280" s="124"/>
    </row>
    <row r="281" spans="1:18" x14ac:dyDescent="0.2">
      <c r="A281" s="12">
        <v>7</v>
      </c>
      <c r="B281" s="12" t="s">
        <v>294</v>
      </c>
      <c r="C281" s="12" t="s">
        <v>26</v>
      </c>
      <c r="D281" s="12">
        <v>26.51</v>
      </c>
      <c r="E281" s="12">
        <v>1998</v>
      </c>
      <c r="F281" s="124"/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  <c r="R281" s="124"/>
    </row>
    <row r="282" spans="1:18" x14ac:dyDescent="0.2">
      <c r="A282" s="12">
        <v>7</v>
      </c>
      <c r="B282" s="12" t="s">
        <v>295</v>
      </c>
      <c r="C282" s="12" t="s">
        <v>26</v>
      </c>
      <c r="D282" s="12">
        <v>35.93</v>
      </c>
      <c r="E282" s="12">
        <v>1998</v>
      </c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</row>
    <row r="283" spans="1:18" x14ac:dyDescent="0.2">
      <c r="A283" s="12">
        <v>7</v>
      </c>
      <c r="B283" s="12" t="s">
        <v>296</v>
      </c>
      <c r="C283" s="12" t="s">
        <v>26</v>
      </c>
      <c r="D283" s="12">
        <v>54.43</v>
      </c>
      <c r="E283" s="12">
        <v>2012</v>
      </c>
      <c r="F283" s="124"/>
      <c r="G283" s="124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  <c r="R283" s="124"/>
    </row>
    <row r="284" spans="1:18" x14ac:dyDescent="0.2">
      <c r="A284" s="12">
        <v>7</v>
      </c>
      <c r="B284" s="12" t="s">
        <v>297</v>
      </c>
      <c r="C284" s="12" t="s">
        <v>26</v>
      </c>
      <c r="D284" s="12">
        <v>30.19</v>
      </c>
      <c r="E284" s="12">
        <v>1998</v>
      </c>
      <c r="F284" s="124"/>
      <c r="G284" s="124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  <c r="R284" s="124"/>
    </row>
    <row r="285" spans="1:18" x14ac:dyDescent="0.2">
      <c r="A285" s="12">
        <v>7</v>
      </c>
      <c r="B285" s="12" t="s">
        <v>298</v>
      </c>
      <c r="C285" s="12" t="s">
        <v>26</v>
      </c>
      <c r="D285" s="12">
        <v>29.02</v>
      </c>
      <c r="E285" s="12">
        <v>1998</v>
      </c>
      <c r="F285" s="124"/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  <c r="R285" s="124"/>
    </row>
    <row r="286" spans="1:18" x14ac:dyDescent="0.2">
      <c r="A286" s="12">
        <v>7</v>
      </c>
      <c r="B286" s="12" t="s">
        <v>299</v>
      </c>
      <c r="C286" s="12" t="s">
        <v>26</v>
      </c>
      <c r="D286" s="12">
        <v>41.08</v>
      </c>
      <c r="E286" s="12">
        <v>1998</v>
      </c>
      <c r="F286" s="124"/>
      <c r="G286" s="124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  <c r="R286" s="124"/>
    </row>
    <row r="287" spans="1:18" x14ac:dyDescent="0.2">
      <c r="A287" s="12">
        <v>7</v>
      </c>
      <c r="B287" s="12" t="s">
        <v>300</v>
      </c>
      <c r="C287" s="12" t="s">
        <v>26</v>
      </c>
      <c r="D287" s="12">
        <v>26.81</v>
      </c>
      <c r="E287" s="12">
        <v>1998</v>
      </c>
      <c r="F287" s="124"/>
      <c r="G287" s="124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  <c r="R287" s="124"/>
    </row>
    <row r="288" spans="1:18" x14ac:dyDescent="0.2">
      <c r="A288" s="12">
        <v>7</v>
      </c>
      <c r="B288" s="12" t="s">
        <v>301</v>
      </c>
      <c r="C288" s="12" t="s">
        <v>26</v>
      </c>
      <c r="D288" s="12">
        <v>24.96</v>
      </c>
      <c r="E288" s="12">
        <v>1998</v>
      </c>
      <c r="F288" s="124"/>
      <c r="G288" s="124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  <c r="R288" s="124"/>
    </row>
    <row r="289" spans="1:18" x14ac:dyDescent="0.2">
      <c r="A289" s="12">
        <v>7</v>
      </c>
      <c r="B289" s="12" t="s">
        <v>302</v>
      </c>
      <c r="C289" s="12" t="s">
        <v>26</v>
      </c>
      <c r="D289" s="12">
        <v>35.520000000000003</v>
      </c>
      <c r="E289" s="12">
        <v>1998</v>
      </c>
      <c r="F289" s="124"/>
      <c r="G289" s="124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  <c r="R289" s="124"/>
    </row>
    <row r="290" spans="1:18" x14ac:dyDescent="0.2">
      <c r="A290" s="12">
        <v>7</v>
      </c>
      <c r="B290" s="12" t="s">
        <v>303</v>
      </c>
      <c r="C290" s="12" t="s">
        <v>26</v>
      </c>
      <c r="D290" s="12">
        <v>37.869999999999997</v>
      </c>
      <c r="E290" s="12">
        <v>2004</v>
      </c>
      <c r="F290" s="124"/>
      <c r="G290" s="124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  <c r="R290" s="124"/>
    </row>
    <row r="291" spans="1:18" x14ac:dyDescent="0.2">
      <c r="A291" s="12">
        <v>7</v>
      </c>
      <c r="B291" s="12" t="s">
        <v>304</v>
      </c>
      <c r="C291" s="12" t="s">
        <v>26</v>
      </c>
      <c r="D291" s="12">
        <v>35.06</v>
      </c>
      <c r="E291" s="12">
        <v>1998</v>
      </c>
      <c r="F291" s="124"/>
      <c r="G291" s="124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  <c r="R291" s="124"/>
    </row>
    <row r="292" spans="1:18" x14ac:dyDescent="0.2">
      <c r="A292" s="12">
        <v>7</v>
      </c>
      <c r="B292" s="12" t="s">
        <v>305</v>
      </c>
      <c r="C292" s="12" t="s">
        <v>26</v>
      </c>
      <c r="D292" s="12">
        <v>25.16</v>
      </c>
      <c r="E292" s="12">
        <v>2004</v>
      </c>
      <c r="F292" s="124"/>
      <c r="G292" s="124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  <c r="R292" s="124"/>
    </row>
    <row r="293" spans="1:18" x14ac:dyDescent="0.2">
      <c r="A293" s="12">
        <v>7</v>
      </c>
      <c r="B293" s="12" t="s">
        <v>306</v>
      </c>
      <c r="C293" s="12" t="s">
        <v>26</v>
      </c>
      <c r="D293" s="12">
        <v>9.33</v>
      </c>
      <c r="E293" s="12">
        <v>2013</v>
      </c>
      <c r="F293" s="124"/>
      <c r="G293" s="124"/>
      <c r="H293" s="124"/>
      <c r="I293" s="124"/>
      <c r="J293" s="124"/>
      <c r="K293" s="124"/>
      <c r="L293" s="124"/>
      <c r="M293" s="124"/>
      <c r="N293" s="124"/>
      <c r="O293" s="124"/>
      <c r="P293" s="124"/>
      <c r="Q293" s="124"/>
      <c r="R293" s="124"/>
    </row>
    <row r="294" spans="1:18" x14ac:dyDescent="0.2">
      <c r="A294" s="12">
        <v>7</v>
      </c>
      <c r="B294" s="12" t="s">
        <v>307</v>
      </c>
      <c r="C294" s="12" t="s">
        <v>26</v>
      </c>
      <c r="D294" s="12">
        <v>35.04</v>
      </c>
      <c r="E294" s="12">
        <v>1998</v>
      </c>
      <c r="F294" s="124"/>
      <c r="G294" s="124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  <c r="R294" s="124"/>
    </row>
    <row r="295" spans="1:18" x14ac:dyDescent="0.2">
      <c r="A295" s="12">
        <v>7</v>
      </c>
      <c r="B295" s="12" t="s">
        <v>308</v>
      </c>
      <c r="C295" s="12" t="s">
        <v>26</v>
      </c>
      <c r="D295" s="12">
        <v>24.05</v>
      </c>
      <c r="E295" s="12">
        <v>1998</v>
      </c>
      <c r="F295" s="124"/>
      <c r="G295" s="124"/>
      <c r="H295" s="124"/>
      <c r="I295" s="124"/>
      <c r="J295" s="124"/>
      <c r="K295" s="124"/>
      <c r="L295" s="124"/>
      <c r="M295" s="124"/>
      <c r="N295" s="124"/>
      <c r="O295" s="124"/>
      <c r="P295" s="124"/>
      <c r="Q295" s="124"/>
      <c r="R295" s="124"/>
    </row>
    <row r="296" spans="1:18" x14ac:dyDescent="0.2">
      <c r="A296" s="12">
        <v>7</v>
      </c>
      <c r="B296" s="12" t="s">
        <v>309</v>
      </c>
      <c r="C296" s="12" t="s">
        <v>26</v>
      </c>
      <c r="D296" s="12">
        <v>11.35</v>
      </c>
      <c r="E296" s="12">
        <v>1998</v>
      </c>
      <c r="F296" s="124"/>
      <c r="G296" s="124"/>
      <c r="H296" s="124"/>
      <c r="I296" s="124"/>
      <c r="J296" s="124"/>
      <c r="K296" s="124"/>
      <c r="L296" s="124"/>
      <c r="M296" s="124"/>
      <c r="N296" s="124"/>
      <c r="O296" s="124"/>
      <c r="P296" s="124"/>
      <c r="Q296" s="124"/>
      <c r="R296" s="124"/>
    </row>
    <row r="297" spans="1:18" x14ac:dyDescent="0.2">
      <c r="A297" s="12">
        <v>7</v>
      </c>
      <c r="B297" s="12" t="s">
        <v>310</v>
      </c>
      <c r="C297" s="12" t="s">
        <v>26</v>
      </c>
      <c r="D297" s="12">
        <v>18.2</v>
      </c>
      <c r="E297" s="12">
        <v>2018</v>
      </c>
      <c r="F297" s="124"/>
      <c r="G297" s="124"/>
      <c r="H297" s="124"/>
      <c r="I297" s="124"/>
      <c r="J297" s="124"/>
      <c r="K297" s="124"/>
      <c r="L297" s="124"/>
      <c r="M297" s="124"/>
      <c r="N297" s="124"/>
      <c r="O297" s="124"/>
      <c r="P297" s="124"/>
      <c r="Q297" s="124"/>
      <c r="R297" s="124"/>
    </row>
    <row r="298" spans="1:18" x14ac:dyDescent="0.2">
      <c r="A298" s="12">
        <v>7</v>
      </c>
      <c r="B298" s="12" t="s">
        <v>311</v>
      </c>
      <c r="C298" s="12" t="s">
        <v>26</v>
      </c>
      <c r="D298" s="12">
        <v>20.32</v>
      </c>
      <c r="E298" s="12">
        <v>2019</v>
      </c>
      <c r="F298" s="124"/>
      <c r="G298" s="124"/>
      <c r="H298" s="124"/>
      <c r="I298" s="124"/>
      <c r="J298" s="124"/>
      <c r="K298" s="124"/>
      <c r="L298" s="124"/>
      <c r="M298" s="124"/>
      <c r="N298" s="124"/>
      <c r="O298" s="124"/>
      <c r="P298" s="124"/>
      <c r="Q298" s="124"/>
      <c r="R298" s="124"/>
    </row>
    <row r="299" spans="1:18" x14ac:dyDescent="0.2">
      <c r="A299" s="12">
        <v>7</v>
      </c>
      <c r="B299" s="12" t="s">
        <v>312</v>
      </c>
      <c r="C299" s="12" t="s">
        <v>26</v>
      </c>
      <c r="D299" s="12">
        <v>25.41</v>
      </c>
      <c r="E299" s="12">
        <v>2002</v>
      </c>
      <c r="F299" s="124"/>
      <c r="G299" s="124"/>
      <c r="H299" s="124"/>
      <c r="I299" s="124"/>
      <c r="J299" s="124"/>
      <c r="K299" s="124"/>
      <c r="L299" s="124"/>
      <c r="M299" s="124"/>
      <c r="N299" s="124"/>
      <c r="O299" s="124"/>
      <c r="P299" s="124"/>
      <c r="Q299" s="124"/>
      <c r="R299" s="124"/>
    </row>
    <row r="300" spans="1:18" x14ac:dyDescent="0.2">
      <c r="A300" s="12">
        <v>7</v>
      </c>
      <c r="B300" s="12" t="s">
        <v>313</v>
      </c>
      <c r="C300" s="12" t="s">
        <v>26</v>
      </c>
      <c r="D300" s="12">
        <v>12.5</v>
      </c>
      <c r="E300" s="12">
        <v>2013</v>
      </c>
      <c r="F300" s="124"/>
      <c r="G300" s="124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</row>
    <row r="301" spans="1:18" x14ac:dyDescent="0.2">
      <c r="A301" s="12">
        <v>7</v>
      </c>
      <c r="B301" s="12" t="s">
        <v>314</v>
      </c>
      <c r="C301" s="12" t="s">
        <v>26</v>
      </c>
      <c r="D301" s="12">
        <v>22.95</v>
      </c>
      <c r="E301" s="12">
        <v>2019</v>
      </c>
      <c r="F301" s="124"/>
      <c r="G301" s="124"/>
      <c r="H301" s="124"/>
      <c r="I301" s="124"/>
      <c r="J301" s="124"/>
      <c r="K301" s="124"/>
      <c r="L301" s="124"/>
      <c r="M301" s="124"/>
      <c r="N301" s="124"/>
      <c r="O301" s="124"/>
      <c r="P301" s="124"/>
      <c r="Q301" s="124"/>
      <c r="R301" s="124"/>
    </row>
    <row r="302" spans="1:18" x14ac:dyDescent="0.2">
      <c r="A302" s="12">
        <v>7</v>
      </c>
      <c r="B302" s="12" t="s">
        <v>315</v>
      </c>
      <c r="C302" s="12" t="s">
        <v>26</v>
      </c>
      <c r="D302" s="12">
        <v>37.83</v>
      </c>
      <c r="E302" s="12">
        <v>2019</v>
      </c>
      <c r="F302" s="124"/>
      <c r="G302" s="124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</row>
    <row r="303" spans="1:18" x14ac:dyDescent="0.2">
      <c r="A303" s="12">
        <v>7</v>
      </c>
      <c r="B303" s="12" t="s">
        <v>316</v>
      </c>
      <c r="C303" s="12" t="s">
        <v>26</v>
      </c>
      <c r="D303" s="12">
        <v>3.07</v>
      </c>
      <c r="E303" s="12">
        <v>2021</v>
      </c>
      <c r="F303" s="124"/>
      <c r="G303" s="124"/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  <c r="R303" s="124"/>
    </row>
    <row r="304" spans="1:18" x14ac:dyDescent="0.2">
      <c r="A304" s="310" t="s">
        <v>71</v>
      </c>
      <c r="B304" s="311"/>
      <c r="C304" s="312"/>
      <c r="D304" s="13">
        <f>SUM(D256:D303)</f>
        <v>1325.6199999999997</v>
      </c>
      <c r="E304" s="13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</row>
    <row r="305" spans="1:18" x14ac:dyDescent="0.2">
      <c r="A305" s="12">
        <v>8</v>
      </c>
      <c r="B305" s="12" t="s">
        <v>317</v>
      </c>
      <c r="C305" s="12" t="s">
        <v>26</v>
      </c>
      <c r="D305" s="12">
        <v>29.27</v>
      </c>
      <c r="E305" s="12">
        <v>2002</v>
      </c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</row>
    <row r="306" spans="1:18" x14ac:dyDescent="0.2">
      <c r="A306" s="12">
        <v>8</v>
      </c>
      <c r="B306" s="12" t="s">
        <v>318</v>
      </c>
      <c r="C306" s="12" t="s">
        <v>26</v>
      </c>
      <c r="D306" s="12">
        <v>27.19</v>
      </c>
      <c r="E306" s="12">
        <v>2002</v>
      </c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</row>
    <row r="307" spans="1:18" x14ac:dyDescent="0.2">
      <c r="A307" s="12">
        <v>8</v>
      </c>
      <c r="B307" s="12" t="s">
        <v>319</v>
      </c>
      <c r="C307" s="12" t="s">
        <v>26</v>
      </c>
      <c r="D307" s="12">
        <v>25.47</v>
      </c>
      <c r="E307" s="12">
        <v>2002</v>
      </c>
      <c r="F307" s="124"/>
      <c r="G307" s="124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  <c r="R307" s="124"/>
    </row>
    <row r="308" spans="1:18" x14ac:dyDescent="0.2">
      <c r="A308" s="12">
        <v>8</v>
      </c>
      <c r="B308" s="12" t="s">
        <v>320</v>
      </c>
      <c r="C308" s="12" t="s">
        <v>26</v>
      </c>
      <c r="D308" s="12">
        <v>25.95</v>
      </c>
      <c r="E308" s="12">
        <v>2005</v>
      </c>
      <c r="F308" s="124"/>
      <c r="G308" s="124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  <c r="R308" s="124"/>
    </row>
    <row r="309" spans="1:18" x14ac:dyDescent="0.2">
      <c r="A309" s="12">
        <v>8</v>
      </c>
      <c r="B309" s="12" t="s">
        <v>321</v>
      </c>
      <c r="C309" s="12" t="s">
        <v>26</v>
      </c>
      <c r="D309" s="12">
        <v>32.39</v>
      </c>
      <c r="E309" s="12">
        <v>2005</v>
      </c>
      <c r="F309" s="124"/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4"/>
    </row>
    <row r="310" spans="1:18" x14ac:dyDescent="0.2">
      <c r="A310" s="12">
        <v>8</v>
      </c>
      <c r="B310" s="12" t="s">
        <v>322</v>
      </c>
      <c r="C310" s="12" t="s">
        <v>26</v>
      </c>
      <c r="D310" s="12">
        <v>27.65</v>
      </c>
      <c r="E310" s="12">
        <v>2002</v>
      </c>
      <c r="F310" s="124"/>
      <c r="G310" s="124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  <c r="R310" s="124"/>
    </row>
    <row r="311" spans="1:18" x14ac:dyDescent="0.2">
      <c r="A311" s="12">
        <v>8</v>
      </c>
      <c r="B311" s="12" t="s">
        <v>323</v>
      </c>
      <c r="C311" s="12" t="s">
        <v>26</v>
      </c>
      <c r="D311" s="12">
        <v>28.36</v>
      </c>
      <c r="E311" s="12">
        <v>2002</v>
      </c>
      <c r="F311" s="124"/>
      <c r="G311" s="124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  <c r="R311" s="124"/>
    </row>
    <row r="312" spans="1:18" x14ac:dyDescent="0.2">
      <c r="A312" s="12">
        <v>8</v>
      </c>
      <c r="B312" s="12" t="s">
        <v>324</v>
      </c>
      <c r="C312" s="12" t="s">
        <v>26</v>
      </c>
      <c r="D312" s="12">
        <v>27.02</v>
      </c>
      <c r="E312" s="12">
        <v>2002</v>
      </c>
      <c r="F312" s="124"/>
      <c r="G312" s="124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</row>
    <row r="313" spans="1:18" x14ac:dyDescent="0.2">
      <c r="A313" s="12">
        <v>8</v>
      </c>
      <c r="B313" s="12" t="s">
        <v>325</v>
      </c>
      <c r="C313" s="12" t="s">
        <v>26</v>
      </c>
      <c r="D313" s="12">
        <v>28.01</v>
      </c>
      <c r="E313" s="12">
        <v>2003</v>
      </c>
      <c r="F313" s="124"/>
      <c r="G313" s="124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  <c r="R313" s="124"/>
    </row>
    <row r="314" spans="1:18" x14ac:dyDescent="0.2">
      <c r="A314" s="12">
        <v>8</v>
      </c>
      <c r="B314" s="12" t="s">
        <v>326</v>
      </c>
      <c r="C314" s="12" t="s">
        <v>26</v>
      </c>
      <c r="D314" s="12">
        <v>30.16</v>
      </c>
      <c r="E314" s="12">
        <v>2003</v>
      </c>
      <c r="F314" s="124"/>
      <c r="G314" s="124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  <c r="R314" s="124"/>
    </row>
    <row r="315" spans="1:18" x14ac:dyDescent="0.2">
      <c r="A315" s="12">
        <v>8</v>
      </c>
      <c r="B315" s="12" t="s">
        <v>327</v>
      </c>
      <c r="C315" s="12" t="s">
        <v>26</v>
      </c>
      <c r="D315" s="12">
        <v>27.53</v>
      </c>
      <c r="E315" s="12">
        <v>2002</v>
      </c>
      <c r="F315" s="124"/>
      <c r="G315" s="124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  <c r="R315" s="124"/>
    </row>
    <row r="316" spans="1:18" x14ac:dyDescent="0.2">
      <c r="A316" s="12">
        <v>8</v>
      </c>
      <c r="B316" s="12" t="s">
        <v>328</v>
      </c>
      <c r="C316" s="12" t="s">
        <v>26</v>
      </c>
      <c r="D316" s="12">
        <v>26.36</v>
      </c>
      <c r="E316" s="12">
        <v>1999</v>
      </c>
      <c r="F316" s="124"/>
      <c r="G316" s="124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  <c r="R316" s="124"/>
    </row>
    <row r="317" spans="1:18" x14ac:dyDescent="0.2">
      <c r="A317" s="12">
        <v>8</v>
      </c>
      <c r="B317" s="12" t="s">
        <v>329</v>
      </c>
      <c r="C317" s="12" t="s">
        <v>26</v>
      </c>
      <c r="D317" s="12">
        <v>27</v>
      </c>
      <c r="E317" s="12">
        <v>2003</v>
      </c>
      <c r="F317" s="124"/>
      <c r="G317" s="124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  <c r="R317" s="124"/>
    </row>
    <row r="318" spans="1:18" x14ac:dyDescent="0.2">
      <c r="A318" s="12">
        <v>8</v>
      </c>
      <c r="B318" s="12" t="s">
        <v>330</v>
      </c>
      <c r="C318" s="12" t="s">
        <v>26</v>
      </c>
      <c r="D318" s="12">
        <v>33.6</v>
      </c>
      <c r="E318" s="12">
        <v>2003</v>
      </c>
      <c r="F318" s="124"/>
      <c r="G318" s="124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  <c r="R318" s="124"/>
    </row>
    <row r="319" spans="1:18" x14ac:dyDescent="0.2">
      <c r="A319" s="12">
        <v>8</v>
      </c>
      <c r="B319" s="12" t="s">
        <v>331</v>
      </c>
      <c r="C319" s="12" t="s">
        <v>26</v>
      </c>
      <c r="D319" s="12">
        <v>27.39</v>
      </c>
      <c r="E319" s="12">
        <v>1999</v>
      </c>
      <c r="F319" s="124"/>
      <c r="G319" s="124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</row>
    <row r="320" spans="1:18" x14ac:dyDescent="0.2">
      <c r="A320" s="12">
        <v>8</v>
      </c>
      <c r="B320" s="12" t="s">
        <v>332</v>
      </c>
      <c r="C320" s="12" t="s">
        <v>26</v>
      </c>
      <c r="D320" s="12">
        <v>29.18</v>
      </c>
      <c r="E320" s="12">
        <v>1999</v>
      </c>
      <c r="F320" s="124"/>
      <c r="G320" s="124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</row>
    <row r="321" spans="1:18" x14ac:dyDescent="0.2">
      <c r="A321" s="12">
        <v>8</v>
      </c>
      <c r="B321" s="12" t="s">
        <v>333</v>
      </c>
      <c r="C321" s="12" t="s">
        <v>26</v>
      </c>
      <c r="D321" s="12">
        <v>29.24</v>
      </c>
      <c r="E321" s="12">
        <v>1999</v>
      </c>
      <c r="F321" s="124"/>
      <c r="G321" s="124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</row>
    <row r="322" spans="1:18" x14ac:dyDescent="0.2">
      <c r="A322" s="12">
        <v>8</v>
      </c>
      <c r="B322" s="12" t="s">
        <v>334</v>
      </c>
      <c r="C322" s="12" t="s">
        <v>26</v>
      </c>
      <c r="D322" s="12">
        <v>28.97</v>
      </c>
      <c r="E322" s="12">
        <v>1999</v>
      </c>
      <c r="F322" s="124"/>
      <c r="G322" s="124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</row>
    <row r="323" spans="1:18" x14ac:dyDescent="0.2">
      <c r="A323" s="12">
        <v>8</v>
      </c>
      <c r="B323" s="12" t="s">
        <v>335</v>
      </c>
      <c r="C323" s="12" t="s">
        <v>26</v>
      </c>
      <c r="D323" s="12">
        <v>30.13</v>
      </c>
      <c r="E323" s="12">
        <v>2004</v>
      </c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</row>
    <row r="324" spans="1:18" x14ac:dyDescent="0.2">
      <c r="A324" s="12">
        <v>8</v>
      </c>
      <c r="B324" s="12" t="s">
        <v>336</v>
      </c>
      <c r="C324" s="12" t="s">
        <v>26</v>
      </c>
      <c r="D324" s="12">
        <v>28.25</v>
      </c>
      <c r="E324" s="12">
        <v>2004</v>
      </c>
      <c r="F324" s="124"/>
      <c r="G324" s="124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</row>
    <row r="325" spans="1:18" x14ac:dyDescent="0.2">
      <c r="A325" s="12">
        <v>8</v>
      </c>
      <c r="B325" s="12" t="s">
        <v>337</v>
      </c>
      <c r="C325" s="12" t="s">
        <v>26</v>
      </c>
      <c r="D325" s="12">
        <v>28.03</v>
      </c>
      <c r="E325" s="12">
        <v>2003</v>
      </c>
      <c r="F325" s="124"/>
      <c r="G325" s="124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</row>
    <row r="326" spans="1:18" x14ac:dyDescent="0.2">
      <c r="A326" s="12">
        <v>8</v>
      </c>
      <c r="B326" s="12" t="s">
        <v>338</v>
      </c>
      <c r="C326" s="12" t="s">
        <v>26</v>
      </c>
      <c r="D326" s="12">
        <v>10.1</v>
      </c>
      <c r="E326" s="12">
        <v>2005</v>
      </c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</row>
    <row r="327" spans="1:18" x14ac:dyDescent="0.2">
      <c r="A327" s="12">
        <v>8</v>
      </c>
      <c r="B327" s="12" t="s">
        <v>339</v>
      </c>
      <c r="C327" s="12" t="s">
        <v>26</v>
      </c>
      <c r="D327" s="12">
        <v>25.14</v>
      </c>
      <c r="E327" s="12">
        <v>2005</v>
      </c>
      <c r="F327" s="124"/>
      <c r="G327" s="124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</row>
    <row r="328" spans="1:18" x14ac:dyDescent="0.2">
      <c r="A328" s="12">
        <v>8</v>
      </c>
      <c r="B328" s="12" t="s">
        <v>340</v>
      </c>
      <c r="C328" s="12" t="s">
        <v>26</v>
      </c>
      <c r="D328" s="12">
        <v>26.78</v>
      </c>
      <c r="E328" s="12">
        <v>2002</v>
      </c>
      <c r="F328" s="124"/>
      <c r="G328" s="124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  <c r="R328" s="124"/>
    </row>
    <row r="329" spans="1:18" x14ac:dyDescent="0.2">
      <c r="A329" s="12">
        <v>8</v>
      </c>
      <c r="B329" s="12" t="s">
        <v>341</v>
      </c>
      <c r="C329" s="12" t="s">
        <v>26</v>
      </c>
      <c r="D329" s="12">
        <v>30.31</v>
      </c>
      <c r="E329" s="12">
        <v>1999</v>
      </c>
      <c r="F329" s="124"/>
      <c r="G329" s="124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  <c r="R329" s="124"/>
    </row>
    <row r="330" spans="1:18" x14ac:dyDescent="0.2">
      <c r="A330" s="12">
        <v>8</v>
      </c>
      <c r="B330" s="12" t="s">
        <v>342</v>
      </c>
      <c r="C330" s="12" t="s">
        <v>26</v>
      </c>
      <c r="D330" s="12">
        <v>31.41</v>
      </c>
      <c r="E330" s="12">
        <v>1999</v>
      </c>
      <c r="F330" s="124"/>
      <c r="G330" s="124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  <c r="R330" s="124"/>
    </row>
    <row r="331" spans="1:18" x14ac:dyDescent="0.2">
      <c r="A331" s="12">
        <v>8</v>
      </c>
      <c r="B331" s="12" t="s">
        <v>343</v>
      </c>
      <c r="C331" s="12" t="s">
        <v>26</v>
      </c>
      <c r="D331" s="12">
        <v>29.76</v>
      </c>
      <c r="E331" s="12">
        <v>1999</v>
      </c>
      <c r="F331" s="124"/>
      <c r="G331" s="124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  <c r="R331" s="124"/>
    </row>
    <row r="332" spans="1:18" x14ac:dyDescent="0.2">
      <c r="A332" s="12">
        <v>8</v>
      </c>
      <c r="B332" s="12" t="s">
        <v>344</v>
      </c>
      <c r="C332" s="12" t="s">
        <v>26</v>
      </c>
      <c r="D332" s="12">
        <v>30.4</v>
      </c>
      <c r="E332" s="12">
        <v>1999</v>
      </c>
      <c r="F332" s="124"/>
      <c r="G332" s="124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</row>
    <row r="333" spans="1:18" x14ac:dyDescent="0.2">
      <c r="A333" s="12">
        <v>8</v>
      </c>
      <c r="B333" s="12" t="s">
        <v>345</v>
      </c>
      <c r="C333" s="12" t="s">
        <v>26</v>
      </c>
      <c r="D333" s="12">
        <v>29.89</v>
      </c>
      <c r="E333" s="12">
        <v>2003</v>
      </c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</row>
    <row r="334" spans="1:18" x14ac:dyDescent="0.2">
      <c r="A334" s="12">
        <v>8</v>
      </c>
      <c r="B334" s="12" t="s">
        <v>346</v>
      </c>
      <c r="C334" s="12" t="s">
        <v>26</v>
      </c>
      <c r="D334" s="12">
        <v>29.84</v>
      </c>
      <c r="E334" s="12">
        <v>1998</v>
      </c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</row>
    <row r="335" spans="1:18" x14ac:dyDescent="0.2">
      <c r="A335" s="12">
        <v>8</v>
      </c>
      <c r="B335" s="12" t="s">
        <v>347</v>
      </c>
      <c r="C335" s="12" t="s">
        <v>26</v>
      </c>
      <c r="D335" s="12">
        <v>28.41</v>
      </c>
      <c r="E335" s="12">
        <v>1998</v>
      </c>
      <c r="F335" s="124"/>
      <c r="G335" s="124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  <c r="R335" s="124"/>
    </row>
    <row r="336" spans="1:18" x14ac:dyDescent="0.2">
      <c r="A336" s="12">
        <v>8</v>
      </c>
      <c r="B336" s="12" t="s">
        <v>348</v>
      </c>
      <c r="C336" s="12" t="s">
        <v>26</v>
      </c>
      <c r="D336" s="12">
        <v>27.74</v>
      </c>
      <c r="E336" s="12">
        <v>1998</v>
      </c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</row>
    <row r="337" spans="1:18" x14ac:dyDescent="0.2">
      <c r="A337" s="12">
        <v>8</v>
      </c>
      <c r="B337" s="12" t="s">
        <v>349</v>
      </c>
      <c r="C337" s="12" t="s">
        <v>26</v>
      </c>
      <c r="D337" s="12">
        <v>28.21</v>
      </c>
      <c r="E337" s="12">
        <v>2005</v>
      </c>
      <c r="F337" s="124"/>
      <c r="G337" s="124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</row>
    <row r="338" spans="1:18" x14ac:dyDescent="0.2">
      <c r="A338" s="12">
        <v>8</v>
      </c>
      <c r="B338" s="12" t="s">
        <v>350</v>
      </c>
      <c r="C338" s="12" t="s">
        <v>26</v>
      </c>
      <c r="D338" s="12">
        <v>28.32</v>
      </c>
      <c r="E338" s="12">
        <v>2004</v>
      </c>
      <c r="F338" s="124"/>
      <c r="G338" s="124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</row>
    <row r="339" spans="1:18" x14ac:dyDescent="0.2">
      <c r="A339" s="12">
        <v>8</v>
      </c>
      <c r="B339" s="12" t="s">
        <v>351</v>
      </c>
      <c r="C339" s="12" t="s">
        <v>26</v>
      </c>
      <c r="D339" s="12">
        <v>28.17</v>
      </c>
      <c r="E339" s="12">
        <v>1998</v>
      </c>
      <c r="F339" s="124"/>
      <c r="G339" s="124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  <c r="R339" s="124"/>
    </row>
    <row r="340" spans="1:18" x14ac:dyDescent="0.2">
      <c r="A340" s="12">
        <v>8</v>
      </c>
      <c r="B340" s="12" t="s">
        <v>352</v>
      </c>
      <c r="C340" s="12" t="s">
        <v>26</v>
      </c>
      <c r="D340" s="12">
        <v>30.42</v>
      </c>
      <c r="E340" s="12">
        <v>1998</v>
      </c>
      <c r="F340" s="124"/>
      <c r="G340" s="124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  <c r="R340" s="124"/>
    </row>
    <row r="341" spans="1:18" x14ac:dyDescent="0.2">
      <c r="A341" s="12">
        <v>8</v>
      </c>
      <c r="B341" s="12" t="s">
        <v>353</v>
      </c>
      <c r="C341" s="12" t="s">
        <v>26</v>
      </c>
      <c r="D341" s="12">
        <v>30.82</v>
      </c>
      <c r="E341" s="12">
        <v>1998</v>
      </c>
      <c r="F341" s="124"/>
      <c r="G341" s="124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  <c r="R341" s="124"/>
    </row>
    <row r="342" spans="1:18" x14ac:dyDescent="0.2">
      <c r="A342" s="12">
        <v>8</v>
      </c>
      <c r="B342" s="12" t="s">
        <v>354</v>
      </c>
      <c r="C342" s="12" t="s">
        <v>26</v>
      </c>
      <c r="D342" s="12">
        <v>28.93</v>
      </c>
      <c r="E342" s="12">
        <v>1998</v>
      </c>
      <c r="F342" s="124"/>
      <c r="G342" s="124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  <c r="R342" s="124"/>
    </row>
    <row r="343" spans="1:18" x14ac:dyDescent="0.2">
      <c r="A343" s="12">
        <v>8</v>
      </c>
      <c r="B343" s="12" t="s">
        <v>355</v>
      </c>
      <c r="C343" s="12" t="s">
        <v>26</v>
      </c>
      <c r="D343" s="12">
        <v>28.65</v>
      </c>
      <c r="E343" s="12">
        <v>1998</v>
      </c>
      <c r="F343" s="124"/>
      <c r="G343" s="124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</row>
    <row r="344" spans="1:18" x14ac:dyDescent="0.2">
      <c r="A344" s="12">
        <v>8</v>
      </c>
      <c r="B344" s="12" t="s">
        <v>356</v>
      </c>
      <c r="C344" s="12" t="s">
        <v>26</v>
      </c>
      <c r="D344" s="12">
        <v>28.6</v>
      </c>
      <c r="E344" s="12">
        <v>1998</v>
      </c>
      <c r="F344" s="124"/>
      <c r="G344" s="124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  <c r="R344" s="124"/>
    </row>
    <row r="345" spans="1:18" x14ac:dyDescent="0.2">
      <c r="A345" s="310" t="s">
        <v>71</v>
      </c>
      <c r="B345" s="311"/>
      <c r="C345" s="312"/>
      <c r="D345" s="13">
        <f>SUM(D305:D344)</f>
        <v>1129.05</v>
      </c>
      <c r="E345" s="13"/>
      <c r="F345" s="124"/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</row>
    <row r="346" spans="1:18" x14ac:dyDescent="0.2">
      <c r="A346" s="12">
        <v>9</v>
      </c>
      <c r="B346" s="12" t="s">
        <v>357</v>
      </c>
      <c r="C346" s="12" t="s">
        <v>26</v>
      </c>
      <c r="D346" s="12">
        <v>29.05</v>
      </c>
      <c r="E346" s="12">
        <v>1998</v>
      </c>
      <c r="F346" s="124"/>
      <c r="G346" s="124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  <c r="R346" s="124"/>
    </row>
    <row r="347" spans="1:18" x14ac:dyDescent="0.2">
      <c r="A347" s="12">
        <v>9</v>
      </c>
      <c r="B347" s="12" t="s">
        <v>358</v>
      </c>
      <c r="C347" s="12" t="s">
        <v>26</v>
      </c>
      <c r="D347" s="12">
        <v>28.92</v>
      </c>
      <c r="E347" s="12">
        <v>1998</v>
      </c>
      <c r="F347" s="124"/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</row>
    <row r="348" spans="1:18" x14ac:dyDescent="0.2">
      <c r="A348" s="12">
        <v>9</v>
      </c>
      <c r="B348" s="12" t="s">
        <v>359</v>
      </c>
      <c r="C348" s="12" t="s">
        <v>26</v>
      </c>
      <c r="D348" s="12">
        <v>27.74</v>
      </c>
      <c r="E348" s="12">
        <v>1998</v>
      </c>
      <c r="F348" s="124"/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</row>
    <row r="349" spans="1:18" x14ac:dyDescent="0.2">
      <c r="A349" s="12">
        <v>9</v>
      </c>
      <c r="B349" s="12" t="s">
        <v>360</v>
      </c>
      <c r="C349" s="12" t="s">
        <v>26</v>
      </c>
      <c r="D349" s="12">
        <v>29.7</v>
      </c>
      <c r="E349" s="12">
        <v>1998</v>
      </c>
      <c r="F349" s="124"/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</row>
    <row r="350" spans="1:18" x14ac:dyDescent="0.2">
      <c r="A350" s="12">
        <v>9</v>
      </c>
      <c r="B350" s="12" t="s">
        <v>361</v>
      </c>
      <c r="C350" s="12" t="s">
        <v>26</v>
      </c>
      <c r="D350" s="12">
        <v>29.57</v>
      </c>
      <c r="E350" s="12">
        <v>1998</v>
      </c>
      <c r="F350" s="124"/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</row>
    <row r="351" spans="1:18" x14ac:dyDescent="0.2">
      <c r="A351" s="12">
        <v>9</v>
      </c>
      <c r="B351" s="12" t="s">
        <v>362</v>
      </c>
      <c r="C351" s="12" t="s">
        <v>26</v>
      </c>
      <c r="D351" s="12">
        <v>39.89</v>
      </c>
      <c r="E351" s="12">
        <v>1998</v>
      </c>
      <c r="F351" s="124"/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</row>
    <row r="352" spans="1:18" x14ac:dyDescent="0.2">
      <c r="A352" s="12">
        <v>9</v>
      </c>
      <c r="B352" s="12" t="s">
        <v>363</v>
      </c>
      <c r="C352" s="12" t="s">
        <v>26</v>
      </c>
      <c r="D352" s="12">
        <v>27.1</v>
      </c>
      <c r="E352" s="12">
        <v>1998</v>
      </c>
      <c r="F352" s="124"/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</row>
    <row r="353" spans="1:18" x14ac:dyDescent="0.2">
      <c r="A353" s="12">
        <v>9</v>
      </c>
      <c r="B353" s="12" t="s">
        <v>364</v>
      </c>
      <c r="C353" s="12" t="s">
        <v>26</v>
      </c>
      <c r="D353" s="12">
        <v>25.07</v>
      </c>
      <c r="E353" s="12">
        <v>1998</v>
      </c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</row>
    <row r="354" spans="1:18" x14ac:dyDescent="0.2">
      <c r="A354" s="12">
        <v>9</v>
      </c>
      <c r="B354" s="12" t="s">
        <v>365</v>
      </c>
      <c r="C354" s="12" t="s">
        <v>26</v>
      </c>
      <c r="D354" s="12">
        <v>29.76</v>
      </c>
      <c r="E354" s="12">
        <v>1998</v>
      </c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</row>
    <row r="355" spans="1:18" x14ac:dyDescent="0.2">
      <c r="A355" s="12">
        <v>9</v>
      </c>
      <c r="B355" s="12" t="s">
        <v>366</v>
      </c>
      <c r="C355" s="12" t="s">
        <v>26</v>
      </c>
      <c r="D355" s="12">
        <v>27.96</v>
      </c>
      <c r="E355" s="12">
        <v>1998</v>
      </c>
      <c r="F355" s="124"/>
      <c r="G355" s="124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  <c r="R355" s="124"/>
    </row>
    <row r="356" spans="1:18" x14ac:dyDescent="0.2">
      <c r="A356" s="12">
        <v>9</v>
      </c>
      <c r="B356" s="12" t="s">
        <v>367</v>
      </c>
      <c r="C356" s="12" t="s">
        <v>26</v>
      </c>
      <c r="D356" s="12">
        <v>29.59</v>
      </c>
      <c r="E356" s="12">
        <v>1998</v>
      </c>
      <c r="F356" s="124"/>
      <c r="G356" s="124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  <c r="R356" s="124"/>
    </row>
    <row r="357" spans="1:18" x14ac:dyDescent="0.2">
      <c r="A357" s="12">
        <v>9</v>
      </c>
      <c r="B357" s="12" t="s">
        <v>368</v>
      </c>
      <c r="C357" s="12" t="s">
        <v>26</v>
      </c>
      <c r="D357" s="12">
        <v>29.85</v>
      </c>
      <c r="E357" s="12">
        <v>1998</v>
      </c>
      <c r="F357" s="124"/>
      <c r="G357" s="124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  <c r="R357" s="124"/>
    </row>
    <row r="358" spans="1:18" x14ac:dyDescent="0.2">
      <c r="A358" s="12">
        <v>9</v>
      </c>
      <c r="B358" s="12" t="s">
        <v>369</v>
      </c>
      <c r="C358" s="12" t="s">
        <v>26</v>
      </c>
      <c r="D358" s="12">
        <v>28.25</v>
      </c>
      <c r="E358" s="12">
        <v>2004</v>
      </c>
      <c r="F358" s="124"/>
      <c r="G358" s="124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  <c r="R358" s="124"/>
    </row>
    <row r="359" spans="1:18" x14ac:dyDescent="0.2">
      <c r="A359" s="12">
        <v>9</v>
      </c>
      <c r="B359" s="12" t="s">
        <v>370</v>
      </c>
      <c r="C359" s="12" t="s">
        <v>26</v>
      </c>
      <c r="D359" s="12">
        <v>29.66</v>
      </c>
      <c r="E359" s="12">
        <v>2003</v>
      </c>
      <c r="F359" s="124"/>
      <c r="G359" s="124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  <c r="R359" s="124"/>
    </row>
    <row r="360" spans="1:18" x14ac:dyDescent="0.2">
      <c r="A360" s="12">
        <v>9</v>
      </c>
      <c r="B360" s="12" t="s">
        <v>371</v>
      </c>
      <c r="C360" s="12" t="s">
        <v>26</v>
      </c>
      <c r="D360" s="12">
        <v>30.05</v>
      </c>
      <c r="E360" s="12">
        <v>2003</v>
      </c>
      <c r="F360" s="124"/>
      <c r="G360" s="124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  <c r="R360" s="124"/>
    </row>
    <row r="361" spans="1:18" x14ac:dyDescent="0.2">
      <c r="A361" s="12">
        <v>9</v>
      </c>
      <c r="B361" s="12" t="s">
        <v>372</v>
      </c>
      <c r="C361" s="12" t="s">
        <v>26</v>
      </c>
      <c r="D361" s="12">
        <v>40.229999999999997</v>
      </c>
      <c r="E361" s="12">
        <v>2003</v>
      </c>
      <c r="F361" s="124"/>
      <c r="G361" s="124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  <c r="R361" s="124"/>
    </row>
    <row r="362" spans="1:18" x14ac:dyDescent="0.2">
      <c r="A362" s="12">
        <v>9</v>
      </c>
      <c r="B362" s="12" t="s">
        <v>373</v>
      </c>
      <c r="C362" s="12" t="s">
        <v>26</v>
      </c>
      <c r="D362" s="12">
        <v>24.85</v>
      </c>
      <c r="E362" s="12">
        <v>2003</v>
      </c>
      <c r="F362" s="124"/>
      <c r="G362" s="124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  <c r="R362" s="124"/>
    </row>
    <row r="363" spans="1:18" x14ac:dyDescent="0.2">
      <c r="A363" s="12">
        <v>9</v>
      </c>
      <c r="B363" s="12" t="s">
        <v>374</v>
      </c>
      <c r="C363" s="12" t="s">
        <v>26</v>
      </c>
      <c r="D363" s="12">
        <v>15.16</v>
      </c>
      <c r="E363" s="12">
        <v>2003</v>
      </c>
      <c r="F363" s="124"/>
      <c r="G363" s="124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  <c r="R363" s="124"/>
    </row>
    <row r="364" spans="1:18" x14ac:dyDescent="0.2">
      <c r="A364" s="12">
        <v>9</v>
      </c>
      <c r="B364" s="12" t="s">
        <v>375</v>
      </c>
      <c r="C364" s="12" t="s">
        <v>26</v>
      </c>
      <c r="D364" s="12">
        <v>6.11</v>
      </c>
      <c r="E364" s="12">
        <v>2003</v>
      </c>
      <c r="F364" s="124"/>
      <c r="G364" s="124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  <c r="R364" s="124"/>
    </row>
    <row r="365" spans="1:18" x14ac:dyDescent="0.2">
      <c r="A365" s="12">
        <v>9</v>
      </c>
      <c r="B365" s="12" t="s">
        <v>376</v>
      </c>
      <c r="C365" s="12" t="s">
        <v>26</v>
      </c>
      <c r="D365" s="12">
        <v>30.32</v>
      </c>
      <c r="E365" s="12">
        <v>1998</v>
      </c>
      <c r="F365" s="124"/>
      <c r="G365" s="124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  <c r="R365" s="124"/>
    </row>
    <row r="366" spans="1:18" x14ac:dyDescent="0.2">
      <c r="A366" s="12">
        <v>9</v>
      </c>
      <c r="B366" s="12" t="s">
        <v>377</v>
      </c>
      <c r="C366" s="12" t="s">
        <v>26</v>
      </c>
      <c r="D366" s="12">
        <v>28.32</v>
      </c>
      <c r="E366" s="12">
        <v>1998</v>
      </c>
      <c r="F366" s="124"/>
      <c r="G366" s="124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  <c r="R366" s="124"/>
    </row>
    <row r="367" spans="1:18" x14ac:dyDescent="0.2">
      <c r="A367" s="12">
        <v>9</v>
      </c>
      <c r="B367" s="12" t="s">
        <v>378</v>
      </c>
      <c r="C367" s="12" t="s">
        <v>26</v>
      </c>
      <c r="D367" s="12">
        <v>30.13</v>
      </c>
      <c r="E367" s="12">
        <v>1997</v>
      </c>
      <c r="F367" s="124"/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</row>
    <row r="368" spans="1:18" x14ac:dyDescent="0.2">
      <c r="A368" s="12">
        <v>9</v>
      </c>
      <c r="B368" s="12" t="s">
        <v>379</v>
      </c>
      <c r="C368" s="12" t="s">
        <v>26</v>
      </c>
      <c r="D368" s="12">
        <v>30.48</v>
      </c>
      <c r="E368" s="12">
        <v>1997</v>
      </c>
      <c r="F368" s="124"/>
      <c r="G368" s="124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  <c r="R368" s="124"/>
    </row>
    <row r="369" spans="1:18" x14ac:dyDescent="0.2">
      <c r="A369" s="12">
        <v>9</v>
      </c>
      <c r="B369" s="12" t="s">
        <v>380</v>
      </c>
      <c r="C369" s="12" t="s">
        <v>26</v>
      </c>
      <c r="D369" s="12">
        <v>29.14</v>
      </c>
      <c r="E369" s="12">
        <v>1998</v>
      </c>
      <c r="F369" s="124"/>
      <c r="G369" s="124"/>
      <c r="H369" s="124"/>
      <c r="I369" s="124"/>
      <c r="J369" s="124"/>
      <c r="K369" s="124"/>
      <c r="L369" s="124"/>
      <c r="M369" s="124"/>
      <c r="N369" s="124"/>
      <c r="O369" s="124"/>
      <c r="P369" s="124"/>
      <c r="Q369" s="124"/>
      <c r="R369" s="124"/>
    </row>
    <row r="370" spans="1:18" x14ac:dyDescent="0.2">
      <c r="A370" s="12">
        <v>9</v>
      </c>
      <c r="B370" s="12" t="s">
        <v>381</v>
      </c>
      <c r="C370" s="12" t="s">
        <v>26</v>
      </c>
      <c r="D370" s="12">
        <v>29.49</v>
      </c>
      <c r="E370" s="12">
        <v>1997</v>
      </c>
      <c r="F370" s="124"/>
      <c r="G370" s="124"/>
      <c r="H370" s="124"/>
      <c r="I370" s="124"/>
      <c r="J370" s="124"/>
      <c r="K370" s="124"/>
      <c r="L370" s="124"/>
      <c r="M370" s="124"/>
      <c r="N370" s="124"/>
      <c r="O370" s="124"/>
      <c r="P370" s="124"/>
      <c r="Q370" s="124"/>
      <c r="R370" s="124"/>
    </row>
    <row r="371" spans="1:18" x14ac:dyDescent="0.2">
      <c r="A371" s="12">
        <v>9</v>
      </c>
      <c r="B371" s="12" t="s">
        <v>382</v>
      </c>
      <c r="C371" s="12" t="s">
        <v>26</v>
      </c>
      <c r="D371" s="12">
        <v>30.05</v>
      </c>
      <c r="E371" s="12">
        <v>1997</v>
      </c>
      <c r="F371" s="124"/>
      <c r="G371" s="124"/>
      <c r="H371" s="124"/>
      <c r="I371" s="124"/>
      <c r="J371" s="124"/>
      <c r="K371" s="124"/>
      <c r="L371" s="124"/>
      <c r="M371" s="124"/>
      <c r="N371" s="124"/>
      <c r="O371" s="124"/>
      <c r="P371" s="124"/>
      <c r="Q371" s="124"/>
      <c r="R371" s="124"/>
    </row>
    <row r="372" spans="1:18" x14ac:dyDescent="0.2">
      <c r="A372" s="12">
        <v>9</v>
      </c>
      <c r="B372" s="12" t="s">
        <v>383</v>
      </c>
      <c r="C372" s="12" t="s">
        <v>26</v>
      </c>
      <c r="D372" s="12">
        <v>16.12</v>
      </c>
      <c r="E372" s="12">
        <v>2005</v>
      </c>
      <c r="F372" s="124"/>
      <c r="G372" s="124"/>
      <c r="H372" s="124"/>
      <c r="I372" s="124"/>
      <c r="J372" s="124"/>
      <c r="K372" s="124"/>
      <c r="L372" s="124"/>
      <c r="M372" s="124"/>
      <c r="N372" s="124"/>
      <c r="O372" s="124"/>
      <c r="P372" s="124"/>
      <c r="Q372" s="124"/>
      <c r="R372" s="124"/>
    </row>
    <row r="373" spans="1:18" x14ac:dyDescent="0.2">
      <c r="A373" s="12">
        <v>9</v>
      </c>
      <c r="B373" s="12" t="s">
        <v>384</v>
      </c>
      <c r="C373" s="12" t="s">
        <v>26</v>
      </c>
      <c r="D373" s="12">
        <v>30.17</v>
      </c>
      <c r="E373" s="12">
        <v>1998</v>
      </c>
      <c r="F373" s="124"/>
      <c r="G373" s="124"/>
      <c r="H373" s="124"/>
      <c r="I373" s="124"/>
      <c r="J373" s="124"/>
      <c r="K373" s="124"/>
      <c r="L373" s="124"/>
      <c r="M373" s="124"/>
      <c r="N373" s="124"/>
      <c r="O373" s="124"/>
      <c r="P373" s="124"/>
      <c r="Q373" s="124"/>
      <c r="R373" s="124"/>
    </row>
    <row r="374" spans="1:18" x14ac:dyDescent="0.2">
      <c r="A374" s="12">
        <v>9</v>
      </c>
      <c r="B374" s="12" t="s">
        <v>385</v>
      </c>
      <c r="C374" s="12" t="s">
        <v>26</v>
      </c>
      <c r="D374" s="12">
        <v>28.29</v>
      </c>
      <c r="E374" s="12">
        <v>1998</v>
      </c>
      <c r="F374" s="124"/>
      <c r="G374" s="124"/>
      <c r="H374" s="124"/>
      <c r="I374" s="124"/>
      <c r="J374" s="124"/>
      <c r="K374" s="124"/>
      <c r="L374" s="124"/>
      <c r="M374" s="124"/>
      <c r="N374" s="124"/>
      <c r="O374" s="124"/>
      <c r="P374" s="124"/>
      <c r="Q374" s="124"/>
      <c r="R374" s="124"/>
    </row>
    <row r="375" spans="1:18" x14ac:dyDescent="0.2">
      <c r="A375" s="12">
        <v>9</v>
      </c>
      <c r="B375" s="12" t="s">
        <v>386</v>
      </c>
      <c r="C375" s="12" t="s">
        <v>26</v>
      </c>
      <c r="D375" s="12">
        <v>28.62</v>
      </c>
      <c r="E375" s="12">
        <v>1997</v>
      </c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</row>
    <row r="376" spans="1:18" x14ac:dyDescent="0.2">
      <c r="A376" s="12">
        <v>9</v>
      </c>
      <c r="B376" s="12" t="s">
        <v>387</v>
      </c>
      <c r="C376" s="12" t="s">
        <v>26</v>
      </c>
      <c r="D376" s="12">
        <v>29.79</v>
      </c>
      <c r="E376" s="12">
        <v>1997</v>
      </c>
      <c r="F376" s="124"/>
      <c r="G376" s="124"/>
      <c r="H376" s="124"/>
      <c r="I376" s="124"/>
      <c r="J376" s="124"/>
      <c r="K376" s="124"/>
      <c r="L376" s="124"/>
      <c r="M376" s="124"/>
      <c r="N376" s="124"/>
      <c r="O376" s="124"/>
      <c r="P376" s="124"/>
      <c r="Q376" s="124"/>
      <c r="R376" s="124"/>
    </row>
    <row r="377" spans="1:18" x14ac:dyDescent="0.2">
      <c r="A377" s="12">
        <v>9</v>
      </c>
      <c r="B377" s="12" t="s">
        <v>388</v>
      </c>
      <c r="C377" s="12" t="s">
        <v>26</v>
      </c>
      <c r="D377" s="12">
        <v>29.85</v>
      </c>
      <c r="E377" s="12">
        <v>2005</v>
      </c>
      <c r="F377" s="124"/>
      <c r="G377" s="124"/>
      <c r="H377" s="124"/>
      <c r="I377" s="124"/>
      <c r="J377" s="124"/>
      <c r="K377" s="124"/>
      <c r="L377" s="124"/>
      <c r="M377" s="124"/>
      <c r="N377" s="124"/>
      <c r="O377" s="124"/>
      <c r="P377" s="124"/>
      <c r="Q377" s="124"/>
      <c r="R377" s="124"/>
    </row>
    <row r="378" spans="1:18" x14ac:dyDescent="0.2">
      <c r="A378" s="12">
        <v>9</v>
      </c>
      <c r="B378" s="12" t="s">
        <v>389</v>
      </c>
      <c r="C378" s="12" t="s">
        <v>26</v>
      </c>
      <c r="D378" s="12">
        <v>28.55</v>
      </c>
      <c r="E378" s="12">
        <v>1997</v>
      </c>
      <c r="F378" s="124"/>
      <c r="G378" s="124"/>
      <c r="H378" s="124"/>
      <c r="I378" s="124"/>
      <c r="J378" s="124"/>
      <c r="K378" s="124"/>
      <c r="L378" s="124"/>
      <c r="M378" s="124"/>
      <c r="N378" s="124"/>
      <c r="O378" s="124"/>
      <c r="P378" s="124"/>
      <c r="Q378" s="124"/>
      <c r="R378" s="124"/>
    </row>
    <row r="379" spans="1:18" x14ac:dyDescent="0.2">
      <c r="A379" s="12">
        <v>9</v>
      </c>
      <c r="B379" s="12" t="s">
        <v>390</v>
      </c>
      <c r="C379" s="12" t="s">
        <v>26</v>
      </c>
      <c r="D379" s="12">
        <v>20.5</v>
      </c>
      <c r="E379" s="12">
        <v>2005</v>
      </c>
      <c r="F379" s="124"/>
      <c r="G379" s="124"/>
      <c r="H379" s="124"/>
      <c r="I379" s="124"/>
      <c r="J379" s="124"/>
      <c r="K379" s="124"/>
      <c r="L379" s="124"/>
      <c r="M379" s="124"/>
      <c r="N379" s="124"/>
      <c r="O379" s="124"/>
      <c r="P379" s="124"/>
      <c r="Q379" s="124"/>
      <c r="R379" s="124"/>
    </row>
    <row r="380" spans="1:18" x14ac:dyDescent="0.2">
      <c r="A380" s="12">
        <v>9</v>
      </c>
      <c r="B380" s="12" t="s">
        <v>391</v>
      </c>
      <c r="C380" s="12" t="s">
        <v>26</v>
      </c>
      <c r="D380" s="12">
        <v>29.84</v>
      </c>
      <c r="E380" s="12">
        <v>1998</v>
      </c>
      <c r="F380" s="124"/>
      <c r="G380" s="124"/>
      <c r="H380" s="124"/>
      <c r="I380" s="124"/>
      <c r="J380" s="124"/>
      <c r="K380" s="124"/>
      <c r="L380" s="124"/>
      <c r="M380" s="124"/>
      <c r="N380" s="124"/>
      <c r="O380" s="124"/>
      <c r="P380" s="124"/>
      <c r="Q380" s="124"/>
      <c r="R380" s="124"/>
    </row>
    <row r="381" spans="1:18" x14ac:dyDescent="0.2">
      <c r="A381" s="12">
        <v>9</v>
      </c>
      <c r="B381" s="12" t="s">
        <v>392</v>
      </c>
      <c r="C381" s="12" t="s">
        <v>26</v>
      </c>
      <c r="D381" s="12">
        <v>28.03</v>
      </c>
      <c r="E381" s="12">
        <v>1998</v>
      </c>
      <c r="F381" s="124"/>
      <c r="G381" s="124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  <c r="R381" s="124"/>
    </row>
    <row r="382" spans="1:18" x14ac:dyDescent="0.2">
      <c r="A382" s="12">
        <v>9</v>
      </c>
      <c r="B382" s="12" t="s">
        <v>393</v>
      </c>
      <c r="C382" s="12" t="s">
        <v>26</v>
      </c>
      <c r="D382" s="12">
        <v>23.56</v>
      </c>
      <c r="E382" s="12">
        <v>2005</v>
      </c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</row>
    <row r="383" spans="1:18" x14ac:dyDescent="0.2">
      <c r="A383" s="12">
        <v>9</v>
      </c>
      <c r="B383" s="12" t="s">
        <v>394</v>
      </c>
      <c r="C383" s="12" t="s">
        <v>26</v>
      </c>
      <c r="D383" s="12">
        <v>16.489999999999998</v>
      </c>
      <c r="E383" s="12">
        <v>1998</v>
      </c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</row>
    <row r="384" spans="1:18" x14ac:dyDescent="0.2">
      <c r="A384" s="12">
        <v>9</v>
      </c>
      <c r="B384" s="12" t="s">
        <v>395</v>
      </c>
      <c r="C384" s="12" t="s">
        <v>26</v>
      </c>
      <c r="D384" s="12">
        <v>13.38</v>
      </c>
      <c r="E384" s="12">
        <v>2005</v>
      </c>
      <c r="F384" s="124"/>
      <c r="G384" s="124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</row>
    <row r="385" spans="1:18" x14ac:dyDescent="0.2">
      <c r="A385" s="12">
        <v>9</v>
      </c>
      <c r="B385" s="12" t="s">
        <v>396</v>
      </c>
      <c r="C385" s="12" t="s">
        <v>26</v>
      </c>
      <c r="D385" s="12">
        <v>6.86</v>
      </c>
      <c r="E385" s="12">
        <v>2005</v>
      </c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</row>
    <row r="386" spans="1:18" x14ac:dyDescent="0.2">
      <c r="A386" s="12">
        <v>9</v>
      </c>
      <c r="B386" s="12" t="s">
        <v>397</v>
      </c>
      <c r="C386" s="12" t="s">
        <v>26</v>
      </c>
      <c r="D386" s="12">
        <v>39.270000000000003</v>
      </c>
      <c r="E386" s="12">
        <v>2005</v>
      </c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</row>
    <row r="387" spans="1:18" x14ac:dyDescent="0.2">
      <c r="A387" s="12">
        <v>9</v>
      </c>
      <c r="B387" s="12" t="s">
        <v>398</v>
      </c>
      <c r="C387" s="12" t="s">
        <v>26</v>
      </c>
      <c r="D387" s="12">
        <v>32.32</v>
      </c>
      <c r="E387" s="12">
        <v>2005</v>
      </c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</row>
    <row r="388" spans="1:18" x14ac:dyDescent="0.2">
      <c r="A388" s="310" t="s">
        <v>71</v>
      </c>
      <c r="B388" s="311"/>
      <c r="C388" s="312"/>
      <c r="D388" s="13">
        <f>SUM(D346:D387)</f>
        <v>1138.08</v>
      </c>
      <c r="E388" s="13"/>
      <c r="F388" s="124"/>
      <c r="G388" s="124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</row>
    <row r="389" spans="1:18" x14ac:dyDescent="0.2">
      <c r="A389" s="12">
        <v>10</v>
      </c>
      <c r="B389" s="12" t="s">
        <v>399</v>
      </c>
      <c r="C389" s="12" t="s">
        <v>26</v>
      </c>
      <c r="D389" s="12">
        <v>31.47</v>
      </c>
      <c r="E389" s="12">
        <v>2005</v>
      </c>
      <c r="F389" s="124"/>
      <c r="G389" s="124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</row>
    <row r="390" spans="1:18" x14ac:dyDescent="0.2">
      <c r="A390" s="12">
        <v>10</v>
      </c>
      <c r="B390" s="12" t="s">
        <v>400</v>
      </c>
      <c r="C390" s="12" t="s">
        <v>26</v>
      </c>
      <c r="D390" s="12">
        <v>29.3</v>
      </c>
      <c r="E390" s="12">
        <v>2003</v>
      </c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</row>
    <row r="391" spans="1:18" x14ac:dyDescent="0.2">
      <c r="A391" s="12">
        <v>10</v>
      </c>
      <c r="B391" s="12" t="s">
        <v>401</v>
      </c>
      <c r="C391" s="12" t="s">
        <v>26</v>
      </c>
      <c r="D391" s="12">
        <v>29.7</v>
      </c>
      <c r="E391" s="12">
        <v>2004</v>
      </c>
      <c r="F391" s="124"/>
      <c r="G391" s="124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</row>
    <row r="392" spans="1:18" x14ac:dyDescent="0.2">
      <c r="A392" s="12">
        <v>10</v>
      </c>
      <c r="B392" s="12" t="s">
        <v>402</v>
      </c>
      <c r="C392" s="12" t="s">
        <v>26</v>
      </c>
      <c r="D392" s="12">
        <v>29.53</v>
      </c>
      <c r="E392" s="12">
        <v>1998</v>
      </c>
      <c r="F392" s="124"/>
      <c r="G392" s="124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</row>
    <row r="393" spans="1:18" x14ac:dyDescent="0.2">
      <c r="A393" s="12">
        <v>10</v>
      </c>
      <c r="B393" s="12" t="s">
        <v>403</v>
      </c>
      <c r="C393" s="12" t="s">
        <v>26</v>
      </c>
      <c r="D393" s="12">
        <v>30.31</v>
      </c>
      <c r="E393" s="12">
        <v>1998</v>
      </c>
      <c r="F393" s="124"/>
      <c r="G393" s="124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</row>
    <row r="394" spans="1:18" x14ac:dyDescent="0.2">
      <c r="A394" s="12">
        <v>10</v>
      </c>
      <c r="B394" s="12" t="s">
        <v>404</v>
      </c>
      <c r="C394" s="12" t="s">
        <v>26</v>
      </c>
      <c r="D394" s="12">
        <v>29.13</v>
      </c>
      <c r="E394" s="12">
        <v>1998</v>
      </c>
      <c r="F394" s="124"/>
      <c r="G394" s="124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</row>
    <row r="395" spans="1:18" x14ac:dyDescent="0.2">
      <c r="A395" s="12">
        <v>10</v>
      </c>
      <c r="B395" s="12" t="s">
        <v>405</v>
      </c>
      <c r="C395" s="12" t="s">
        <v>26</v>
      </c>
      <c r="D395" s="12">
        <v>20.56</v>
      </c>
      <c r="E395" s="12">
        <v>2005</v>
      </c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</row>
    <row r="396" spans="1:18" x14ac:dyDescent="0.2">
      <c r="A396" s="12">
        <v>10</v>
      </c>
      <c r="B396" s="12" t="s">
        <v>406</v>
      </c>
      <c r="C396" s="12" t="s">
        <v>26</v>
      </c>
      <c r="D396" s="12">
        <v>30.48</v>
      </c>
      <c r="E396" s="12">
        <v>2005</v>
      </c>
      <c r="F396" s="124"/>
      <c r="G396" s="124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  <c r="R396" s="124"/>
    </row>
    <row r="397" spans="1:18" x14ac:dyDescent="0.2">
      <c r="A397" s="12">
        <v>10</v>
      </c>
      <c r="B397" s="12" t="s">
        <v>407</v>
      </c>
      <c r="C397" s="12" t="s">
        <v>26</v>
      </c>
      <c r="D397" s="12">
        <v>29.43</v>
      </c>
      <c r="E397" s="12">
        <v>2004</v>
      </c>
      <c r="F397" s="124"/>
      <c r="G397" s="124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  <c r="R397" s="124"/>
    </row>
    <row r="398" spans="1:18" x14ac:dyDescent="0.2">
      <c r="A398" s="12">
        <v>10</v>
      </c>
      <c r="B398" s="12" t="s">
        <v>408</v>
      </c>
      <c r="C398" s="12" t="s">
        <v>26</v>
      </c>
      <c r="D398" s="12">
        <v>29.88</v>
      </c>
      <c r="E398" s="12">
        <v>2004</v>
      </c>
      <c r="F398" s="124"/>
      <c r="G398" s="124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  <c r="R398" s="124"/>
    </row>
    <row r="399" spans="1:18" x14ac:dyDescent="0.2">
      <c r="A399" s="12">
        <v>10</v>
      </c>
      <c r="B399" s="12" t="s">
        <v>409</v>
      </c>
      <c r="C399" s="12" t="s">
        <v>26</v>
      </c>
      <c r="D399" s="12">
        <v>30.7</v>
      </c>
      <c r="E399" s="12">
        <v>1998</v>
      </c>
      <c r="F399" s="124"/>
      <c r="G399" s="124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  <c r="R399" s="124"/>
    </row>
    <row r="400" spans="1:18" x14ac:dyDescent="0.2">
      <c r="A400" s="12">
        <v>10</v>
      </c>
      <c r="B400" s="12" t="s">
        <v>410</v>
      </c>
      <c r="C400" s="12" t="s">
        <v>26</v>
      </c>
      <c r="D400" s="12">
        <v>30.03</v>
      </c>
      <c r="E400" s="12">
        <v>1998</v>
      </c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  <c r="R400" s="124"/>
    </row>
    <row r="401" spans="1:18" x14ac:dyDescent="0.2">
      <c r="A401" s="12">
        <v>10</v>
      </c>
      <c r="B401" s="12" t="s">
        <v>411</v>
      </c>
      <c r="C401" s="12" t="s">
        <v>26</v>
      </c>
      <c r="D401" s="12">
        <v>20.010000000000002</v>
      </c>
      <c r="E401" s="12">
        <v>2005</v>
      </c>
      <c r="F401" s="124"/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</row>
    <row r="402" spans="1:18" x14ac:dyDescent="0.2">
      <c r="A402" s="12">
        <v>10</v>
      </c>
      <c r="B402" s="12" t="s">
        <v>412</v>
      </c>
      <c r="C402" s="12" t="s">
        <v>26</v>
      </c>
      <c r="D402" s="12">
        <v>28.2</v>
      </c>
      <c r="E402" s="12">
        <v>2005</v>
      </c>
      <c r="F402" s="124"/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</row>
    <row r="403" spans="1:18" x14ac:dyDescent="0.2">
      <c r="A403" s="12">
        <v>10</v>
      </c>
      <c r="B403" s="12" t="s">
        <v>413</v>
      </c>
      <c r="C403" s="12" t="s">
        <v>26</v>
      </c>
      <c r="D403" s="12">
        <v>30.71</v>
      </c>
      <c r="E403" s="12">
        <v>2005</v>
      </c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</row>
    <row r="404" spans="1:18" x14ac:dyDescent="0.2">
      <c r="A404" s="12">
        <v>10</v>
      </c>
      <c r="B404" s="12" t="s">
        <v>414</v>
      </c>
      <c r="C404" s="12" t="s">
        <v>26</v>
      </c>
      <c r="D404" s="12">
        <v>29.51</v>
      </c>
      <c r="E404" s="12">
        <v>2004</v>
      </c>
      <c r="F404" s="124"/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</row>
    <row r="405" spans="1:18" x14ac:dyDescent="0.2">
      <c r="A405" s="12">
        <v>10</v>
      </c>
      <c r="B405" s="12" t="s">
        <v>415</v>
      </c>
      <c r="C405" s="12" t="s">
        <v>26</v>
      </c>
      <c r="D405" s="12">
        <v>29.94</v>
      </c>
      <c r="E405" s="12">
        <v>1999</v>
      </c>
      <c r="F405" s="124"/>
      <c r="G405" s="124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  <c r="R405" s="124"/>
    </row>
    <row r="406" spans="1:18" x14ac:dyDescent="0.2">
      <c r="A406" s="12">
        <v>10</v>
      </c>
      <c r="B406" s="12" t="s">
        <v>416</v>
      </c>
      <c r="C406" s="12" t="s">
        <v>26</v>
      </c>
      <c r="D406" s="12">
        <v>31.13</v>
      </c>
      <c r="E406" s="12">
        <v>1998</v>
      </c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  <c r="R406" s="124"/>
    </row>
    <row r="407" spans="1:18" x14ac:dyDescent="0.2">
      <c r="A407" s="12">
        <v>10</v>
      </c>
      <c r="B407" s="12" t="s">
        <v>417</v>
      </c>
      <c r="C407" s="12" t="s">
        <v>26</v>
      </c>
      <c r="D407" s="12">
        <v>29.82</v>
      </c>
      <c r="E407" s="12">
        <v>1998</v>
      </c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  <c r="R407" s="124"/>
    </row>
    <row r="408" spans="1:18" x14ac:dyDescent="0.2">
      <c r="A408" s="12">
        <v>10</v>
      </c>
      <c r="B408" s="12" t="s">
        <v>418</v>
      </c>
      <c r="C408" s="12" t="s">
        <v>26</v>
      </c>
      <c r="D408" s="12">
        <v>27.73</v>
      </c>
      <c r="E408" s="12">
        <v>2005</v>
      </c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</row>
    <row r="409" spans="1:18" x14ac:dyDescent="0.2">
      <c r="A409" s="12">
        <v>10</v>
      </c>
      <c r="B409" s="12" t="s">
        <v>419</v>
      </c>
      <c r="C409" s="12" t="s">
        <v>26</v>
      </c>
      <c r="D409" s="12">
        <v>29.41</v>
      </c>
      <c r="E409" s="12">
        <v>2005</v>
      </c>
      <c r="F409" s="124"/>
      <c r="G409" s="124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  <c r="R409" s="124"/>
    </row>
    <row r="410" spans="1:18" x14ac:dyDescent="0.2">
      <c r="A410" s="12">
        <v>10</v>
      </c>
      <c r="B410" s="12" t="s">
        <v>420</v>
      </c>
      <c r="C410" s="12" t="s">
        <v>26</v>
      </c>
      <c r="D410" s="12">
        <v>30.7</v>
      </c>
      <c r="E410" s="12">
        <v>2005</v>
      </c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  <c r="R410" s="124"/>
    </row>
    <row r="411" spans="1:18" x14ac:dyDescent="0.2">
      <c r="A411" s="12">
        <v>10</v>
      </c>
      <c r="B411" s="12" t="s">
        <v>421</v>
      </c>
      <c r="C411" s="12" t="s">
        <v>26</v>
      </c>
      <c r="D411" s="12">
        <v>29.28</v>
      </c>
      <c r="E411" s="12">
        <v>2005</v>
      </c>
      <c r="F411" s="124"/>
      <c r="G411" s="124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  <c r="R411" s="124"/>
    </row>
    <row r="412" spans="1:18" x14ac:dyDescent="0.2">
      <c r="A412" s="12">
        <v>10</v>
      </c>
      <c r="B412" s="12" t="s">
        <v>422</v>
      </c>
      <c r="C412" s="12" t="s">
        <v>26</v>
      </c>
      <c r="D412" s="12">
        <v>27.75</v>
      </c>
      <c r="E412" s="12">
        <v>1999</v>
      </c>
      <c r="F412" s="124"/>
      <c r="G412" s="124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  <c r="R412" s="124"/>
    </row>
    <row r="413" spans="1:18" x14ac:dyDescent="0.2">
      <c r="A413" s="12">
        <v>10</v>
      </c>
      <c r="B413" s="12" t="s">
        <v>423</v>
      </c>
      <c r="C413" s="12" t="s">
        <v>26</v>
      </c>
      <c r="D413" s="12">
        <v>30.47</v>
      </c>
      <c r="E413" s="12">
        <v>2004</v>
      </c>
      <c r="F413" s="124"/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</row>
    <row r="414" spans="1:18" x14ac:dyDescent="0.2">
      <c r="A414" s="12">
        <v>10</v>
      </c>
      <c r="B414" s="12" t="s">
        <v>424</v>
      </c>
      <c r="C414" s="12" t="s">
        <v>26</v>
      </c>
      <c r="D414" s="12">
        <v>29.64</v>
      </c>
      <c r="E414" s="12">
        <v>1998</v>
      </c>
      <c r="F414" s="124"/>
      <c r="G414" s="124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  <c r="R414" s="124"/>
    </row>
    <row r="415" spans="1:18" x14ac:dyDescent="0.2">
      <c r="A415" s="12">
        <v>10</v>
      </c>
      <c r="B415" s="12" t="s">
        <v>425</v>
      </c>
      <c r="C415" s="12" t="s">
        <v>26</v>
      </c>
      <c r="D415" s="12">
        <v>19.600000000000001</v>
      </c>
      <c r="E415" s="12">
        <v>2005</v>
      </c>
      <c r="F415" s="124"/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</row>
    <row r="416" spans="1:18" x14ac:dyDescent="0.2">
      <c r="A416" s="12">
        <v>10</v>
      </c>
      <c r="B416" s="12" t="s">
        <v>426</v>
      </c>
      <c r="C416" s="12" t="s">
        <v>26</v>
      </c>
      <c r="D416" s="12">
        <v>30.05</v>
      </c>
      <c r="E416" s="12">
        <v>2005</v>
      </c>
      <c r="F416" s="124"/>
      <c r="G416" s="124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  <c r="R416" s="124"/>
    </row>
    <row r="417" spans="1:18" x14ac:dyDescent="0.2">
      <c r="A417" s="12">
        <v>10</v>
      </c>
      <c r="B417" s="12" t="s">
        <v>427</v>
      </c>
      <c r="C417" s="12" t="s">
        <v>26</v>
      </c>
      <c r="D417" s="12">
        <v>30.94</v>
      </c>
      <c r="E417" s="12">
        <v>2005</v>
      </c>
      <c r="F417" s="124"/>
      <c r="G417" s="124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  <c r="R417" s="124"/>
    </row>
    <row r="418" spans="1:18" x14ac:dyDescent="0.2">
      <c r="A418" s="12">
        <v>10</v>
      </c>
      <c r="B418" s="12" t="s">
        <v>428</v>
      </c>
      <c r="C418" s="12" t="s">
        <v>26</v>
      </c>
      <c r="D418" s="12">
        <v>28.47</v>
      </c>
      <c r="E418" s="12">
        <v>2005</v>
      </c>
      <c r="F418" s="124"/>
      <c r="G418" s="124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  <c r="R418" s="124"/>
    </row>
    <row r="419" spans="1:18" x14ac:dyDescent="0.2">
      <c r="A419" s="12">
        <v>10</v>
      </c>
      <c r="B419" s="12" t="s">
        <v>429</v>
      </c>
      <c r="C419" s="12" t="s">
        <v>26</v>
      </c>
      <c r="D419" s="12">
        <v>29.48</v>
      </c>
      <c r="E419" s="12">
        <v>2005</v>
      </c>
      <c r="F419" s="124"/>
      <c r="G419" s="124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  <c r="R419" s="124"/>
    </row>
    <row r="420" spans="1:18" x14ac:dyDescent="0.2">
      <c r="A420" s="12">
        <v>10</v>
      </c>
      <c r="B420" s="12" t="s">
        <v>430</v>
      </c>
      <c r="C420" s="12" t="s">
        <v>26</v>
      </c>
      <c r="D420" s="12">
        <v>29.95</v>
      </c>
      <c r="E420" s="12">
        <v>2005</v>
      </c>
      <c r="F420" s="124"/>
      <c r="G420" s="124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  <c r="R420" s="124"/>
    </row>
    <row r="421" spans="1:18" x14ac:dyDescent="0.2">
      <c r="A421" s="12">
        <v>10</v>
      </c>
      <c r="B421" s="12" t="s">
        <v>431</v>
      </c>
      <c r="C421" s="12" t="s">
        <v>26</v>
      </c>
      <c r="D421" s="12">
        <v>29.72</v>
      </c>
      <c r="E421" s="12">
        <v>2005</v>
      </c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  <c r="R421" s="124"/>
    </row>
    <row r="422" spans="1:18" x14ac:dyDescent="0.2">
      <c r="A422" s="12">
        <v>10</v>
      </c>
      <c r="B422" s="12" t="s">
        <v>432</v>
      </c>
      <c r="C422" s="12" t="s">
        <v>26</v>
      </c>
      <c r="D422" s="12">
        <v>18.61</v>
      </c>
      <c r="E422" s="12">
        <v>2006</v>
      </c>
      <c r="F422" s="124"/>
      <c r="G422" s="124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  <c r="R422" s="124"/>
    </row>
    <row r="423" spans="1:18" x14ac:dyDescent="0.2">
      <c r="A423" s="12">
        <v>10</v>
      </c>
      <c r="B423" s="12" t="s">
        <v>433</v>
      </c>
      <c r="C423" s="12" t="s">
        <v>26</v>
      </c>
      <c r="D423" s="12">
        <v>36.96</v>
      </c>
      <c r="E423" s="12">
        <v>2006</v>
      </c>
      <c r="F423" s="124"/>
      <c r="G423" s="124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  <c r="R423" s="124"/>
    </row>
    <row r="424" spans="1:18" x14ac:dyDescent="0.2">
      <c r="A424" s="12">
        <v>10</v>
      </c>
      <c r="B424" s="12" t="s">
        <v>434</v>
      </c>
      <c r="C424" s="12" t="s">
        <v>26</v>
      </c>
      <c r="D424" s="12">
        <v>35.15</v>
      </c>
      <c r="E424" s="12">
        <v>2006</v>
      </c>
      <c r="F424" s="124"/>
      <c r="G424" s="124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  <c r="R424" s="124"/>
    </row>
    <row r="425" spans="1:18" x14ac:dyDescent="0.2">
      <c r="A425" s="12">
        <v>10</v>
      </c>
      <c r="B425" s="12" t="s">
        <v>435</v>
      </c>
      <c r="C425" s="12" t="s">
        <v>26</v>
      </c>
      <c r="D425" s="12">
        <v>26.85</v>
      </c>
      <c r="E425" s="12">
        <v>2006</v>
      </c>
      <c r="F425" s="124"/>
      <c r="G425" s="124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  <c r="R425" s="124"/>
    </row>
    <row r="426" spans="1:18" x14ac:dyDescent="0.2">
      <c r="A426" s="12">
        <v>10</v>
      </c>
      <c r="B426" s="12" t="s">
        <v>436</v>
      </c>
      <c r="C426" s="12" t="s">
        <v>26</v>
      </c>
      <c r="D426" s="12">
        <v>24.09</v>
      </c>
      <c r="E426" s="12">
        <v>2006</v>
      </c>
      <c r="F426" s="124"/>
      <c r="G426" s="124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  <c r="R426" s="124"/>
    </row>
    <row r="427" spans="1:18" x14ac:dyDescent="0.2">
      <c r="A427" s="12">
        <v>10</v>
      </c>
      <c r="B427" s="12" t="s">
        <v>437</v>
      </c>
      <c r="C427" s="12" t="s">
        <v>26</v>
      </c>
      <c r="D427" s="12">
        <v>16.02</v>
      </c>
      <c r="E427" s="12">
        <v>2006</v>
      </c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</row>
    <row r="428" spans="1:18" x14ac:dyDescent="0.2">
      <c r="A428" s="12">
        <v>10</v>
      </c>
      <c r="B428" s="12" t="s">
        <v>438</v>
      </c>
      <c r="C428" s="12" t="s">
        <v>26</v>
      </c>
      <c r="D428" s="12">
        <v>12.88</v>
      </c>
      <c r="E428" s="12">
        <v>2005</v>
      </c>
      <c r="F428" s="124"/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</row>
    <row r="429" spans="1:18" x14ac:dyDescent="0.2">
      <c r="A429" s="310" t="s">
        <v>71</v>
      </c>
      <c r="B429" s="311"/>
      <c r="C429" s="312"/>
      <c r="D429" s="13">
        <f>SUM(D389:D428)</f>
        <v>1123.5900000000001</v>
      </c>
      <c r="E429" s="13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</row>
  </sheetData>
  <mergeCells count="18">
    <mergeCell ref="A304:C304"/>
    <mergeCell ref="A345:C345"/>
    <mergeCell ref="A388:C388"/>
    <mergeCell ref="A429:C429"/>
    <mergeCell ref="A53:C53"/>
    <mergeCell ref="A92:C92"/>
    <mergeCell ref="A132:C132"/>
    <mergeCell ref="A175:C175"/>
    <mergeCell ref="A218:C218"/>
    <mergeCell ref="A255:C255"/>
    <mergeCell ref="A1:R2"/>
    <mergeCell ref="A5:A7"/>
    <mergeCell ref="B5:B7"/>
    <mergeCell ref="C5:C7"/>
    <mergeCell ref="D5:D7"/>
    <mergeCell ref="E5:E7"/>
    <mergeCell ref="F5:R5"/>
    <mergeCell ref="G6:R6"/>
  </mergeCells>
  <conditionalFormatting sqref="F8:R429">
    <cfRule type="containsBlanks" priority="1" stopIfTrue="1">
      <formula>LEN(TRIM(F8))=0</formula>
    </cfRule>
    <cfRule type="cellIs" dxfId="12" priority="2" stopIfTrue="1" operator="greaterThanOrEqual">
      <formula>5</formula>
    </cfRule>
    <cfRule type="cellIs" dxfId="11" priority="3" stopIfTrue="1" operator="between">
      <formula>2</formula>
      <formula>4.99</formula>
    </cfRule>
    <cfRule type="cellIs" dxfId="10" priority="4" stopIfTrue="1" operator="between">
      <formula>0.01</formula>
      <formula>1.99</formula>
    </cfRule>
    <cfRule type="cellIs" dxfId="9" priority="5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B48"/>
  <sheetViews>
    <sheetView topLeftCell="A28" workbookViewId="0">
      <selection activeCell="N42" sqref="N42"/>
    </sheetView>
  </sheetViews>
  <sheetFormatPr baseColWidth="10" defaultColWidth="8.83203125" defaultRowHeight="15" x14ac:dyDescent="0.2"/>
  <cols>
    <col min="8" max="8" width="9.5" bestFit="1" customWidth="1"/>
    <col min="9" max="10" width="9.33203125" bestFit="1" customWidth="1"/>
    <col min="264" max="264" width="9.5" bestFit="1" customWidth="1"/>
    <col min="265" max="266" width="9.33203125" bestFit="1" customWidth="1"/>
    <col min="520" max="520" width="9.5" bestFit="1" customWidth="1"/>
    <col min="521" max="522" width="9.33203125" bestFit="1" customWidth="1"/>
    <col min="776" max="776" width="9.5" bestFit="1" customWidth="1"/>
    <col min="777" max="778" width="9.33203125" bestFit="1" customWidth="1"/>
    <col min="1032" max="1032" width="9.5" bestFit="1" customWidth="1"/>
    <col min="1033" max="1034" width="9.33203125" bestFit="1" customWidth="1"/>
    <col min="1288" max="1288" width="9.5" bestFit="1" customWidth="1"/>
    <col min="1289" max="1290" width="9.33203125" bestFit="1" customWidth="1"/>
    <col min="1544" max="1544" width="9.5" bestFit="1" customWidth="1"/>
    <col min="1545" max="1546" width="9.33203125" bestFit="1" customWidth="1"/>
    <col min="1800" max="1800" width="9.5" bestFit="1" customWidth="1"/>
    <col min="1801" max="1802" width="9.33203125" bestFit="1" customWidth="1"/>
    <col min="2056" max="2056" width="9.5" bestFit="1" customWidth="1"/>
    <col min="2057" max="2058" width="9.33203125" bestFit="1" customWidth="1"/>
    <col min="2312" max="2312" width="9.5" bestFit="1" customWidth="1"/>
    <col min="2313" max="2314" width="9.33203125" bestFit="1" customWidth="1"/>
    <col min="2568" max="2568" width="9.5" bestFit="1" customWidth="1"/>
    <col min="2569" max="2570" width="9.33203125" bestFit="1" customWidth="1"/>
    <col min="2824" max="2824" width="9.5" bestFit="1" customWidth="1"/>
    <col min="2825" max="2826" width="9.33203125" bestFit="1" customWidth="1"/>
    <col min="3080" max="3080" width="9.5" bestFit="1" customWidth="1"/>
    <col min="3081" max="3082" width="9.33203125" bestFit="1" customWidth="1"/>
    <col min="3336" max="3336" width="9.5" bestFit="1" customWidth="1"/>
    <col min="3337" max="3338" width="9.33203125" bestFit="1" customWidth="1"/>
    <col min="3592" max="3592" width="9.5" bestFit="1" customWidth="1"/>
    <col min="3593" max="3594" width="9.33203125" bestFit="1" customWidth="1"/>
    <col min="3848" max="3848" width="9.5" bestFit="1" customWidth="1"/>
    <col min="3849" max="3850" width="9.33203125" bestFit="1" customWidth="1"/>
    <col min="4104" max="4104" width="9.5" bestFit="1" customWidth="1"/>
    <col min="4105" max="4106" width="9.33203125" bestFit="1" customWidth="1"/>
    <col min="4360" max="4360" width="9.5" bestFit="1" customWidth="1"/>
    <col min="4361" max="4362" width="9.33203125" bestFit="1" customWidth="1"/>
    <col min="4616" max="4616" width="9.5" bestFit="1" customWidth="1"/>
    <col min="4617" max="4618" width="9.33203125" bestFit="1" customWidth="1"/>
    <col min="4872" max="4872" width="9.5" bestFit="1" customWidth="1"/>
    <col min="4873" max="4874" width="9.33203125" bestFit="1" customWidth="1"/>
    <col min="5128" max="5128" width="9.5" bestFit="1" customWidth="1"/>
    <col min="5129" max="5130" width="9.33203125" bestFit="1" customWidth="1"/>
    <col min="5384" max="5384" width="9.5" bestFit="1" customWidth="1"/>
    <col min="5385" max="5386" width="9.33203125" bestFit="1" customWidth="1"/>
    <col min="5640" max="5640" width="9.5" bestFit="1" customWidth="1"/>
    <col min="5641" max="5642" width="9.33203125" bestFit="1" customWidth="1"/>
    <col min="5896" max="5896" width="9.5" bestFit="1" customWidth="1"/>
    <col min="5897" max="5898" width="9.33203125" bestFit="1" customWidth="1"/>
    <col min="6152" max="6152" width="9.5" bestFit="1" customWidth="1"/>
    <col min="6153" max="6154" width="9.33203125" bestFit="1" customWidth="1"/>
    <col min="6408" max="6408" width="9.5" bestFit="1" customWidth="1"/>
    <col min="6409" max="6410" width="9.33203125" bestFit="1" customWidth="1"/>
    <col min="6664" max="6664" width="9.5" bestFit="1" customWidth="1"/>
    <col min="6665" max="6666" width="9.33203125" bestFit="1" customWidth="1"/>
    <col min="6920" max="6920" width="9.5" bestFit="1" customWidth="1"/>
    <col min="6921" max="6922" width="9.33203125" bestFit="1" customWidth="1"/>
    <col min="7176" max="7176" width="9.5" bestFit="1" customWidth="1"/>
    <col min="7177" max="7178" width="9.33203125" bestFit="1" customWidth="1"/>
    <col min="7432" max="7432" width="9.5" bestFit="1" customWidth="1"/>
    <col min="7433" max="7434" width="9.33203125" bestFit="1" customWidth="1"/>
    <col min="7688" max="7688" width="9.5" bestFit="1" customWidth="1"/>
    <col min="7689" max="7690" width="9.33203125" bestFit="1" customWidth="1"/>
    <col min="7944" max="7944" width="9.5" bestFit="1" customWidth="1"/>
    <col min="7945" max="7946" width="9.33203125" bestFit="1" customWidth="1"/>
    <col min="8200" max="8200" width="9.5" bestFit="1" customWidth="1"/>
    <col min="8201" max="8202" width="9.33203125" bestFit="1" customWidth="1"/>
    <col min="8456" max="8456" width="9.5" bestFit="1" customWidth="1"/>
    <col min="8457" max="8458" width="9.33203125" bestFit="1" customWidth="1"/>
    <col min="8712" max="8712" width="9.5" bestFit="1" customWidth="1"/>
    <col min="8713" max="8714" width="9.33203125" bestFit="1" customWidth="1"/>
    <col min="8968" max="8968" width="9.5" bestFit="1" customWidth="1"/>
    <col min="8969" max="8970" width="9.33203125" bestFit="1" customWidth="1"/>
    <col min="9224" max="9224" width="9.5" bestFit="1" customWidth="1"/>
    <col min="9225" max="9226" width="9.33203125" bestFit="1" customWidth="1"/>
    <col min="9480" max="9480" width="9.5" bestFit="1" customWidth="1"/>
    <col min="9481" max="9482" width="9.33203125" bestFit="1" customWidth="1"/>
    <col min="9736" max="9736" width="9.5" bestFit="1" customWidth="1"/>
    <col min="9737" max="9738" width="9.33203125" bestFit="1" customWidth="1"/>
    <col min="9992" max="9992" width="9.5" bestFit="1" customWidth="1"/>
    <col min="9993" max="9994" width="9.33203125" bestFit="1" customWidth="1"/>
    <col min="10248" max="10248" width="9.5" bestFit="1" customWidth="1"/>
    <col min="10249" max="10250" width="9.33203125" bestFit="1" customWidth="1"/>
    <col min="10504" max="10504" width="9.5" bestFit="1" customWidth="1"/>
    <col min="10505" max="10506" width="9.33203125" bestFit="1" customWidth="1"/>
    <col min="10760" max="10760" width="9.5" bestFit="1" customWidth="1"/>
    <col min="10761" max="10762" width="9.33203125" bestFit="1" customWidth="1"/>
    <col min="11016" max="11016" width="9.5" bestFit="1" customWidth="1"/>
    <col min="11017" max="11018" width="9.33203125" bestFit="1" customWidth="1"/>
    <col min="11272" max="11272" width="9.5" bestFit="1" customWidth="1"/>
    <col min="11273" max="11274" width="9.33203125" bestFit="1" customWidth="1"/>
    <col min="11528" max="11528" width="9.5" bestFit="1" customWidth="1"/>
    <col min="11529" max="11530" width="9.33203125" bestFit="1" customWidth="1"/>
    <col min="11784" max="11784" width="9.5" bestFit="1" customWidth="1"/>
    <col min="11785" max="11786" width="9.33203125" bestFit="1" customWidth="1"/>
    <col min="12040" max="12040" width="9.5" bestFit="1" customWidth="1"/>
    <col min="12041" max="12042" width="9.33203125" bestFit="1" customWidth="1"/>
    <col min="12296" max="12296" width="9.5" bestFit="1" customWidth="1"/>
    <col min="12297" max="12298" width="9.33203125" bestFit="1" customWidth="1"/>
    <col min="12552" max="12552" width="9.5" bestFit="1" customWidth="1"/>
    <col min="12553" max="12554" width="9.33203125" bestFit="1" customWidth="1"/>
    <col min="12808" max="12808" width="9.5" bestFit="1" customWidth="1"/>
    <col min="12809" max="12810" width="9.33203125" bestFit="1" customWidth="1"/>
    <col min="13064" max="13064" width="9.5" bestFit="1" customWidth="1"/>
    <col min="13065" max="13066" width="9.33203125" bestFit="1" customWidth="1"/>
    <col min="13320" max="13320" width="9.5" bestFit="1" customWidth="1"/>
    <col min="13321" max="13322" width="9.33203125" bestFit="1" customWidth="1"/>
    <col min="13576" max="13576" width="9.5" bestFit="1" customWidth="1"/>
    <col min="13577" max="13578" width="9.33203125" bestFit="1" customWidth="1"/>
    <col min="13832" max="13832" width="9.5" bestFit="1" customWidth="1"/>
    <col min="13833" max="13834" width="9.33203125" bestFit="1" customWidth="1"/>
    <col min="14088" max="14088" width="9.5" bestFit="1" customWidth="1"/>
    <col min="14089" max="14090" width="9.33203125" bestFit="1" customWidth="1"/>
    <col min="14344" max="14344" width="9.5" bestFit="1" customWidth="1"/>
    <col min="14345" max="14346" width="9.33203125" bestFit="1" customWidth="1"/>
    <col min="14600" max="14600" width="9.5" bestFit="1" customWidth="1"/>
    <col min="14601" max="14602" width="9.33203125" bestFit="1" customWidth="1"/>
    <col min="14856" max="14856" width="9.5" bestFit="1" customWidth="1"/>
    <col min="14857" max="14858" width="9.33203125" bestFit="1" customWidth="1"/>
    <col min="15112" max="15112" width="9.5" bestFit="1" customWidth="1"/>
    <col min="15113" max="15114" width="9.33203125" bestFit="1" customWidth="1"/>
    <col min="15368" max="15368" width="9.5" bestFit="1" customWidth="1"/>
    <col min="15369" max="15370" width="9.33203125" bestFit="1" customWidth="1"/>
    <col min="15624" max="15624" width="9.5" bestFit="1" customWidth="1"/>
    <col min="15625" max="15626" width="9.33203125" bestFit="1" customWidth="1"/>
    <col min="15880" max="15880" width="9.5" bestFit="1" customWidth="1"/>
    <col min="15881" max="15882" width="9.33203125" bestFit="1" customWidth="1"/>
    <col min="16136" max="16136" width="9.5" bestFit="1" customWidth="1"/>
    <col min="16137" max="16138" width="9.33203125" bestFit="1" customWidth="1"/>
  </cols>
  <sheetData>
    <row r="1" spans="1:28" x14ac:dyDescent="0.2">
      <c r="A1" s="305" t="s">
        <v>443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</row>
    <row r="2" spans="1:28" x14ac:dyDescent="0.2">
      <c r="A2" s="305"/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  <c r="AA2" s="305"/>
    </row>
    <row r="3" spans="1:28" x14ac:dyDescent="0.2">
      <c r="A3" s="1" t="s">
        <v>1</v>
      </c>
      <c r="B3" s="1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8" x14ac:dyDescent="0.2">
      <c r="A5" s="306" t="s">
        <v>5</v>
      </c>
      <c r="B5" s="320" t="s">
        <v>439</v>
      </c>
      <c r="C5" s="306" t="s">
        <v>444</v>
      </c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306"/>
      <c r="T5" s="306"/>
      <c r="U5" s="306"/>
      <c r="V5" s="306"/>
      <c r="W5" s="306"/>
      <c r="X5" s="306"/>
      <c r="Y5" s="306"/>
      <c r="Z5" s="306"/>
      <c r="AA5" s="306"/>
      <c r="AB5" s="306"/>
    </row>
    <row r="6" spans="1:28" ht="15" customHeight="1" x14ac:dyDescent="0.2">
      <c r="A6" s="306"/>
      <c r="B6" s="320"/>
      <c r="C6" s="306">
        <v>2025</v>
      </c>
      <c r="D6" s="306"/>
      <c r="E6" s="306" t="s">
        <v>11</v>
      </c>
      <c r="F6" s="306"/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W6" s="306"/>
      <c r="X6" s="306"/>
      <c r="Y6" s="306"/>
      <c r="Z6" s="306"/>
      <c r="AA6" s="306"/>
      <c r="AB6" s="306"/>
    </row>
    <row r="7" spans="1:28" x14ac:dyDescent="0.2">
      <c r="A7" s="306"/>
      <c r="B7" s="320"/>
      <c r="C7" s="320" t="s">
        <v>12</v>
      </c>
      <c r="D7" s="320"/>
      <c r="E7" s="306" t="s">
        <v>13</v>
      </c>
      <c r="F7" s="306"/>
      <c r="G7" s="306" t="s">
        <v>14</v>
      </c>
      <c r="H7" s="306"/>
      <c r="I7" s="306" t="s">
        <v>15</v>
      </c>
      <c r="J7" s="306"/>
      <c r="K7" s="306" t="s">
        <v>16</v>
      </c>
      <c r="L7" s="306"/>
      <c r="M7" s="306" t="s">
        <v>17</v>
      </c>
      <c r="N7" s="306"/>
      <c r="O7" s="306" t="s">
        <v>18</v>
      </c>
      <c r="P7" s="306"/>
      <c r="Q7" s="306" t="s">
        <v>19</v>
      </c>
      <c r="R7" s="306"/>
      <c r="S7" s="306" t="s">
        <v>20</v>
      </c>
      <c r="T7" s="306"/>
      <c r="U7" s="306" t="s">
        <v>21</v>
      </c>
      <c r="V7" s="306"/>
      <c r="W7" s="306" t="s">
        <v>22</v>
      </c>
      <c r="X7" s="306"/>
      <c r="Y7" s="306" t="s">
        <v>23</v>
      </c>
      <c r="Z7" s="306"/>
      <c r="AA7" s="306" t="s">
        <v>24</v>
      </c>
      <c r="AB7" s="306"/>
    </row>
    <row r="8" spans="1:28" ht="48" x14ac:dyDescent="0.2">
      <c r="A8" s="306"/>
      <c r="B8" s="320"/>
      <c r="C8" s="11" t="s">
        <v>8</v>
      </c>
      <c r="D8" s="11" t="s">
        <v>445</v>
      </c>
      <c r="E8" s="11" t="s">
        <v>8</v>
      </c>
      <c r="F8" s="11" t="s">
        <v>445</v>
      </c>
      <c r="G8" s="11" t="s">
        <v>8</v>
      </c>
      <c r="H8" s="11" t="s">
        <v>445</v>
      </c>
      <c r="I8" s="11" t="s">
        <v>8</v>
      </c>
      <c r="J8" s="11" t="s">
        <v>445</v>
      </c>
      <c r="K8" s="11" t="s">
        <v>8</v>
      </c>
      <c r="L8" s="11" t="s">
        <v>445</v>
      </c>
      <c r="M8" s="11" t="s">
        <v>8</v>
      </c>
      <c r="N8" s="11" t="s">
        <v>445</v>
      </c>
      <c r="O8" s="11" t="s">
        <v>8</v>
      </c>
      <c r="P8" s="11" t="s">
        <v>445</v>
      </c>
      <c r="Q8" s="11" t="s">
        <v>8</v>
      </c>
      <c r="R8" s="11" t="s">
        <v>445</v>
      </c>
      <c r="S8" s="11" t="s">
        <v>8</v>
      </c>
      <c r="T8" s="11" t="s">
        <v>445</v>
      </c>
      <c r="U8" s="11" t="s">
        <v>8</v>
      </c>
      <c r="V8" s="11" t="s">
        <v>445</v>
      </c>
      <c r="W8" s="11" t="s">
        <v>8</v>
      </c>
      <c r="X8" s="11" t="s">
        <v>445</v>
      </c>
      <c r="Y8" s="11" t="s">
        <v>8</v>
      </c>
      <c r="Z8" s="11" t="s">
        <v>445</v>
      </c>
      <c r="AA8" s="11" t="s">
        <v>8</v>
      </c>
      <c r="AB8" s="11" t="s">
        <v>445</v>
      </c>
    </row>
    <row r="9" spans="1:28" x14ac:dyDescent="0.2">
      <c r="A9" s="319">
        <v>1</v>
      </c>
      <c r="B9" s="151">
        <v>0</v>
      </c>
      <c r="C9" s="14"/>
      <c r="D9" s="14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 x14ac:dyDescent="0.2">
      <c r="A10" s="319"/>
      <c r="B10" s="152" t="s">
        <v>607</v>
      </c>
      <c r="C10" s="14"/>
      <c r="D10" s="14"/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1:28" x14ac:dyDescent="0.2">
      <c r="A11" s="319"/>
      <c r="B11" s="153" t="s">
        <v>608</v>
      </c>
      <c r="C11" s="14"/>
      <c r="D11" s="14"/>
      <c r="E11" s="14"/>
      <c r="F11" s="15"/>
      <c r="G11" s="16"/>
      <c r="H11" s="16"/>
      <c r="I11" s="16"/>
      <c r="J11" s="16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28" x14ac:dyDescent="0.2">
      <c r="A12" s="319"/>
      <c r="B12" s="154" t="s">
        <v>609</v>
      </c>
      <c r="C12" s="14"/>
      <c r="D12" s="14"/>
      <c r="E12" s="14"/>
      <c r="F12" s="15"/>
      <c r="G12" s="16"/>
      <c r="H12" s="16"/>
      <c r="I12" s="16"/>
      <c r="J12" s="16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 x14ac:dyDescent="0.2">
      <c r="A13" s="319">
        <v>2</v>
      </c>
      <c r="B13" s="151">
        <v>0</v>
      </c>
      <c r="C13" s="14"/>
      <c r="D13" s="14"/>
      <c r="E13" s="14"/>
      <c r="F13" s="15"/>
      <c r="G13" s="16"/>
      <c r="H13" s="16"/>
      <c r="I13" s="16"/>
      <c r="J13" s="16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 x14ac:dyDescent="0.2">
      <c r="A14" s="319"/>
      <c r="B14" s="152" t="s">
        <v>607</v>
      </c>
      <c r="C14" s="14"/>
      <c r="D14" s="14"/>
      <c r="E14" s="14"/>
      <c r="F14" s="15"/>
      <c r="G14" s="16"/>
      <c r="H14" s="16"/>
      <c r="I14" s="16"/>
      <c r="J14" s="16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spans="1:28" x14ac:dyDescent="0.2">
      <c r="A15" s="319"/>
      <c r="B15" s="153" t="s">
        <v>608</v>
      </c>
      <c r="C15" s="14"/>
      <c r="D15" s="14"/>
      <c r="E15" s="14"/>
      <c r="F15" s="15"/>
      <c r="G15" s="16"/>
      <c r="H15" s="16"/>
      <c r="I15" s="16"/>
      <c r="J15" s="16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28" x14ac:dyDescent="0.2">
      <c r="A16" s="319"/>
      <c r="B16" s="154" t="s">
        <v>609</v>
      </c>
      <c r="C16" s="14"/>
      <c r="D16" s="14"/>
      <c r="E16" s="14"/>
      <c r="F16" s="15"/>
      <c r="G16" s="16"/>
      <c r="H16" s="16"/>
      <c r="I16" s="16"/>
      <c r="J16" s="16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1:28" x14ac:dyDescent="0.2">
      <c r="A17" s="319">
        <v>3</v>
      </c>
      <c r="B17" s="151">
        <v>0</v>
      </c>
      <c r="C17" s="14"/>
      <c r="D17" s="14"/>
      <c r="E17" s="14"/>
      <c r="F17" s="15"/>
      <c r="G17" s="16"/>
      <c r="H17" s="16"/>
      <c r="I17" s="16"/>
      <c r="J17" s="1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1:28" x14ac:dyDescent="0.2">
      <c r="A18" s="319"/>
      <c r="B18" s="152" t="s">
        <v>607</v>
      </c>
      <c r="C18" s="14"/>
      <c r="D18" s="14"/>
      <c r="E18" s="14"/>
      <c r="F18" s="15"/>
      <c r="G18" s="16"/>
      <c r="H18" s="16"/>
      <c r="I18" s="16"/>
      <c r="J18" s="16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spans="1:28" x14ac:dyDescent="0.2">
      <c r="A19" s="319"/>
      <c r="B19" s="153" t="s">
        <v>608</v>
      </c>
      <c r="C19" s="14"/>
      <c r="D19" s="14"/>
      <c r="E19" s="14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1:28" x14ac:dyDescent="0.2">
      <c r="A20" s="319"/>
      <c r="B20" s="154" t="s">
        <v>609</v>
      </c>
      <c r="C20" s="14"/>
      <c r="D20" s="14"/>
      <c r="E20" s="14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spans="1:28" x14ac:dyDescent="0.2">
      <c r="A21" s="319">
        <v>4</v>
      </c>
      <c r="B21" s="151">
        <v>0</v>
      </c>
      <c r="C21" s="14"/>
      <c r="D21" s="14"/>
      <c r="E21" s="14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spans="1:28" x14ac:dyDescent="0.2">
      <c r="A22" s="319"/>
      <c r="B22" s="152" t="s">
        <v>607</v>
      </c>
      <c r="C22" s="14"/>
      <c r="D22" s="14"/>
      <c r="E22" s="14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spans="1:28" x14ac:dyDescent="0.2">
      <c r="A23" s="319"/>
      <c r="B23" s="153" t="s">
        <v>608</v>
      </c>
      <c r="C23" s="14"/>
      <c r="D23" s="14"/>
      <c r="E23" s="14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spans="1:28" x14ac:dyDescent="0.2">
      <c r="A24" s="319"/>
      <c r="B24" s="154" t="s">
        <v>609</v>
      </c>
      <c r="C24" s="14"/>
      <c r="D24" s="14"/>
      <c r="E24" s="14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spans="1:28" x14ac:dyDescent="0.2">
      <c r="A25" s="319">
        <v>5</v>
      </c>
      <c r="B25" s="151">
        <v>0</v>
      </c>
      <c r="C25" s="14"/>
      <c r="D25" s="14"/>
      <c r="E25" s="14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spans="1:28" x14ac:dyDescent="0.2">
      <c r="A26" s="319"/>
      <c r="B26" s="152" t="s">
        <v>607</v>
      </c>
      <c r="C26" s="14"/>
      <c r="D26" s="14"/>
      <c r="E26" s="14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spans="1:28" x14ac:dyDescent="0.2">
      <c r="A27" s="319"/>
      <c r="B27" s="153" t="s">
        <v>608</v>
      </c>
      <c r="C27" s="14"/>
      <c r="D27" s="14"/>
      <c r="E27" s="14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spans="1:28" x14ac:dyDescent="0.2">
      <c r="A28" s="319"/>
      <c r="B28" s="154" t="s">
        <v>609</v>
      </c>
      <c r="C28" s="14"/>
      <c r="D28" s="14"/>
      <c r="E28" s="14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spans="1:28" x14ac:dyDescent="0.2">
      <c r="A29" s="319">
        <v>6</v>
      </c>
      <c r="B29" s="151">
        <v>0</v>
      </c>
      <c r="C29" s="14"/>
      <c r="D29" s="14"/>
      <c r="E29" s="14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spans="1:28" x14ac:dyDescent="0.2">
      <c r="A30" s="319"/>
      <c r="B30" s="152" t="s">
        <v>607</v>
      </c>
      <c r="C30" s="14"/>
      <c r="D30" s="14"/>
      <c r="E30" s="14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spans="1:28" x14ac:dyDescent="0.2">
      <c r="A31" s="319"/>
      <c r="B31" s="153" t="s">
        <v>608</v>
      </c>
      <c r="C31" s="14"/>
      <c r="D31" s="14"/>
      <c r="E31" s="14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spans="1:28" x14ac:dyDescent="0.2">
      <c r="A32" s="319"/>
      <c r="B32" s="154" t="s">
        <v>609</v>
      </c>
      <c r="C32" s="14"/>
      <c r="D32" s="14"/>
      <c r="E32" s="14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spans="1:28" x14ac:dyDescent="0.2">
      <c r="A33" s="319">
        <v>7</v>
      </c>
      <c r="B33" s="151">
        <v>0</v>
      </c>
      <c r="C33" s="14"/>
      <c r="D33" s="14"/>
      <c r="E33" s="14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spans="1:28" x14ac:dyDescent="0.2">
      <c r="A34" s="319"/>
      <c r="B34" s="152" t="s">
        <v>607</v>
      </c>
      <c r="C34" s="14"/>
      <c r="D34" s="14"/>
      <c r="E34" s="14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spans="1:28" x14ac:dyDescent="0.2">
      <c r="A35" s="319"/>
      <c r="B35" s="153" t="s">
        <v>608</v>
      </c>
      <c r="C35" s="14"/>
      <c r="D35" s="14"/>
      <c r="E35" s="14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spans="1:28" x14ac:dyDescent="0.2">
      <c r="A36" s="319"/>
      <c r="B36" s="154" t="s">
        <v>609</v>
      </c>
      <c r="C36" s="14"/>
      <c r="D36" s="14"/>
      <c r="E36" s="14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28" x14ac:dyDescent="0.2">
      <c r="A37" s="319">
        <v>8</v>
      </c>
      <c r="B37" s="151">
        <v>0</v>
      </c>
      <c r="C37" s="14"/>
      <c r="D37" s="14"/>
      <c r="E37" s="1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spans="1:28" x14ac:dyDescent="0.2">
      <c r="A38" s="319"/>
      <c r="B38" s="152" t="s">
        <v>607</v>
      </c>
      <c r="C38" s="14"/>
      <c r="D38" s="14"/>
      <c r="E38" s="14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spans="1:28" x14ac:dyDescent="0.2">
      <c r="A39" s="319"/>
      <c r="B39" s="153" t="s">
        <v>608</v>
      </c>
      <c r="C39" s="14"/>
      <c r="D39" s="14"/>
      <c r="E39" s="14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spans="1:28" x14ac:dyDescent="0.2">
      <c r="A40" s="319"/>
      <c r="B40" s="154" t="s">
        <v>609</v>
      </c>
      <c r="C40" s="14"/>
      <c r="D40" s="14"/>
      <c r="E40" s="1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spans="1:28" x14ac:dyDescent="0.2">
      <c r="A41" s="319">
        <v>9</v>
      </c>
      <c r="B41" s="151">
        <v>0</v>
      </c>
      <c r="C41" s="14"/>
      <c r="D41" s="14"/>
      <c r="E41" s="1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spans="1:28" x14ac:dyDescent="0.2">
      <c r="A42" s="319"/>
      <c r="B42" s="152" t="s">
        <v>607</v>
      </c>
      <c r="C42" s="14"/>
      <c r="D42" s="14"/>
      <c r="E42" s="1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spans="1:28" x14ac:dyDescent="0.2">
      <c r="A43" s="319"/>
      <c r="B43" s="153" t="s">
        <v>608</v>
      </c>
      <c r="C43" s="14"/>
      <c r="D43" s="14"/>
      <c r="E43" s="14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spans="1:28" x14ac:dyDescent="0.2">
      <c r="A44" s="319"/>
      <c r="B44" s="154" t="s">
        <v>609</v>
      </c>
      <c r="C44" s="14"/>
      <c r="D44" s="14"/>
      <c r="E44" s="14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spans="1:28" x14ac:dyDescent="0.2">
      <c r="A45" s="319">
        <v>10</v>
      </c>
      <c r="B45" s="151">
        <v>0</v>
      </c>
      <c r="C45" s="14"/>
      <c r="D45" s="14"/>
      <c r="E45" s="14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spans="1:28" x14ac:dyDescent="0.2">
      <c r="A46" s="319"/>
      <c r="B46" s="152" t="s">
        <v>607</v>
      </c>
      <c r="C46" s="14"/>
      <c r="D46" s="14"/>
      <c r="E46" s="14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spans="1:28" x14ac:dyDescent="0.2">
      <c r="A47" s="319"/>
      <c r="B47" s="153" t="s">
        <v>608</v>
      </c>
      <c r="C47" s="14"/>
      <c r="D47" s="14"/>
      <c r="E47" s="14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spans="1:28" x14ac:dyDescent="0.2">
      <c r="A48" s="319"/>
      <c r="B48" s="154" t="s">
        <v>609</v>
      </c>
      <c r="C48" s="14"/>
      <c r="D48" s="14"/>
      <c r="E48" s="14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</sheetData>
  <mergeCells count="29">
    <mergeCell ref="A45:A48"/>
    <mergeCell ref="A25:A28"/>
    <mergeCell ref="A29:A32"/>
    <mergeCell ref="A33:A36"/>
    <mergeCell ref="A37:A40"/>
    <mergeCell ref="A41:A44"/>
    <mergeCell ref="A21:A24"/>
    <mergeCell ref="W7:X7"/>
    <mergeCell ref="Y7:Z7"/>
    <mergeCell ref="AA7:AB7"/>
    <mergeCell ref="A9:A12"/>
    <mergeCell ref="A13:A16"/>
    <mergeCell ref="A17:A20"/>
    <mergeCell ref="K7:L7"/>
    <mergeCell ref="M7:N7"/>
    <mergeCell ref="O7:P7"/>
    <mergeCell ref="Q7:R7"/>
    <mergeCell ref="S7:T7"/>
    <mergeCell ref="U7:V7"/>
    <mergeCell ref="A1:AA2"/>
    <mergeCell ref="A5:A8"/>
    <mergeCell ref="B5:B8"/>
    <mergeCell ref="C5:AB5"/>
    <mergeCell ref="C6:D6"/>
    <mergeCell ref="E6:AB6"/>
    <mergeCell ref="C7:D7"/>
    <mergeCell ref="E7:F7"/>
    <mergeCell ref="G7:H7"/>
    <mergeCell ref="I7:J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3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11.6640625" customWidth="1"/>
    <col min="4" max="4" width="9.5" customWidth="1"/>
  </cols>
  <sheetData>
    <row r="1" spans="1:19" x14ac:dyDescent="0.2">
      <c r="A1" s="305" t="s">
        <v>1034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t="s">
        <v>447</v>
      </c>
    </row>
    <row r="2" spans="1:19" x14ac:dyDescent="0.2">
      <c r="A2" s="305"/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</row>
    <row r="3" spans="1:19" x14ac:dyDescent="0.2">
      <c r="A3" s="1" t="s">
        <v>1</v>
      </c>
      <c r="B3" s="1" t="s">
        <v>3</v>
      </c>
      <c r="C3" s="1"/>
      <c r="D3" s="2"/>
      <c r="E3" s="2"/>
      <c r="F3" s="2"/>
      <c r="G3" s="2"/>
      <c r="H3" s="17"/>
      <c r="I3" s="6" t="s">
        <v>448</v>
      </c>
      <c r="J3" s="2"/>
      <c r="K3" s="9"/>
      <c r="L3" s="2" t="s">
        <v>449</v>
      </c>
      <c r="M3" s="2"/>
      <c r="N3" s="2"/>
      <c r="O3" s="2"/>
      <c r="P3" s="2"/>
      <c r="Q3" s="2"/>
      <c r="R3" s="2"/>
    </row>
    <row r="4" spans="1:19" x14ac:dyDescent="0.2">
      <c r="A4" s="1" t="s">
        <v>450</v>
      </c>
      <c r="B4" s="1" t="s">
        <v>451</v>
      </c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9" x14ac:dyDescent="0.2">
      <c r="A5" s="306" t="s">
        <v>5</v>
      </c>
      <c r="B5" s="306" t="s">
        <v>6</v>
      </c>
      <c r="C5" s="320" t="s">
        <v>7</v>
      </c>
      <c r="D5" s="306" t="s">
        <v>8</v>
      </c>
      <c r="E5" s="307" t="s">
        <v>9</v>
      </c>
      <c r="F5" s="306" t="s">
        <v>452</v>
      </c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</row>
    <row r="6" spans="1:19" x14ac:dyDescent="0.2">
      <c r="A6" s="306"/>
      <c r="B6" s="306"/>
      <c r="C6" s="320"/>
      <c r="D6" s="306"/>
      <c r="E6" s="308"/>
      <c r="F6" s="10">
        <v>2025</v>
      </c>
      <c r="G6" s="306" t="s">
        <v>11</v>
      </c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</row>
    <row r="7" spans="1:19" ht="16" x14ac:dyDescent="0.2">
      <c r="A7" s="306"/>
      <c r="B7" s="306"/>
      <c r="C7" s="320"/>
      <c r="D7" s="306"/>
      <c r="E7" s="309"/>
      <c r="F7" s="11" t="s">
        <v>12</v>
      </c>
      <c r="G7" s="10" t="s">
        <v>13</v>
      </c>
      <c r="H7" s="10" t="s">
        <v>14</v>
      </c>
      <c r="I7" s="10" t="s">
        <v>15</v>
      </c>
      <c r="J7" s="10" t="s">
        <v>16</v>
      </c>
      <c r="K7" s="10" t="s">
        <v>17</v>
      </c>
      <c r="L7" s="10" t="s">
        <v>18</v>
      </c>
      <c r="M7" s="10" t="s">
        <v>19</v>
      </c>
      <c r="N7" s="10" t="s">
        <v>20</v>
      </c>
      <c r="O7" s="10" t="s">
        <v>21</v>
      </c>
      <c r="P7" s="10" t="s">
        <v>22</v>
      </c>
      <c r="Q7" s="10" t="s">
        <v>23</v>
      </c>
      <c r="R7" s="10" t="s">
        <v>24</v>
      </c>
    </row>
    <row r="8" spans="1:19" x14ac:dyDescent="0.2">
      <c r="A8" s="12">
        <v>1</v>
      </c>
      <c r="B8" s="12" t="s">
        <v>25</v>
      </c>
      <c r="C8" s="12" t="s">
        <v>26</v>
      </c>
      <c r="D8" s="12">
        <v>20.149999999999999</v>
      </c>
      <c r="E8" s="12">
        <v>1997</v>
      </c>
      <c r="F8" s="122"/>
      <c r="G8" s="122"/>
      <c r="H8" s="122"/>
      <c r="I8" s="122"/>
      <c r="J8" s="122"/>
      <c r="K8" s="122">
        <v>0</v>
      </c>
      <c r="L8" s="122">
        <f>IFERROR(VLOOKUP($B8,'[2]Sensus Kumbang'!$B$4:$AN$32,'[2]Sensus Kumbang'!$AN$1,0),0)</f>
        <v>0</v>
      </c>
      <c r="M8" s="122"/>
      <c r="N8" s="122"/>
      <c r="O8" s="122"/>
      <c r="P8" s="122"/>
      <c r="Q8" s="122"/>
      <c r="R8" s="122"/>
    </row>
    <row r="9" spans="1:19" x14ac:dyDescent="0.2">
      <c r="A9" s="12">
        <v>1</v>
      </c>
      <c r="B9" s="12" t="s">
        <v>27</v>
      </c>
      <c r="C9" s="12" t="s">
        <v>26</v>
      </c>
      <c r="D9" s="12">
        <v>20.65</v>
      </c>
      <c r="E9" s="12">
        <v>1997</v>
      </c>
      <c r="F9" s="122"/>
      <c r="G9" s="122"/>
      <c r="H9" s="122"/>
      <c r="I9" s="122"/>
      <c r="J9" s="122"/>
      <c r="K9" s="122">
        <v>0</v>
      </c>
      <c r="L9" s="122">
        <f>IFERROR(VLOOKUP($B9,'[2]Sensus Kumbang'!$B$4:$AN$32,'[2]Sensus Kumbang'!$AN$1,0),0)</f>
        <v>0</v>
      </c>
      <c r="M9" s="122"/>
      <c r="N9" s="122"/>
      <c r="O9" s="122"/>
      <c r="P9" s="122"/>
      <c r="Q9" s="122"/>
      <c r="R9" s="122"/>
    </row>
    <row r="10" spans="1:19" x14ac:dyDescent="0.2">
      <c r="A10" s="12">
        <v>1</v>
      </c>
      <c r="B10" s="12" t="s">
        <v>28</v>
      </c>
      <c r="C10" s="12" t="s">
        <v>26</v>
      </c>
      <c r="D10" s="12">
        <v>23.8</v>
      </c>
      <c r="E10" s="12">
        <v>1997</v>
      </c>
      <c r="F10" s="122"/>
      <c r="G10" s="122"/>
      <c r="H10" s="122"/>
      <c r="I10" s="122"/>
      <c r="J10" s="122"/>
      <c r="K10" s="122">
        <v>0</v>
      </c>
      <c r="L10" s="122">
        <f>IFERROR(VLOOKUP($B10,'[2]Sensus Kumbang'!$B$4:$AN$32,'[2]Sensus Kumbang'!$AN$1,0),0)</f>
        <v>0</v>
      </c>
      <c r="M10" s="122"/>
      <c r="N10" s="122"/>
      <c r="O10" s="122"/>
      <c r="P10" s="122"/>
      <c r="Q10" s="122"/>
      <c r="R10" s="122"/>
    </row>
    <row r="11" spans="1:19" x14ac:dyDescent="0.2">
      <c r="A11" s="12">
        <v>1</v>
      </c>
      <c r="B11" s="12" t="s">
        <v>29</v>
      </c>
      <c r="C11" s="12" t="s">
        <v>26</v>
      </c>
      <c r="D11" s="12">
        <v>27.64</v>
      </c>
      <c r="E11" s="12">
        <v>2021</v>
      </c>
      <c r="F11" s="122"/>
      <c r="G11" s="122"/>
      <c r="H11" s="122"/>
      <c r="I11" s="122"/>
      <c r="J11" s="122"/>
      <c r="K11" s="122">
        <v>0</v>
      </c>
      <c r="L11" s="122">
        <f>IFERROR(VLOOKUP($B11,'[2]Sensus Kumbang'!$B$4:$AN$32,'[2]Sensus Kumbang'!$AN$1,0),0)</f>
        <v>0</v>
      </c>
      <c r="M11" s="122"/>
      <c r="N11" s="122"/>
      <c r="O11" s="122"/>
      <c r="P11" s="122"/>
      <c r="Q11" s="122"/>
      <c r="R11" s="122"/>
    </row>
    <row r="12" spans="1:19" x14ac:dyDescent="0.2">
      <c r="A12" s="12">
        <v>1</v>
      </c>
      <c r="B12" s="12" t="s">
        <v>30</v>
      </c>
      <c r="C12" s="12" t="s">
        <v>26</v>
      </c>
      <c r="D12" s="12">
        <v>24.01</v>
      </c>
      <c r="E12" s="12">
        <v>2021</v>
      </c>
      <c r="F12" s="122"/>
      <c r="G12" s="122"/>
      <c r="H12" s="122"/>
      <c r="I12" s="122"/>
      <c r="J12" s="122"/>
      <c r="K12" s="122">
        <v>0</v>
      </c>
      <c r="L12" s="122">
        <f>IFERROR(VLOOKUP($B12,'[2]Sensus Kumbang'!$B$4:$AN$32,'[2]Sensus Kumbang'!$AN$1,0),0)</f>
        <v>0</v>
      </c>
      <c r="M12" s="122"/>
      <c r="N12" s="122"/>
      <c r="O12" s="122"/>
      <c r="P12" s="122"/>
      <c r="Q12" s="122"/>
      <c r="R12" s="122"/>
    </row>
    <row r="13" spans="1:19" x14ac:dyDescent="0.2">
      <c r="A13" s="12">
        <v>1</v>
      </c>
      <c r="B13" s="12" t="s">
        <v>31</v>
      </c>
      <c r="C13" s="12" t="s">
        <v>26</v>
      </c>
      <c r="D13" s="12">
        <v>24</v>
      </c>
      <c r="E13" s="12">
        <v>2021</v>
      </c>
      <c r="F13" s="122"/>
      <c r="G13" s="122"/>
      <c r="H13" s="122"/>
      <c r="I13" s="122"/>
      <c r="J13" s="122"/>
      <c r="K13" s="122">
        <v>0</v>
      </c>
      <c r="L13" s="122">
        <f>IFERROR(VLOOKUP($B13,'[2]Sensus Kumbang'!$B$4:$AN$32,'[2]Sensus Kumbang'!$AN$1,0),0)</f>
        <v>0</v>
      </c>
      <c r="M13" s="122"/>
      <c r="N13" s="122"/>
      <c r="O13" s="122"/>
      <c r="P13" s="122"/>
      <c r="Q13" s="122"/>
      <c r="R13" s="122"/>
    </row>
    <row r="14" spans="1:19" x14ac:dyDescent="0.2">
      <c r="A14" s="12">
        <v>1</v>
      </c>
      <c r="B14" s="12" t="s">
        <v>32</v>
      </c>
      <c r="C14" s="12" t="s">
        <v>26</v>
      </c>
      <c r="D14" s="12">
        <v>24.9</v>
      </c>
      <c r="E14" s="12">
        <v>2021</v>
      </c>
      <c r="F14" s="122"/>
      <c r="G14" s="122"/>
      <c r="H14" s="122"/>
      <c r="I14" s="122"/>
      <c r="J14" s="122"/>
      <c r="K14" s="122">
        <v>0</v>
      </c>
      <c r="L14" s="122">
        <f>IFERROR(VLOOKUP($B14,'[2]Sensus Kumbang'!$B$4:$AN$32,'[2]Sensus Kumbang'!$AN$1,0),0)</f>
        <v>0</v>
      </c>
      <c r="M14" s="122"/>
      <c r="N14" s="122"/>
      <c r="O14" s="122"/>
      <c r="P14" s="122"/>
      <c r="Q14" s="122"/>
      <c r="R14" s="122"/>
    </row>
    <row r="15" spans="1:19" x14ac:dyDescent="0.2">
      <c r="A15" s="12">
        <v>1</v>
      </c>
      <c r="B15" s="12" t="s">
        <v>33</v>
      </c>
      <c r="C15" s="12" t="s">
        <v>26</v>
      </c>
      <c r="D15" s="12">
        <v>27.79</v>
      </c>
      <c r="E15" s="12">
        <v>2021</v>
      </c>
      <c r="F15" s="122"/>
      <c r="G15" s="122"/>
      <c r="H15" s="122"/>
      <c r="I15" s="122"/>
      <c r="J15" s="122"/>
      <c r="K15" s="122">
        <v>0</v>
      </c>
      <c r="L15" s="122">
        <f>IFERROR(VLOOKUP($B15,'[2]Sensus Kumbang'!$B$4:$AN$32,'[2]Sensus Kumbang'!$AN$1,0),0)</f>
        <v>0</v>
      </c>
      <c r="M15" s="122"/>
      <c r="N15" s="122"/>
      <c r="O15" s="122"/>
      <c r="P15" s="122"/>
      <c r="Q15" s="122"/>
      <c r="R15" s="122"/>
    </row>
    <row r="16" spans="1:19" x14ac:dyDescent="0.2">
      <c r="A16" s="12">
        <v>1</v>
      </c>
      <c r="B16" s="12" t="s">
        <v>34</v>
      </c>
      <c r="C16" s="12" t="s">
        <v>26</v>
      </c>
      <c r="D16" s="12">
        <v>23.54</v>
      </c>
      <c r="E16" s="12">
        <v>2021</v>
      </c>
      <c r="F16" s="122"/>
      <c r="G16" s="122"/>
      <c r="H16" s="122"/>
      <c r="I16" s="122"/>
      <c r="J16" s="122"/>
      <c r="K16" s="122">
        <v>0</v>
      </c>
      <c r="L16" s="122">
        <f>IFERROR(VLOOKUP($B16,'[2]Sensus Kumbang'!$B$4:$AN$32,'[2]Sensus Kumbang'!$AN$1,0),0)</f>
        <v>0</v>
      </c>
      <c r="M16" s="122"/>
      <c r="N16" s="122"/>
      <c r="O16" s="122"/>
      <c r="P16" s="122"/>
      <c r="Q16" s="122"/>
      <c r="R16" s="122"/>
    </row>
    <row r="17" spans="1:18" x14ac:dyDescent="0.2">
      <c r="A17" s="12">
        <v>1</v>
      </c>
      <c r="B17" s="12" t="s">
        <v>35</v>
      </c>
      <c r="C17" s="12" t="s">
        <v>26</v>
      </c>
      <c r="D17" s="12">
        <v>24.41</v>
      </c>
      <c r="E17" s="12">
        <v>2021</v>
      </c>
      <c r="F17" s="122"/>
      <c r="G17" s="122"/>
      <c r="H17" s="122"/>
      <c r="I17" s="122"/>
      <c r="J17" s="122"/>
      <c r="K17" s="122">
        <v>0</v>
      </c>
      <c r="L17" s="122">
        <f>IFERROR(VLOOKUP($B17,'[2]Sensus Kumbang'!$B$4:$AN$32,'[2]Sensus Kumbang'!$AN$1,0),0)</f>
        <v>0</v>
      </c>
      <c r="M17" s="122"/>
      <c r="N17" s="122"/>
      <c r="O17" s="122"/>
      <c r="P17" s="122"/>
      <c r="Q17" s="122"/>
      <c r="R17" s="122"/>
    </row>
    <row r="18" spans="1:18" x14ac:dyDescent="0.2">
      <c r="A18" s="12">
        <v>1</v>
      </c>
      <c r="B18" s="12" t="s">
        <v>36</v>
      </c>
      <c r="C18" s="12" t="s">
        <v>26</v>
      </c>
      <c r="D18" s="12">
        <v>24.35</v>
      </c>
      <c r="E18" s="12">
        <v>2021</v>
      </c>
      <c r="F18" s="122"/>
      <c r="G18" s="122"/>
      <c r="H18" s="122"/>
      <c r="I18" s="122"/>
      <c r="J18" s="122"/>
      <c r="K18" s="122">
        <v>0</v>
      </c>
      <c r="L18" s="122">
        <f>IFERROR(VLOOKUP($B18,'[2]Sensus Kumbang'!$B$4:$AN$32,'[2]Sensus Kumbang'!$AN$1,0),0)</f>
        <v>0</v>
      </c>
      <c r="M18" s="122"/>
      <c r="N18" s="122"/>
      <c r="O18" s="122"/>
      <c r="P18" s="122"/>
      <c r="Q18" s="122"/>
      <c r="R18" s="122"/>
    </row>
    <row r="19" spans="1:18" x14ac:dyDescent="0.2">
      <c r="A19" s="12">
        <v>1</v>
      </c>
      <c r="B19" s="12" t="s">
        <v>37</v>
      </c>
      <c r="C19" s="12" t="s">
        <v>26</v>
      </c>
      <c r="D19" s="12">
        <v>23.38</v>
      </c>
      <c r="E19" s="12">
        <v>2024</v>
      </c>
      <c r="F19" s="122"/>
      <c r="G19" s="122"/>
      <c r="H19" s="122"/>
      <c r="I19" s="122"/>
      <c r="J19" s="122">
        <v>5.4685390224142585E-3</v>
      </c>
      <c r="K19" s="122">
        <v>1.5527950310559006E-2</v>
      </c>
      <c r="L19" s="122">
        <f>IFERROR(VLOOKUP($B19,'[2]Sensus Kumbang'!$B$4:$AN$32,'[2]Sensus Kumbang'!$AN$1,0),0)</f>
        <v>1.2422360248447204E-2</v>
      </c>
      <c r="M19" s="122"/>
      <c r="N19" s="122"/>
      <c r="O19" s="122"/>
      <c r="P19" s="122"/>
      <c r="Q19" s="122"/>
      <c r="R19" s="122"/>
    </row>
    <row r="20" spans="1:18" x14ac:dyDescent="0.2">
      <c r="A20" s="12">
        <v>1</v>
      </c>
      <c r="B20" s="12" t="s">
        <v>38</v>
      </c>
      <c r="C20" s="12" t="s">
        <v>26</v>
      </c>
      <c r="D20" s="12">
        <v>34.19</v>
      </c>
      <c r="E20" s="12">
        <v>2024</v>
      </c>
      <c r="F20" s="122"/>
      <c r="G20" s="122"/>
      <c r="H20" s="122"/>
      <c r="I20" s="122"/>
      <c r="J20" s="122">
        <v>1.3815074655483502E-3</v>
      </c>
      <c r="K20" s="122">
        <v>1.5521064301552107E-2</v>
      </c>
      <c r="L20" s="122">
        <f>IFERROR(VLOOKUP($B20,'[2]Sensus Kumbang'!$B$4:$AN$32,'[2]Sensus Kumbang'!$AN$1,0),0)</f>
        <v>1.5521064301552107E-2</v>
      </c>
      <c r="M20" s="122"/>
      <c r="N20" s="122"/>
      <c r="O20" s="122"/>
      <c r="P20" s="122"/>
      <c r="Q20" s="122"/>
      <c r="R20" s="122"/>
    </row>
    <row r="21" spans="1:18" x14ac:dyDescent="0.2">
      <c r="A21" s="12">
        <v>1</v>
      </c>
      <c r="B21" s="12" t="s">
        <v>39</v>
      </c>
      <c r="C21" s="12" t="s">
        <v>26</v>
      </c>
      <c r="D21" s="12">
        <v>23.26</v>
      </c>
      <c r="E21" s="12">
        <v>2024</v>
      </c>
      <c r="F21" s="122"/>
      <c r="G21" s="122"/>
      <c r="H21" s="122"/>
      <c r="I21" s="122"/>
      <c r="J21" s="122">
        <v>2.0108401637252598E-3</v>
      </c>
      <c r="K21" s="122">
        <v>3.8338658146964855E-2</v>
      </c>
      <c r="L21" s="122">
        <f>IFERROR(VLOOKUP($B21,'[2]Sensus Kumbang'!$B$4:$AN$32,'[2]Sensus Kumbang'!$AN$1,0),0)</f>
        <v>1.5923566878980892E-2</v>
      </c>
      <c r="M21" s="122"/>
      <c r="N21" s="122"/>
      <c r="O21" s="122"/>
      <c r="P21" s="122"/>
      <c r="Q21" s="122"/>
      <c r="R21" s="122"/>
    </row>
    <row r="22" spans="1:18" x14ac:dyDescent="0.2">
      <c r="A22" s="12">
        <v>1</v>
      </c>
      <c r="B22" s="12" t="s">
        <v>40</v>
      </c>
      <c r="C22" s="12" t="s">
        <v>26</v>
      </c>
      <c r="D22" s="12">
        <v>23.42</v>
      </c>
      <c r="E22" s="12">
        <v>2024</v>
      </c>
      <c r="F22" s="122"/>
      <c r="G22" s="122"/>
      <c r="H22" s="122"/>
      <c r="I22" s="122"/>
      <c r="J22" s="122">
        <v>1.9195379020683463E-3</v>
      </c>
      <c r="K22" s="122">
        <v>2.976190476190476E-2</v>
      </c>
      <c r="L22" s="122">
        <f>IFERROR(VLOOKUP($B22,'[2]Sensus Kumbang'!$B$4:$AN$32,'[2]Sensus Kumbang'!$AN$1,0),0)</f>
        <v>2.0771513353115726E-2</v>
      </c>
      <c r="M22" s="122"/>
      <c r="N22" s="122"/>
      <c r="O22" s="122"/>
      <c r="P22" s="122"/>
      <c r="Q22" s="122"/>
      <c r="R22" s="122"/>
    </row>
    <row r="23" spans="1:18" x14ac:dyDescent="0.2">
      <c r="A23" s="12">
        <v>1</v>
      </c>
      <c r="B23" s="12" t="s">
        <v>41</v>
      </c>
      <c r="C23" s="12" t="s">
        <v>26</v>
      </c>
      <c r="D23" s="12">
        <v>22.27</v>
      </c>
      <c r="E23" s="12">
        <v>2024</v>
      </c>
      <c r="F23" s="122"/>
      <c r="G23" s="122"/>
      <c r="H23" s="122"/>
      <c r="I23" s="122"/>
      <c r="J23" s="122">
        <v>2.6724975704567541E-3</v>
      </c>
      <c r="K23" s="122">
        <v>1.3605442176870748E-2</v>
      </c>
      <c r="L23" s="122">
        <f>IFERROR(VLOOKUP($B23,'[2]Sensus Kumbang'!$B$4:$AN$32,'[2]Sensus Kumbang'!$AN$1,0),0)</f>
        <v>1.3605442176870748E-2</v>
      </c>
      <c r="M23" s="122"/>
      <c r="N23" s="122"/>
      <c r="O23" s="122"/>
      <c r="P23" s="122"/>
      <c r="Q23" s="122"/>
      <c r="R23" s="122"/>
    </row>
    <row r="24" spans="1:18" x14ac:dyDescent="0.2">
      <c r="A24" s="12">
        <v>1</v>
      </c>
      <c r="B24" s="12" t="s">
        <v>42</v>
      </c>
      <c r="C24" s="12" t="s">
        <v>26</v>
      </c>
      <c r="D24" s="12">
        <v>12.5</v>
      </c>
      <c r="E24" s="12">
        <v>2024</v>
      </c>
      <c r="F24" s="122"/>
      <c r="G24" s="122"/>
      <c r="H24" s="122"/>
      <c r="I24" s="122"/>
      <c r="J24" s="122">
        <v>5.2755796196029435E-3</v>
      </c>
      <c r="K24" s="122">
        <v>3.0120481927710843E-2</v>
      </c>
      <c r="L24" s="122">
        <f>IFERROR(VLOOKUP($B24,'[2]Sensus Kumbang'!$B$4:$AN$32,'[2]Sensus Kumbang'!$AN$1,0),0)</f>
        <v>2.4096385542168676E-2</v>
      </c>
      <c r="M24" s="122"/>
      <c r="N24" s="122"/>
      <c r="O24" s="122"/>
      <c r="P24" s="122"/>
      <c r="Q24" s="122"/>
      <c r="R24" s="122"/>
    </row>
    <row r="25" spans="1:18" x14ac:dyDescent="0.2">
      <c r="A25" s="12">
        <v>1</v>
      </c>
      <c r="B25" s="12" t="s">
        <v>43</v>
      </c>
      <c r="C25" s="12" t="s">
        <v>26</v>
      </c>
      <c r="D25" s="12">
        <v>8.42</v>
      </c>
      <c r="E25" s="12">
        <v>2024</v>
      </c>
      <c r="F25" s="122"/>
      <c r="G25" s="122"/>
      <c r="H25" s="122"/>
      <c r="I25" s="122"/>
      <c r="J25" s="122">
        <v>6.3865804863034786E-3</v>
      </c>
      <c r="K25" s="122">
        <v>2.6315789473684209E-2</v>
      </c>
      <c r="L25" s="122">
        <f>IFERROR(VLOOKUP($B25,'[2]Sensus Kumbang'!$B$4:$AN$32,'[2]Sensus Kumbang'!$AN$1,0),0)</f>
        <v>3.5087719298245612E-2</v>
      </c>
      <c r="M25" s="122"/>
      <c r="N25" s="122"/>
      <c r="O25" s="122"/>
      <c r="P25" s="122"/>
      <c r="Q25" s="122"/>
      <c r="R25" s="122"/>
    </row>
    <row r="26" spans="1:18" x14ac:dyDescent="0.2">
      <c r="A26" s="12">
        <v>1</v>
      </c>
      <c r="B26" s="12" t="s">
        <v>44</v>
      </c>
      <c r="C26" s="12" t="s">
        <v>26</v>
      </c>
      <c r="D26" s="12">
        <v>30.48</v>
      </c>
      <c r="E26" s="12">
        <v>2024</v>
      </c>
      <c r="F26" s="122"/>
      <c r="G26" s="122"/>
      <c r="H26" s="122"/>
      <c r="I26" s="122"/>
      <c r="J26" s="122">
        <v>2.0895936971288605E-3</v>
      </c>
      <c r="K26" s="122">
        <v>4.2713567839195977E-2</v>
      </c>
      <c r="L26" s="122">
        <f>IFERROR(VLOOKUP($B26,'[2]Sensus Kumbang'!$B$4:$AN$32,'[2]Sensus Kumbang'!$AN$1,0),0)</f>
        <v>2.5125628140703519E-2</v>
      </c>
      <c r="M26" s="122"/>
      <c r="N26" s="122"/>
      <c r="O26" s="122"/>
      <c r="P26" s="122"/>
      <c r="Q26" s="122"/>
      <c r="R26" s="122"/>
    </row>
    <row r="27" spans="1:18" x14ac:dyDescent="0.2">
      <c r="A27" s="12">
        <v>1</v>
      </c>
      <c r="B27" s="12" t="s">
        <v>45</v>
      </c>
      <c r="C27" s="12" t="s">
        <v>26</v>
      </c>
      <c r="D27" s="12">
        <v>23.7</v>
      </c>
      <c r="E27" s="12">
        <v>2024</v>
      </c>
      <c r="F27" s="122"/>
      <c r="G27" s="122"/>
      <c r="H27" s="122"/>
      <c r="I27" s="122"/>
      <c r="J27" s="122">
        <v>2.2753906250000001E-3</v>
      </c>
      <c r="K27" s="122">
        <v>0.05</v>
      </c>
      <c r="L27" s="122">
        <f>IFERROR(VLOOKUP($B27,'[2]Sensus Kumbang'!$B$4:$AN$32,'[2]Sensus Kumbang'!$AN$1,0),0)</f>
        <v>2.5000000000000001E-2</v>
      </c>
      <c r="M27" s="122"/>
      <c r="N27" s="122"/>
      <c r="O27" s="122"/>
      <c r="P27" s="122"/>
      <c r="Q27" s="122"/>
      <c r="R27" s="122"/>
    </row>
    <row r="28" spans="1:18" x14ac:dyDescent="0.2">
      <c r="A28" s="12">
        <v>1</v>
      </c>
      <c r="B28" s="12" t="s">
        <v>46</v>
      </c>
      <c r="C28" s="12" t="s">
        <v>26</v>
      </c>
      <c r="D28" s="12">
        <v>23.61</v>
      </c>
      <c r="E28" s="12">
        <v>2024</v>
      </c>
      <c r="F28" s="122"/>
      <c r="G28" s="122"/>
      <c r="H28" s="122"/>
      <c r="I28" s="122"/>
      <c r="J28" s="122">
        <v>2.3428942350602459E-3</v>
      </c>
      <c r="K28" s="122">
        <v>9.4936708860759497E-3</v>
      </c>
      <c r="L28" s="122">
        <f>IFERROR(VLOOKUP($B28,'[2]Sensus Kumbang'!$B$4:$AN$32,'[2]Sensus Kumbang'!$AN$1,0),0)</f>
        <v>2.2292993630573247E-2</v>
      </c>
      <c r="M28" s="122"/>
      <c r="N28" s="122"/>
      <c r="O28" s="122"/>
      <c r="P28" s="122"/>
      <c r="Q28" s="122"/>
      <c r="R28" s="122"/>
    </row>
    <row r="29" spans="1:18" x14ac:dyDescent="0.2">
      <c r="A29" s="12">
        <v>1</v>
      </c>
      <c r="B29" s="12" t="s">
        <v>47</v>
      </c>
      <c r="C29" s="12" t="s">
        <v>26</v>
      </c>
      <c r="D29" s="12">
        <v>23.48</v>
      </c>
      <c r="E29" s="12">
        <v>2024</v>
      </c>
      <c r="F29" s="122"/>
      <c r="G29" s="122"/>
      <c r="H29" s="122"/>
      <c r="I29" s="122"/>
      <c r="J29" s="122">
        <v>2.5717918110266785E-3</v>
      </c>
      <c r="K29" s="122">
        <v>5.6074766355140186E-2</v>
      </c>
      <c r="L29" s="122">
        <f>IFERROR(VLOOKUP($B29,'[2]Sensus Kumbang'!$B$4:$AN$32,'[2]Sensus Kumbang'!$AN$1,0),0)</f>
        <v>1.8691588785046728E-2</v>
      </c>
      <c r="M29" s="122"/>
      <c r="N29" s="122"/>
      <c r="O29" s="122"/>
      <c r="P29" s="122"/>
      <c r="Q29" s="122"/>
      <c r="R29" s="122"/>
    </row>
    <row r="30" spans="1:18" x14ac:dyDescent="0.2">
      <c r="A30" s="12">
        <v>1</v>
      </c>
      <c r="B30" s="12" t="s">
        <v>48</v>
      </c>
      <c r="C30" s="12" t="s">
        <v>26</v>
      </c>
      <c r="D30" s="12">
        <v>5.57</v>
      </c>
      <c r="E30" s="12">
        <v>2026</v>
      </c>
      <c r="F30" s="122"/>
      <c r="G30" s="122"/>
      <c r="H30" s="122"/>
      <c r="I30" s="122"/>
      <c r="J30" s="122">
        <v>0</v>
      </c>
      <c r="K30" s="122">
        <v>0</v>
      </c>
      <c r="L30" s="122">
        <f>IFERROR(VLOOKUP($B30,'[2]Sensus Kumbang'!$B$4:$AN$32,'[2]Sensus Kumbang'!$AN$1,0),0)</f>
        <v>0</v>
      </c>
      <c r="M30" s="122"/>
      <c r="N30" s="122"/>
      <c r="O30" s="122"/>
      <c r="P30" s="122"/>
      <c r="Q30" s="122"/>
      <c r="R30" s="122"/>
    </row>
    <row r="31" spans="1:18" x14ac:dyDescent="0.2">
      <c r="A31" s="12">
        <v>1</v>
      </c>
      <c r="B31" s="12" t="s">
        <v>49</v>
      </c>
      <c r="C31" s="12" t="s">
        <v>26</v>
      </c>
      <c r="D31" s="12">
        <v>27.24</v>
      </c>
      <c r="E31" s="12">
        <v>2025</v>
      </c>
      <c r="F31" s="122"/>
      <c r="G31" s="122"/>
      <c r="H31" s="122"/>
      <c r="I31" s="122"/>
      <c r="J31" s="122">
        <v>1.015184878034831E-3</v>
      </c>
      <c r="K31" s="122">
        <v>1.6042780748663103E-2</v>
      </c>
      <c r="L31" s="122">
        <f>IFERROR(VLOOKUP($B31,'[2]Sensus Kumbang'!$B$4:$AN$32,'[2]Sensus Kumbang'!$AN$1,0),0)</f>
        <v>1.3368983957219251E-2</v>
      </c>
      <c r="M31" s="122"/>
      <c r="N31" s="122"/>
      <c r="O31" s="122"/>
      <c r="P31" s="122"/>
      <c r="Q31" s="122"/>
      <c r="R31" s="122"/>
    </row>
    <row r="32" spans="1:18" x14ac:dyDescent="0.2">
      <c r="A32" s="12">
        <v>1</v>
      </c>
      <c r="B32" s="12" t="s">
        <v>50</v>
      </c>
      <c r="C32" s="12" t="s">
        <v>26</v>
      </c>
      <c r="D32" s="12">
        <v>23.19</v>
      </c>
      <c r="E32" s="12">
        <v>2025</v>
      </c>
      <c r="F32" s="122"/>
      <c r="G32" s="122"/>
      <c r="H32" s="122"/>
      <c r="I32" s="122"/>
      <c r="J32" s="122">
        <v>1.3961727154215885E-2</v>
      </c>
      <c r="K32" s="122">
        <v>1.935483870967742E-2</v>
      </c>
      <c r="L32" s="122">
        <f>IFERROR(VLOOKUP($B32,'[2]Sensus Kumbang'!$B$4:$AN$32,'[2]Sensus Kumbang'!$AN$1,0),0)</f>
        <v>1.6447368421052631E-2</v>
      </c>
      <c r="M32" s="122"/>
      <c r="N32" s="122"/>
      <c r="O32" s="122"/>
      <c r="P32" s="122"/>
      <c r="Q32" s="122"/>
      <c r="R32" s="122"/>
    </row>
    <row r="33" spans="1:18" x14ac:dyDescent="0.2">
      <c r="A33" s="12">
        <v>1</v>
      </c>
      <c r="B33" s="12" t="s">
        <v>51</v>
      </c>
      <c r="C33" s="12" t="s">
        <v>26</v>
      </c>
      <c r="D33" s="12">
        <v>11.87</v>
      </c>
      <c r="E33" s="12">
        <v>2025</v>
      </c>
      <c r="F33" s="122"/>
      <c r="G33" s="122"/>
      <c r="H33" s="122"/>
      <c r="I33" s="122"/>
      <c r="J33" s="122">
        <v>1.0884651910292935E-2</v>
      </c>
      <c r="K33" s="122">
        <v>5.1612903225806452E-2</v>
      </c>
      <c r="L33" s="122">
        <f>IFERROR(VLOOKUP($B33,'[2]Sensus Kumbang'!$B$4:$AN$32,'[2]Sensus Kumbang'!$AN$1,0),0)</f>
        <v>3.2258064516129031E-2</v>
      </c>
      <c r="M33" s="122"/>
      <c r="N33" s="122"/>
      <c r="O33" s="122"/>
      <c r="P33" s="122"/>
      <c r="Q33" s="122"/>
      <c r="R33" s="122"/>
    </row>
    <row r="34" spans="1:18" x14ac:dyDescent="0.2">
      <c r="A34" s="12">
        <v>1</v>
      </c>
      <c r="B34" s="12" t="s">
        <v>52</v>
      </c>
      <c r="C34" s="12" t="s">
        <v>26</v>
      </c>
      <c r="D34" s="12">
        <v>29.15</v>
      </c>
      <c r="E34" s="12">
        <v>2025</v>
      </c>
      <c r="F34" s="122"/>
      <c r="G34" s="122"/>
      <c r="H34" s="122"/>
      <c r="I34" s="122"/>
      <c r="J34" s="122">
        <v>5.7126155808268672E-4</v>
      </c>
      <c r="K34" s="122">
        <v>1.5463917525773196E-2</v>
      </c>
      <c r="L34" s="122">
        <f>IFERROR(VLOOKUP($B34,'[2]Sensus Kumbang'!$B$4:$AN$32,'[2]Sensus Kumbang'!$AN$1,0),0)</f>
        <v>1.2886597938144329E-2</v>
      </c>
      <c r="M34" s="122"/>
      <c r="N34" s="122"/>
      <c r="O34" s="122"/>
      <c r="P34" s="122"/>
      <c r="Q34" s="122"/>
      <c r="R34" s="122"/>
    </row>
    <row r="35" spans="1:18" x14ac:dyDescent="0.2">
      <c r="A35" s="12">
        <v>1</v>
      </c>
      <c r="B35" s="12" t="s">
        <v>53</v>
      </c>
      <c r="C35" s="12" t="s">
        <v>26</v>
      </c>
      <c r="D35" s="12">
        <v>23.47</v>
      </c>
      <c r="E35" s="12">
        <v>2025</v>
      </c>
      <c r="F35" s="122"/>
      <c r="G35" s="122"/>
      <c r="H35" s="122"/>
      <c r="I35" s="122"/>
      <c r="J35" s="122">
        <v>1.0252305080822499E-2</v>
      </c>
      <c r="K35" s="122">
        <v>4.0372670807453416E-2</v>
      </c>
      <c r="L35" s="122">
        <f>IFERROR(VLOOKUP($B35,'[2]Sensus Kumbang'!$B$4:$AN$32,'[2]Sensus Kumbang'!$AN$1,0),0)</f>
        <v>1.5527950310559006E-2</v>
      </c>
      <c r="M35" s="122"/>
      <c r="N35" s="122"/>
      <c r="O35" s="122"/>
      <c r="P35" s="122"/>
      <c r="Q35" s="122"/>
      <c r="R35" s="122"/>
    </row>
    <row r="36" spans="1:18" x14ac:dyDescent="0.2">
      <c r="A36" s="12">
        <v>1</v>
      </c>
      <c r="B36" s="12" t="s">
        <v>54</v>
      </c>
      <c r="C36" s="12" t="s">
        <v>26</v>
      </c>
      <c r="D36" s="12">
        <v>25.26</v>
      </c>
      <c r="E36" s="12">
        <v>2025</v>
      </c>
      <c r="F36" s="122"/>
      <c r="G36" s="122"/>
      <c r="H36" s="122"/>
      <c r="I36" s="122"/>
      <c r="J36" s="122">
        <v>8.024863723002585E-3</v>
      </c>
      <c r="K36" s="122">
        <v>3.215434083601286E-2</v>
      </c>
      <c r="L36" s="122">
        <f>IFERROR(VLOOKUP($B36,'[2]Sensus Kumbang'!$B$4:$AN$32,'[2]Sensus Kumbang'!$AN$1,0),0)</f>
        <v>1.9292604501607719E-2</v>
      </c>
      <c r="M36" s="122"/>
      <c r="N36" s="122"/>
      <c r="O36" s="122"/>
      <c r="P36" s="122"/>
      <c r="Q36" s="122"/>
      <c r="R36" s="122"/>
    </row>
    <row r="37" spans="1:18" x14ac:dyDescent="0.2">
      <c r="A37" s="12">
        <v>1</v>
      </c>
      <c r="B37" s="12" t="s">
        <v>55</v>
      </c>
      <c r="C37" s="12" t="s">
        <v>26</v>
      </c>
      <c r="D37" s="12">
        <v>21.6</v>
      </c>
      <c r="E37" s="12">
        <v>2025</v>
      </c>
      <c r="F37" s="122"/>
      <c r="G37" s="122"/>
      <c r="H37" s="122"/>
      <c r="I37" s="122"/>
      <c r="J37" s="122">
        <v>1.4383260912352951E-3</v>
      </c>
      <c r="K37" s="122">
        <v>3.4883720930232558E-2</v>
      </c>
      <c r="L37" s="122">
        <f>IFERROR(VLOOKUP($B37,'[2]Sensus Kumbang'!$B$4:$AN$32,'[2]Sensus Kumbang'!$AN$1,0),0)</f>
        <v>1.5503875968992248E-2</v>
      </c>
      <c r="M37" s="122"/>
      <c r="N37" s="122"/>
      <c r="O37" s="122"/>
      <c r="P37" s="122"/>
      <c r="Q37" s="122"/>
      <c r="R37" s="122"/>
    </row>
    <row r="38" spans="1:18" x14ac:dyDescent="0.2">
      <c r="A38" s="12">
        <v>1</v>
      </c>
      <c r="B38" s="12" t="s">
        <v>56</v>
      </c>
      <c r="C38" s="12" t="s">
        <v>26</v>
      </c>
      <c r="D38" s="12">
        <v>8.25</v>
      </c>
      <c r="E38" s="12">
        <v>2025</v>
      </c>
      <c r="F38" s="122"/>
      <c r="G38" s="122"/>
      <c r="H38" s="122"/>
      <c r="I38" s="122"/>
      <c r="J38" s="122">
        <v>2.488888888888889E-3</v>
      </c>
      <c r="K38" s="122">
        <v>5.8252427184466021E-2</v>
      </c>
      <c r="L38" s="122">
        <f>IFERROR(VLOOKUP($B38,'[2]Sensus Kumbang'!$B$4:$AN$32,'[2]Sensus Kumbang'!$AN$1,0),0)</f>
        <v>3.8834951456310676E-2</v>
      </c>
      <c r="M38" s="122"/>
      <c r="N38" s="122"/>
      <c r="O38" s="122"/>
      <c r="P38" s="122"/>
      <c r="Q38" s="122"/>
      <c r="R38" s="122"/>
    </row>
    <row r="39" spans="1:18" x14ac:dyDescent="0.2">
      <c r="A39" s="12">
        <v>1</v>
      </c>
      <c r="B39" s="12" t="s">
        <v>57</v>
      </c>
      <c r="C39" s="12" t="s">
        <v>26</v>
      </c>
      <c r="D39" s="12">
        <v>30.37</v>
      </c>
      <c r="E39" s="12">
        <v>2025</v>
      </c>
      <c r="F39" s="122"/>
      <c r="G39" s="122"/>
      <c r="H39" s="122"/>
      <c r="I39" s="122"/>
      <c r="J39" s="122">
        <v>2.6970015524815337E-2</v>
      </c>
      <c r="K39" s="122">
        <v>2.1220159151193633E-2</v>
      </c>
      <c r="L39" s="122">
        <f>IFERROR(VLOOKUP($B39,'[2]Sensus Kumbang'!$B$4:$AN$32,'[2]Sensus Kumbang'!$AN$1,0),0)</f>
        <v>1.3262599469496022E-2</v>
      </c>
      <c r="M39" s="122"/>
      <c r="N39" s="122"/>
      <c r="O39" s="122"/>
      <c r="P39" s="122"/>
      <c r="Q39" s="122"/>
      <c r="R39" s="122"/>
    </row>
    <row r="40" spans="1:18" x14ac:dyDescent="0.2">
      <c r="A40" s="12">
        <v>1</v>
      </c>
      <c r="B40" s="12" t="s">
        <v>58</v>
      </c>
      <c r="C40" s="12" t="s">
        <v>26</v>
      </c>
      <c r="D40" s="12">
        <v>25.02</v>
      </c>
      <c r="E40" s="12">
        <v>2025</v>
      </c>
      <c r="F40" s="122"/>
      <c r="G40" s="122"/>
      <c r="H40" s="122"/>
      <c r="I40" s="122"/>
      <c r="J40" s="122">
        <v>9.5621301775147924E-4</v>
      </c>
      <c r="K40" s="122">
        <v>1.2738853503184714E-2</v>
      </c>
      <c r="L40" s="122">
        <f>IFERROR(VLOOKUP($B40,'[2]Sensus Kumbang'!$B$4:$AN$32,'[2]Sensus Kumbang'!$AN$1,0),0)</f>
        <v>1.5822784810126583E-2</v>
      </c>
      <c r="M40" s="122"/>
      <c r="N40" s="122"/>
      <c r="O40" s="122"/>
      <c r="P40" s="122"/>
      <c r="Q40" s="122"/>
      <c r="R40" s="122"/>
    </row>
    <row r="41" spans="1:18" x14ac:dyDescent="0.2">
      <c r="A41" s="12">
        <v>1</v>
      </c>
      <c r="B41" s="12" t="s">
        <v>59</v>
      </c>
      <c r="C41" s="12" t="s">
        <v>26</v>
      </c>
      <c r="D41" s="12">
        <v>21.24</v>
      </c>
      <c r="E41" s="12">
        <v>2025</v>
      </c>
      <c r="F41" s="122"/>
      <c r="G41" s="122"/>
      <c r="H41" s="122"/>
      <c r="I41" s="122"/>
      <c r="J41" s="122">
        <v>7.7601410934744267E-4</v>
      </c>
      <c r="K41" s="122">
        <v>1.5527950310559006E-2</v>
      </c>
      <c r="L41" s="122">
        <f>IFERROR(VLOOKUP($B41,'[2]Sensus Kumbang'!$B$4:$AN$32,'[2]Sensus Kumbang'!$AN$1,0),0)</f>
        <v>1.2422360248447204E-2</v>
      </c>
      <c r="M41" s="122"/>
      <c r="N41" s="122"/>
      <c r="O41" s="122"/>
      <c r="P41" s="122"/>
      <c r="Q41" s="122"/>
      <c r="R41" s="122"/>
    </row>
    <row r="42" spans="1:18" x14ac:dyDescent="0.2">
      <c r="A42" s="12">
        <v>1</v>
      </c>
      <c r="B42" s="12" t="s">
        <v>60</v>
      </c>
      <c r="C42" s="12" t="s">
        <v>26</v>
      </c>
      <c r="D42" s="12">
        <v>22.69</v>
      </c>
      <c r="E42" s="12">
        <v>2025</v>
      </c>
      <c r="F42" s="122"/>
      <c r="G42" s="122"/>
      <c r="H42" s="122"/>
      <c r="I42" s="122"/>
      <c r="J42" s="122">
        <v>9.9580712788259959E-3</v>
      </c>
      <c r="K42" s="122">
        <v>1.2422360248447204E-2</v>
      </c>
      <c r="L42" s="122">
        <f>IFERROR(VLOOKUP($B42,'[2]Sensus Kumbang'!$B$4:$AN$32,'[2]Sensus Kumbang'!$AN$1,0),0)</f>
        <v>1.2578616352201259E-2</v>
      </c>
      <c r="M42" s="122"/>
      <c r="N42" s="122"/>
      <c r="O42" s="122"/>
      <c r="P42" s="122"/>
      <c r="Q42" s="122"/>
      <c r="R42" s="122"/>
    </row>
    <row r="43" spans="1:18" x14ac:dyDescent="0.2">
      <c r="A43" s="12">
        <v>1</v>
      </c>
      <c r="B43" s="12" t="s">
        <v>61</v>
      </c>
      <c r="C43" s="12" t="s">
        <v>26</v>
      </c>
      <c r="D43" s="12">
        <v>24.24</v>
      </c>
      <c r="E43" s="12">
        <v>2025</v>
      </c>
      <c r="F43" s="122"/>
      <c r="G43" s="122"/>
      <c r="H43" s="122"/>
      <c r="I43" s="122"/>
      <c r="J43" s="122">
        <v>4.4064182114823811E-2</v>
      </c>
      <c r="K43" s="122">
        <v>1.4336917562724014E-2</v>
      </c>
      <c r="L43" s="122">
        <f>IFERROR(VLOOKUP($B43,'[2]Sensus Kumbang'!$B$4:$AN$32,'[2]Sensus Kumbang'!$AN$1,0),0)</f>
        <v>2.1505376344086023E-2</v>
      </c>
      <c r="M43" s="122"/>
      <c r="N43" s="122"/>
      <c r="O43" s="122"/>
      <c r="P43" s="122"/>
      <c r="Q43" s="122"/>
      <c r="R43" s="122"/>
    </row>
    <row r="44" spans="1:18" x14ac:dyDescent="0.2">
      <c r="A44" s="12">
        <v>1</v>
      </c>
      <c r="B44" s="12" t="s">
        <v>62</v>
      </c>
      <c r="C44" s="12" t="s">
        <v>26</v>
      </c>
      <c r="D44" s="12">
        <v>17.47</v>
      </c>
      <c r="E44" s="12">
        <v>2026</v>
      </c>
      <c r="F44" s="122"/>
      <c r="G44" s="122"/>
      <c r="H44" s="122"/>
      <c r="I44" s="122"/>
      <c r="J44" s="122">
        <v>0</v>
      </c>
      <c r="K44" s="122">
        <v>0</v>
      </c>
      <c r="L44" s="122">
        <f>IFERROR(VLOOKUP($B44,'[2]Sensus Kumbang'!$B$4:$AN$32,'[2]Sensus Kumbang'!$AN$1,0),0)</f>
        <v>0</v>
      </c>
      <c r="M44" s="122"/>
      <c r="N44" s="122"/>
      <c r="O44" s="122"/>
      <c r="P44" s="122"/>
      <c r="Q44" s="122"/>
      <c r="R44" s="122"/>
    </row>
    <row r="45" spans="1:18" x14ac:dyDescent="0.2">
      <c r="A45" s="12">
        <v>1</v>
      </c>
      <c r="B45" s="12" t="s">
        <v>63</v>
      </c>
      <c r="C45" s="12" t="s">
        <v>26</v>
      </c>
      <c r="D45" s="12">
        <v>48.83</v>
      </c>
      <c r="E45" s="12">
        <v>2026</v>
      </c>
      <c r="F45" s="122"/>
      <c r="G45" s="122"/>
      <c r="H45" s="122"/>
      <c r="I45" s="122"/>
      <c r="J45" s="122">
        <v>0</v>
      </c>
      <c r="K45" s="122">
        <v>0</v>
      </c>
      <c r="L45" s="122">
        <f>IFERROR(VLOOKUP($B45,'[2]Sensus Kumbang'!$B$4:$AN$32,'[2]Sensus Kumbang'!$AN$1,0),0)</f>
        <v>0</v>
      </c>
      <c r="M45" s="122"/>
      <c r="N45" s="122"/>
      <c r="O45" s="122"/>
      <c r="P45" s="122"/>
      <c r="Q45" s="122"/>
      <c r="R45" s="122"/>
    </row>
    <row r="46" spans="1:18" x14ac:dyDescent="0.2">
      <c r="A46" s="12">
        <v>1</v>
      </c>
      <c r="B46" s="12" t="s">
        <v>64</v>
      </c>
      <c r="C46" s="12" t="s">
        <v>26</v>
      </c>
      <c r="D46" s="12">
        <v>28.89</v>
      </c>
      <c r="E46" s="12">
        <v>2026</v>
      </c>
      <c r="F46" s="122"/>
      <c r="G46" s="122"/>
      <c r="H46" s="122"/>
      <c r="I46" s="122"/>
      <c r="J46" s="122">
        <v>0</v>
      </c>
      <c r="K46" s="122">
        <v>0</v>
      </c>
      <c r="L46" s="122">
        <f>IFERROR(VLOOKUP($B46,'[2]Sensus Kumbang'!$B$4:$AN$32,'[2]Sensus Kumbang'!$AN$1,0),0)</f>
        <v>0</v>
      </c>
      <c r="M46" s="122"/>
      <c r="N46" s="122"/>
      <c r="O46" s="122"/>
      <c r="P46" s="122"/>
      <c r="Q46" s="122"/>
      <c r="R46" s="122"/>
    </row>
    <row r="47" spans="1:18" x14ac:dyDescent="0.2">
      <c r="A47" s="12">
        <v>1</v>
      </c>
      <c r="B47" s="12" t="s">
        <v>65</v>
      </c>
      <c r="C47" s="12" t="s">
        <v>26</v>
      </c>
      <c r="D47" s="12">
        <v>28.34</v>
      </c>
      <c r="E47" s="12">
        <v>2026</v>
      </c>
      <c r="F47" s="122"/>
      <c r="G47" s="122"/>
      <c r="H47" s="122"/>
      <c r="I47" s="122"/>
      <c r="J47" s="122">
        <v>0</v>
      </c>
      <c r="K47" s="122">
        <v>0</v>
      </c>
      <c r="L47" s="122">
        <f>IFERROR(VLOOKUP($B47,'[2]Sensus Kumbang'!$B$4:$AN$32,'[2]Sensus Kumbang'!$AN$1,0),0)</f>
        <v>0</v>
      </c>
      <c r="M47" s="122"/>
      <c r="N47" s="122"/>
      <c r="O47" s="122"/>
      <c r="P47" s="122"/>
      <c r="Q47" s="122"/>
      <c r="R47" s="122"/>
    </row>
    <row r="48" spans="1:18" x14ac:dyDescent="0.2">
      <c r="A48" s="12">
        <v>1</v>
      </c>
      <c r="B48" s="12" t="s">
        <v>66</v>
      </c>
      <c r="C48" s="12" t="s">
        <v>26</v>
      </c>
      <c r="D48" s="12">
        <v>24.73</v>
      </c>
      <c r="E48" s="12">
        <v>2026</v>
      </c>
      <c r="F48" s="122"/>
      <c r="G48" s="122"/>
      <c r="H48" s="122"/>
      <c r="I48" s="122"/>
      <c r="J48" s="122">
        <v>0</v>
      </c>
      <c r="K48" s="122">
        <v>0</v>
      </c>
      <c r="L48" s="122">
        <f>IFERROR(VLOOKUP($B48,'[2]Sensus Kumbang'!$B$4:$AN$32,'[2]Sensus Kumbang'!$AN$1,0),0)</f>
        <v>0</v>
      </c>
      <c r="M48" s="122"/>
      <c r="N48" s="122"/>
      <c r="O48" s="122"/>
      <c r="P48" s="122"/>
      <c r="Q48" s="122"/>
      <c r="R48" s="122"/>
    </row>
    <row r="49" spans="1:18" x14ac:dyDescent="0.2">
      <c r="A49" s="12">
        <v>1</v>
      </c>
      <c r="B49" s="12" t="s">
        <v>67</v>
      </c>
      <c r="C49" s="12" t="s">
        <v>26</v>
      </c>
      <c r="D49" s="12">
        <v>14.35</v>
      </c>
      <c r="E49" s="12">
        <v>2026</v>
      </c>
      <c r="F49" s="122"/>
      <c r="G49" s="122"/>
      <c r="H49" s="122"/>
      <c r="I49" s="122"/>
      <c r="J49" s="122">
        <v>0</v>
      </c>
      <c r="K49" s="122">
        <v>0</v>
      </c>
      <c r="L49" s="122">
        <f>IFERROR(VLOOKUP($B49,'[2]Sensus Kumbang'!$B$4:$AN$32,'[2]Sensus Kumbang'!$AN$1,0),0)</f>
        <v>0</v>
      </c>
      <c r="M49" s="122"/>
      <c r="N49" s="122"/>
      <c r="O49" s="122"/>
      <c r="P49" s="122"/>
      <c r="Q49" s="122"/>
      <c r="R49" s="122"/>
    </row>
    <row r="50" spans="1:18" x14ac:dyDescent="0.2">
      <c r="A50" s="12">
        <v>1</v>
      </c>
      <c r="B50" s="12" t="s">
        <v>68</v>
      </c>
      <c r="C50" s="12" t="s">
        <v>26</v>
      </c>
      <c r="D50" s="12">
        <v>38.29</v>
      </c>
      <c r="E50" s="12">
        <v>2026</v>
      </c>
      <c r="F50" s="122"/>
      <c r="G50" s="122"/>
      <c r="H50" s="122"/>
      <c r="I50" s="122"/>
      <c r="J50" s="122">
        <v>0</v>
      </c>
      <c r="K50" s="122">
        <v>9.5419847328244278E-3</v>
      </c>
      <c r="L50" s="122">
        <f>IFERROR(VLOOKUP($B50,'[2]Sensus Kumbang'!$B$4:$AN$32,'[2]Sensus Kumbang'!$AN$1,0),0)</f>
        <v>7.6335877862595417E-3</v>
      </c>
      <c r="M50" s="122"/>
      <c r="N50" s="122"/>
      <c r="O50" s="122"/>
      <c r="P50" s="122"/>
      <c r="Q50" s="122"/>
      <c r="R50" s="122"/>
    </row>
    <row r="51" spans="1:18" x14ac:dyDescent="0.2">
      <c r="A51" s="12">
        <v>1</v>
      </c>
      <c r="B51" s="12" t="s">
        <v>69</v>
      </c>
      <c r="C51" s="12" t="s">
        <v>26</v>
      </c>
      <c r="D51" s="12">
        <v>22.95</v>
      </c>
      <c r="E51" s="12">
        <v>2026</v>
      </c>
      <c r="F51" s="122"/>
      <c r="G51" s="122"/>
      <c r="H51" s="122"/>
      <c r="I51" s="122"/>
      <c r="J51" s="122">
        <v>3.5369774919614148E-2</v>
      </c>
      <c r="K51" s="122">
        <v>3.2154340836012861E-3</v>
      </c>
      <c r="L51" s="122">
        <f>IFERROR(VLOOKUP($B51,'[2]Sensus Kumbang'!$B$4:$AN$32,'[2]Sensus Kumbang'!$AN$1,0),0)</f>
        <v>3.2154340836012861E-3</v>
      </c>
      <c r="M51" s="122"/>
      <c r="N51" s="122"/>
      <c r="O51" s="122"/>
      <c r="P51" s="122"/>
      <c r="Q51" s="122"/>
      <c r="R51" s="122"/>
    </row>
    <row r="52" spans="1:18" x14ac:dyDescent="0.2">
      <c r="A52" s="12">
        <v>1</v>
      </c>
      <c r="B52" s="12" t="s">
        <v>70</v>
      </c>
      <c r="C52" s="12" t="s">
        <v>26</v>
      </c>
      <c r="D52" s="12">
        <v>10.119999999999999</v>
      </c>
      <c r="E52" s="12">
        <v>2026</v>
      </c>
      <c r="F52" s="122"/>
      <c r="G52" s="122"/>
      <c r="H52" s="122"/>
      <c r="I52" s="122"/>
      <c r="J52" s="122">
        <v>2.0689655172413793E-2</v>
      </c>
      <c r="K52" s="122">
        <v>1.3793103448275862E-2</v>
      </c>
      <c r="L52" s="122">
        <f>IFERROR(VLOOKUP($B52,'[2]Sensus Kumbang'!$B$4:$AN$32,'[2]Sensus Kumbang'!$AN$1,0),0)</f>
        <v>6.8965517241379309E-3</v>
      </c>
      <c r="M52" s="122"/>
      <c r="N52" s="122"/>
      <c r="O52" s="122"/>
      <c r="P52" s="122"/>
      <c r="Q52" s="122"/>
      <c r="R52" s="122"/>
    </row>
    <row r="53" spans="1:18" x14ac:dyDescent="0.2">
      <c r="A53" s="313" t="s">
        <v>71</v>
      </c>
      <c r="B53" s="314"/>
      <c r="C53" s="315"/>
      <c r="D53" s="125">
        <f>SUM(D8:D52)</f>
        <v>1047.0800000000002</v>
      </c>
      <c r="E53" s="125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</row>
  </sheetData>
  <autoFilter ref="A7:S53" xr:uid="{00000000-0009-0000-0000-000005000000}"/>
  <mergeCells count="9">
    <mergeCell ref="A53:C53"/>
    <mergeCell ref="A1:R2"/>
    <mergeCell ref="A5:A7"/>
    <mergeCell ref="B5:B7"/>
    <mergeCell ref="C5:C7"/>
    <mergeCell ref="D5:D7"/>
    <mergeCell ref="E5:E7"/>
    <mergeCell ref="F5:R5"/>
    <mergeCell ref="G6:R6"/>
  </mergeCells>
  <conditionalFormatting sqref="F8:R53">
    <cfRule type="containsBlanks" priority="1" stopIfTrue="1">
      <formula>LEN(TRIM(F8))=0</formula>
    </cfRule>
    <cfRule type="cellIs" dxfId="8" priority="2" stopIfTrue="1" operator="greaterThan">
      <formula>1%</formula>
    </cfRule>
    <cfRule type="cellIs" dxfId="7" priority="3" stopIfTrue="1" operator="between">
      <formula>0%</formula>
      <formula>1%</formula>
    </cfRule>
  </conditionalFormatting>
  <conditionalFormatting sqref="J8:R53">
    <cfRule type="cellIs" dxfId="6" priority="4" operator="greaterThan">
      <formula>0.01</formula>
    </cfRule>
    <cfRule type="cellIs" dxfId="5" priority="5" operator="lessThan">
      <formula>0.01</formula>
    </cfRule>
    <cfRule type="cellIs" dxfId="4" priority="6" operator="lessThan">
      <formula>0.01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D39"/>
  <sheetViews>
    <sheetView topLeftCell="E7" workbookViewId="0">
      <selection activeCell="G14" sqref="G14"/>
    </sheetView>
  </sheetViews>
  <sheetFormatPr baseColWidth="10" defaultColWidth="8.83203125" defaultRowHeight="15" x14ac:dyDescent="0.2"/>
  <cols>
    <col min="1" max="1" width="8.33203125" style="262" customWidth="1"/>
    <col min="2" max="3" width="8.83203125" style="262"/>
    <col min="4" max="4" width="10.33203125" style="262" bestFit="1" customWidth="1"/>
    <col min="5" max="5" width="9.83203125" style="262" customWidth="1"/>
    <col min="6" max="6" width="15.1640625" style="262" customWidth="1"/>
    <col min="7" max="7" width="10.6640625" style="262" customWidth="1"/>
    <col min="8" max="8" width="9.5" style="262" customWidth="1"/>
    <col min="9" max="9" width="13.83203125" style="262" customWidth="1"/>
    <col min="10" max="11" width="8.83203125" style="262"/>
    <col min="12" max="12" width="12.1640625" style="262" customWidth="1"/>
    <col min="13" max="14" width="8.83203125" style="262"/>
    <col min="15" max="15" width="13" style="262" hidden="1" customWidth="1"/>
    <col min="16" max="18" width="0" style="262" hidden="1" customWidth="1"/>
    <col min="19" max="19" width="13.6640625" style="262" hidden="1" customWidth="1"/>
    <col min="20" max="22" width="0" style="262" hidden="1" customWidth="1"/>
    <col min="23" max="23" width="11.5" style="262" customWidth="1"/>
    <col min="24" max="24" width="10.83203125" style="262" customWidth="1"/>
    <col min="25" max="26" width="8.83203125" style="262"/>
    <col min="27" max="27" width="10.33203125" style="262" customWidth="1"/>
    <col min="28" max="28" width="8.83203125" style="262"/>
    <col min="29" max="29" width="11.33203125" style="262" customWidth="1"/>
    <col min="30" max="30" width="1.83203125" style="255" customWidth="1"/>
    <col min="31" max="16384" width="8.83203125" style="262"/>
  </cols>
  <sheetData>
    <row r="1" spans="1:29" ht="14.5" customHeight="1" x14ac:dyDescent="0.2">
      <c r="A1" s="360"/>
      <c r="B1" s="361" t="s">
        <v>722</v>
      </c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3"/>
      <c r="Z1" s="370" t="s">
        <v>667</v>
      </c>
      <c r="AA1" s="370"/>
      <c r="AB1" s="370" t="s">
        <v>668</v>
      </c>
      <c r="AC1" s="370"/>
    </row>
    <row r="2" spans="1:29" ht="14.5" customHeight="1" x14ac:dyDescent="0.2">
      <c r="A2" s="360"/>
      <c r="B2" s="364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  <c r="R2" s="365"/>
      <c r="S2" s="365"/>
      <c r="T2" s="365"/>
      <c r="U2" s="365"/>
      <c r="V2" s="365"/>
      <c r="W2" s="365"/>
      <c r="X2" s="365"/>
      <c r="Y2" s="366"/>
      <c r="Z2" s="370" t="s">
        <v>669</v>
      </c>
      <c r="AA2" s="370"/>
      <c r="AB2" s="371" t="s">
        <v>670</v>
      </c>
      <c r="AC2" s="371"/>
    </row>
    <row r="3" spans="1:29" ht="14.5" customHeight="1" x14ac:dyDescent="0.2">
      <c r="A3" s="360"/>
      <c r="B3" s="364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6"/>
      <c r="Z3" s="370" t="s">
        <v>671</v>
      </c>
      <c r="AA3" s="370"/>
      <c r="AB3" s="372" t="s">
        <v>672</v>
      </c>
      <c r="AC3" s="372"/>
    </row>
    <row r="4" spans="1:29" ht="14.5" customHeight="1" x14ac:dyDescent="0.2">
      <c r="A4" s="360"/>
      <c r="B4" s="367"/>
      <c r="C4" s="368"/>
      <c r="D4" s="368"/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8"/>
      <c r="P4" s="368"/>
      <c r="Q4" s="368"/>
      <c r="R4" s="368"/>
      <c r="S4" s="368"/>
      <c r="T4" s="368"/>
      <c r="U4" s="368"/>
      <c r="V4" s="368"/>
      <c r="W4" s="368"/>
      <c r="X4" s="368"/>
      <c r="Y4" s="369"/>
      <c r="Z4" s="370" t="s">
        <v>673</v>
      </c>
      <c r="AA4" s="370"/>
      <c r="AB4" s="370" t="s">
        <v>674</v>
      </c>
      <c r="AC4" s="370"/>
    </row>
    <row r="5" spans="1:29" ht="10.5" customHeight="1" x14ac:dyDescent="0.2">
      <c r="A5" s="255"/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</row>
    <row r="6" spans="1:29" ht="14.5" customHeight="1" x14ac:dyDescent="0.2">
      <c r="A6" s="255" t="s">
        <v>723</v>
      </c>
      <c r="B6" s="255" t="s">
        <v>724</v>
      </c>
      <c r="C6" s="255"/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5"/>
      <c r="AC6" s="255"/>
    </row>
    <row r="7" spans="1:29" ht="30" customHeight="1" x14ac:dyDescent="0.2">
      <c r="A7" s="357" t="s">
        <v>679</v>
      </c>
      <c r="B7" s="357" t="s">
        <v>616</v>
      </c>
      <c r="C7" s="358" t="s">
        <v>617</v>
      </c>
      <c r="D7" s="355" t="s">
        <v>695</v>
      </c>
      <c r="E7" s="356"/>
      <c r="F7" s="354" t="s">
        <v>618</v>
      </c>
      <c r="G7" s="354"/>
      <c r="H7" s="354"/>
      <c r="I7" s="354" t="s">
        <v>619</v>
      </c>
      <c r="J7" s="354"/>
      <c r="K7" s="354"/>
      <c r="L7" s="354" t="s">
        <v>620</v>
      </c>
      <c r="M7" s="354"/>
      <c r="N7" s="354"/>
      <c r="O7" s="354" t="s">
        <v>725</v>
      </c>
      <c r="P7" s="354"/>
      <c r="Q7" s="354"/>
      <c r="R7" s="354"/>
      <c r="S7" s="354" t="s">
        <v>726</v>
      </c>
      <c r="T7" s="354"/>
      <c r="U7" s="354"/>
      <c r="V7" s="354"/>
      <c r="W7" s="355" t="s">
        <v>727</v>
      </c>
      <c r="X7" s="356"/>
      <c r="Y7" s="354" t="s">
        <v>725</v>
      </c>
      <c r="Z7" s="354"/>
      <c r="AA7" s="354"/>
      <c r="AB7" s="355" t="s">
        <v>727</v>
      </c>
      <c r="AC7" s="356"/>
    </row>
    <row r="8" spans="1:29" ht="33" customHeight="1" x14ac:dyDescent="0.2">
      <c r="A8" s="357"/>
      <c r="B8" s="357"/>
      <c r="C8" s="359"/>
      <c r="D8" s="257" t="s">
        <v>613</v>
      </c>
      <c r="E8" s="257" t="s">
        <v>728</v>
      </c>
      <c r="F8" s="256" t="s">
        <v>613</v>
      </c>
      <c r="G8" s="257" t="s">
        <v>729</v>
      </c>
      <c r="H8" s="256" t="s">
        <v>730</v>
      </c>
      <c r="I8" s="256" t="s">
        <v>613</v>
      </c>
      <c r="J8" s="257" t="s">
        <v>729</v>
      </c>
      <c r="K8" s="256" t="s">
        <v>730</v>
      </c>
      <c r="L8" s="256" t="s">
        <v>613</v>
      </c>
      <c r="M8" s="257" t="s">
        <v>729</v>
      </c>
      <c r="N8" s="256" t="s">
        <v>730</v>
      </c>
      <c r="O8" s="256" t="s">
        <v>613</v>
      </c>
      <c r="P8" s="256" t="s">
        <v>731</v>
      </c>
      <c r="Q8" s="256" t="s">
        <v>621</v>
      </c>
      <c r="R8" s="257" t="s">
        <v>729</v>
      </c>
      <c r="S8" s="256" t="s">
        <v>613</v>
      </c>
      <c r="T8" s="256" t="s">
        <v>731</v>
      </c>
      <c r="U8" s="256" t="s">
        <v>621</v>
      </c>
      <c r="V8" s="257" t="s">
        <v>729</v>
      </c>
      <c r="W8" s="257" t="s">
        <v>613</v>
      </c>
      <c r="X8" s="257" t="s">
        <v>728</v>
      </c>
      <c r="Y8" s="256" t="s">
        <v>613</v>
      </c>
      <c r="Z8" s="257" t="s">
        <v>729</v>
      </c>
      <c r="AA8" s="256" t="s">
        <v>730</v>
      </c>
      <c r="AB8" s="257" t="s">
        <v>613</v>
      </c>
      <c r="AC8" s="257" t="s">
        <v>728</v>
      </c>
    </row>
    <row r="9" spans="1:29" ht="17.25" customHeight="1" x14ac:dyDescent="0.2">
      <c r="A9" s="258"/>
      <c r="B9" s="258"/>
      <c r="C9" s="258"/>
      <c r="D9" s="259"/>
      <c r="E9" s="258"/>
      <c r="F9" s="258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  <c r="U9" s="258"/>
      <c r="V9" s="258"/>
      <c r="W9" s="258"/>
      <c r="X9" s="258"/>
      <c r="Y9" s="258"/>
      <c r="Z9" s="258"/>
      <c r="AA9" s="258"/>
      <c r="AB9" s="258"/>
      <c r="AC9" s="258"/>
    </row>
    <row r="10" spans="1:29" ht="17.25" customHeight="1" x14ac:dyDescent="0.2">
      <c r="A10" s="258"/>
      <c r="B10" s="258"/>
      <c r="C10" s="258"/>
      <c r="D10" s="258"/>
      <c r="E10" s="258"/>
      <c r="F10" s="258"/>
      <c r="G10" s="258"/>
      <c r="H10" s="258"/>
      <c r="I10" s="258"/>
      <c r="J10" s="258"/>
      <c r="K10" s="258"/>
      <c r="L10" s="258"/>
      <c r="M10" s="258"/>
      <c r="N10" s="258"/>
      <c r="O10" s="258"/>
      <c r="P10" s="258"/>
      <c r="Q10" s="258"/>
      <c r="R10" s="258"/>
      <c r="S10" s="258"/>
      <c r="T10" s="258"/>
      <c r="U10" s="258"/>
      <c r="V10" s="258"/>
      <c r="W10" s="258"/>
      <c r="X10" s="258"/>
      <c r="Y10" s="258"/>
      <c r="Z10" s="258"/>
      <c r="AA10" s="258"/>
      <c r="AB10" s="258"/>
      <c r="AC10" s="258"/>
    </row>
    <row r="11" spans="1:29" ht="17.25" customHeight="1" x14ac:dyDescent="0.2">
      <c r="A11" s="258"/>
      <c r="B11" s="258"/>
      <c r="C11" s="258"/>
      <c r="D11" s="258"/>
      <c r="E11" s="258"/>
      <c r="F11" s="258"/>
      <c r="G11" s="258"/>
      <c r="H11" s="258"/>
      <c r="I11" s="258"/>
      <c r="J11" s="258"/>
      <c r="K11" s="258"/>
      <c r="L11" s="258"/>
      <c r="M11" s="258"/>
      <c r="N11" s="258"/>
      <c r="O11" s="258"/>
      <c r="P11" s="258"/>
      <c r="Q11" s="258"/>
      <c r="R11" s="258"/>
      <c r="S11" s="258"/>
      <c r="T11" s="258"/>
      <c r="U11" s="258"/>
      <c r="V11" s="258"/>
      <c r="W11" s="258"/>
      <c r="X11" s="258"/>
      <c r="Y11" s="258"/>
      <c r="Z11" s="258"/>
      <c r="AA11" s="258"/>
      <c r="AB11" s="258"/>
      <c r="AC11" s="258"/>
    </row>
    <row r="12" spans="1:29" ht="17.25" customHeight="1" x14ac:dyDescent="0.2">
      <c r="A12" s="258"/>
      <c r="B12" s="258"/>
      <c r="C12" s="258"/>
      <c r="D12" s="258"/>
      <c r="E12" s="258"/>
      <c r="F12" s="258"/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  <c r="R12" s="258"/>
      <c r="S12" s="258"/>
      <c r="T12" s="258"/>
      <c r="U12" s="258"/>
      <c r="V12" s="258"/>
      <c r="W12" s="258"/>
      <c r="X12" s="258"/>
      <c r="Y12" s="258"/>
      <c r="Z12" s="258"/>
      <c r="AA12" s="258"/>
      <c r="AB12" s="258"/>
      <c r="AC12" s="258"/>
    </row>
    <row r="13" spans="1:29" ht="17.25" customHeight="1" x14ac:dyDescent="0.2">
      <c r="A13" s="258"/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8"/>
      <c r="P13" s="258"/>
      <c r="Q13" s="258"/>
      <c r="R13" s="258"/>
      <c r="S13" s="258"/>
      <c r="T13" s="258"/>
      <c r="U13" s="258"/>
      <c r="V13" s="258"/>
      <c r="W13" s="258"/>
      <c r="X13" s="258"/>
      <c r="Y13" s="258"/>
      <c r="Z13" s="258"/>
      <c r="AA13" s="258"/>
      <c r="AB13" s="258"/>
      <c r="AC13" s="258"/>
    </row>
    <row r="14" spans="1:29" ht="17.25" customHeight="1" x14ac:dyDescent="0.2">
      <c r="A14" s="258"/>
      <c r="B14" s="258"/>
      <c r="C14" s="258"/>
      <c r="D14" s="258"/>
      <c r="E14" s="258"/>
      <c r="F14" s="258"/>
      <c r="G14" s="258"/>
      <c r="H14" s="258"/>
      <c r="I14" s="258"/>
      <c r="J14" s="258"/>
      <c r="K14" s="258"/>
      <c r="L14" s="258"/>
      <c r="M14" s="258"/>
      <c r="N14" s="258"/>
      <c r="O14" s="258"/>
      <c r="P14" s="258"/>
      <c r="Q14" s="258"/>
      <c r="R14" s="258"/>
      <c r="S14" s="258"/>
      <c r="T14" s="258"/>
      <c r="U14" s="258"/>
      <c r="V14" s="258"/>
      <c r="W14" s="258"/>
      <c r="X14" s="258"/>
      <c r="Y14" s="258"/>
      <c r="Z14" s="258"/>
      <c r="AA14" s="258"/>
      <c r="AB14" s="258"/>
      <c r="AC14" s="258"/>
    </row>
    <row r="15" spans="1:29" ht="17.25" customHeight="1" x14ac:dyDescent="0.2">
      <c r="A15" s="258"/>
      <c r="B15" s="258"/>
      <c r="C15" s="258"/>
      <c r="D15" s="258"/>
      <c r="E15" s="258"/>
      <c r="F15" s="258"/>
      <c r="G15" s="258"/>
      <c r="H15" s="258"/>
      <c r="I15" s="258"/>
      <c r="J15" s="258"/>
      <c r="K15" s="258"/>
      <c r="L15" s="258"/>
      <c r="M15" s="258"/>
      <c r="N15" s="258"/>
      <c r="O15" s="258"/>
      <c r="P15" s="258"/>
      <c r="Q15" s="258"/>
      <c r="R15" s="258"/>
      <c r="S15" s="258"/>
      <c r="T15" s="258"/>
      <c r="U15" s="258"/>
      <c r="V15" s="258"/>
      <c r="W15" s="258"/>
      <c r="X15" s="258"/>
      <c r="Y15" s="258"/>
      <c r="Z15" s="258"/>
      <c r="AA15" s="258"/>
      <c r="AB15" s="258"/>
      <c r="AC15" s="258"/>
    </row>
    <row r="16" spans="1:29" ht="17.25" customHeight="1" x14ac:dyDescent="0.2">
      <c r="A16" s="258"/>
      <c r="B16" s="258"/>
      <c r="C16" s="258"/>
      <c r="D16" s="258"/>
      <c r="E16" s="258"/>
      <c r="F16" s="258"/>
      <c r="G16" s="258"/>
      <c r="H16" s="258"/>
      <c r="I16" s="258"/>
      <c r="J16" s="258"/>
      <c r="K16" s="258"/>
      <c r="L16" s="258"/>
      <c r="M16" s="258"/>
      <c r="N16" s="258"/>
      <c r="O16" s="258"/>
      <c r="P16" s="258"/>
      <c r="Q16" s="258"/>
      <c r="R16" s="258"/>
      <c r="S16" s="258"/>
      <c r="T16" s="258"/>
      <c r="U16" s="258"/>
      <c r="V16" s="258"/>
      <c r="W16" s="258"/>
      <c r="X16" s="258"/>
      <c r="Y16" s="258"/>
      <c r="Z16" s="258"/>
      <c r="AA16" s="258"/>
      <c r="AB16" s="258"/>
      <c r="AC16" s="258"/>
    </row>
    <row r="17" spans="1:29" ht="17.25" customHeight="1" x14ac:dyDescent="0.2">
      <c r="A17" s="258"/>
      <c r="B17" s="258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8"/>
      <c r="Q17" s="258"/>
      <c r="R17" s="258"/>
      <c r="S17" s="258"/>
      <c r="T17" s="258"/>
      <c r="U17" s="258"/>
      <c r="V17" s="258"/>
      <c r="W17" s="258"/>
      <c r="X17" s="258"/>
      <c r="Y17" s="258"/>
      <c r="Z17" s="258"/>
      <c r="AA17" s="258"/>
      <c r="AB17" s="258"/>
      <c r="AC17" s="258"/>
    </row>
    <row r="18" spans="1:29" ht="17.25" customHeight="1" x14ac:dyDescent="0.2">
      <c r="A18" s="258"/>
      <c r="B18" s="258"/>
      <c r="C18" s="258"/>
      <c r="D18" s="258"/>
      <c r="E18" s="258"/>
      <c r="F18" s="258"/>
      <c r="G18" s="258"/>
      <c r="H18" s="258"/>
      <c r="I18" s="258"/>
      <c r="J18" s="258"/>
      <c r="K18" s="258"/>
      <c r="L18" s="258"/>
      <c r="M18" s="258"/>
      <c r="N18" s="258"/>
      <c r="O18" s="258"/>
      <c r="P18" s="258"/>
      <c r="Q18" s="258"/>
      <c r="R18" s="258"/>
      <c r="S18" s="258"/>
      <c r="T18" s="258"/>
      <c r="U18" s="258"/>
      <c r="V18" s="258"/>
      <c r="W18" s="258"/>
      <c r="X18" s="258"/>
      <c r="Y18" s="258"/>
      <c r="Z18" s="258"/>
      <c r="AA18" s="258"/>
      <c r="AB18" s="258"/>
      <c r="AC18" s="258"/>
    </row>
    <row r="19" spans="1:29" ht="17.25" customHeight="1" x14ac:dyDescent="0.2">
      <c r="A19" s="258"/>
      <c r="B19" s="258"/>
      <c r="C19" s="258"/>
      <c r="D19" s="258"/>
      <c r="E19" s="258"/>
      <c r="F19" s="258"/>
      <c r="G19" s="258"/>
      <c r="H19" s="258"/>
      <c r="I19" s="258"/>
      <c r="J19" s="258"/>
      <c r="K19" s="258"/>
      <c r="L19" s="258"/>
      <c r="M19" s="258"/>
      <c r="N19" s="258"/>
      <c r="O19" s="258"/>
      <c r="P19" s="258"/>
      <c r="Q19" s="258"/>
      <c r="R19" s="258"/>
      <c r="S19" s="258"/>
      <c r="T19" s="258"/>
      <c r="U19" s="258"/>
      <c r="V19" s="258"/>
      <c r="W19" s="258"/>
      <c r="X19" s="258"/>
      <c r="Y19" s="258"/>
      <c r="Z19" s="258"/>
      <c r="AA19" s="258"/>
      <c r="AB19" s="258"/>
      <c r="AC19" s="258"/>
    </row>
    <row r="20" spans="1:29" ht="17.25" customHeight="1" x14ac:dyDescent="0.2">
      <c r="A20" s="258"/>
      <c r="B20" s="258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8"/>
      <c r="Q20" s="258"/>
      <c r="R20" s="258"/>
      <c r="S20" s="258"/>
      <c r="T20" s="258"/>
      <c r="U20" s="258"/>
      <c r="V20" s="258"/>
      <c r="W20" s="258"/>
      <c r="X20" s="258"/>
      <c r="Y20" s="258"/>
      <c r="Z20" s="258"/>
      <c r="AA20" s="258"/>
      <c r="AB20" s="258"/>
      <c r="AC20" s="258"/>
    </row>
    <row r="21" spans="1:29" ht="17.25" customHeight="1" x14ac:dyDescent="0.2">
      <c r="A21" s="258"/>
      <c r="B21" s="258"/>
      <c r="C21" s="258"/>
      <c r="D21" s="258"/>
      <c r="E21" s="258"/>
      <c r="F21" s="258"/>
      <c r="G21" s="258"/>
      <c r="H21" s="258"/>
      <c r="I21" s="258"/>
      <c r="J21" s="258"/>
      <c r="K21" s="258"/>
      <c r="L21" s="258"/>
      <c r="M21" s="258"/>
      <c r="N21" s="258"/>
      <c r="O21" s="258"/>
      <c r="P21" s="258"/>
      <c r="Q21" s="258"/>
      <c r="R21" s="258"/>
      <c r="S21" s="258"/>
      <c r="T21" s="258"/>
      <c r="U21" s="258"/>
      <c r="V21" s="258"/>
      <c r="W21" s="258"/>
      <c r="X21" s="258"/>
      <c r="Y21" s="258"/>
      <c r="Z21" s="258"/>
      <c r="AA21" s="258"/>
      <c r="AB21" s="258"/>
      <c r="AC21" s="258"/>
    </row>
    <row r="22" spans="1:29" ht="17.25" customHeight="1" x14ac:dyDescent="0.2">
      <c r="A22" s="258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8"/>
      <c r="X22" s="258"/>
      <c r="Y22" s="258"/>
      <c r="Z22" s="258"/>
      <c r="AA22" s="258"/>
      <c r="AB22" s="258"/>
      <c r="AC22" s="258"/>
    </row>
    <row r="23" spans="1:29" ht="17.25" customHeight="1" x14ac:dyDescent="0.2">
      <c r="A23" s="258"/>
      <c r="B23" s="258"/>
      <c r="C23" s="258"/>
      <c r="D23" s="258"/>
      <c r="E23" s="258"/>
      <c r="F23" s="258"/>
      <c r="G23" s="258"/>
      <c r="H23" s="258"/>
      <c r="I23" s="258"/>
      <c r="J23" s="258"/>
      <c r="K23" s="258"/>
      <c r="L23" s="258"/>
      <c r="M23" s="258"/>
      <c r="N23" s="258"/>
      <c r="O23" s="258"/>
      <c r="P23" s="258"/>
      <c r="Q23" s="258"/>
      <c r="R23" s="258"/>
      <c r="S23" s="258"/>
      <c r="T23" s="258"/>
      <c r="U23" s="258"/>
      <c r="V23" s="258"/>
      <c r="W23" s="258"/>
      <c r="X23" s="258"/>
      <c r="Y23" s="258"/>
      <c r="Z23" s="258"/>
      <c r="AA23" s="258"/>
      <c r="AB23" s="258"/>
      <c r="AC23" s="258"/>
    </row>
    <row r="24" spans="1:29" ht="17.25" customHeight="1" x14ac:dyDescent="0.2">
      <c r="A24" s="258"/>
      <c r="B24" s="258"/>
      <c r="C24" s="258"/>
      <c r="D24" s="258"/>
      <c r="E24" s="258"/>
      <c r="F24" s="258"/>
      <c r="G24" s="258"/>
      <c r="H24" s="258"/>
      <c r="I24" s="258"/>
      <c r="J24" s="258"/>
      <c r="K24" s="258"/>
      <c r="L24" s="258"/>
      <c r="M24" s="258"/>
      <c r="N24" s="258"/>
      <c r="O24" s="258"/>
      <c r="P24" s="258"/>
      <c r="Q24" s="258"/>
      <c r="R24" s="258"/>
      <c r="S24" s="258"/>
      <c r="T24" s="258"/>
      <c r="U24" s="258"/>
      <c r="V24" s="258"/>
      <c r="W24" s="258"/>
      <c r="X24" s="258"/>
      <c r="Y24" s="258"/>
      <c r="Z24" s="258"/>
      <c r="AA24" s="258"/>
      <c r="AB24" s="258"/>
      <c r="AC24" s="258"/>
    </row>
    <row r="25" spans="1:29" ht="17.25" customHeight="1" x14ac:dyDescent="0.2">
      <c r="A25" s="258"/>
      <c r="B25" s="258"/>
      <c r="C25" s="258"/>
      <c r="D25" s="258"/>
      <c r="E25" s="258"/>
      <c r="F25" s="258"/>
      <c r="G25" s="258"/>
      <c r="H25" s="258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Y25" s="258"/>
      <c r="Z25" s="258"/>
      <c r="AA25" s="258"/>
      <c r="AB25" s="258"/>
      <c r="AC25" s="258"/>
    </row>
    <row r="26" spans="1:29" ht="17.25" customHeight="1" x14ac:dyDescent="0.2">
      <c r="A26" s="258"/>
      <c r="B26" s="258"/>
      <c r="C26" s="258"/>
      <c r="D26" s="258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258"/>
      <c r="S26" s="258"/>
      <c r="T26" s="258"/>
      <c r="U26" s="258"/>
      <c r="V26" s="258"/>
      <c r="W26" s="258"/>
      <c r="X26" s="258"/>
      <c r="Y26" s="258"/>
      <c r="Z26" s="258"/>
      <c r="AA26" s="258"/>
      <c r="AB26" s="258"/>
      <c r="AC26" s="258"/>
    </row>
    <row r="27" spans="1:29" ht="17.25" customHeight="1" x14ac:dyDescent="0.2">
      <c r="A27" s="258"/>
      <c r="B27" s="258"/>
      <c r="C27" s="258"/>
      <c r="D27" s="258"/>
      <c r="E27" s="258"/>
      <c r="F27" s="258"/>
      <c r="G27" s="258"/>
      <c r="H27" s="258"/>
      <c r="I27" s="258"/>
      <c r="J27" s="258"/>
      <c r="K27" s="258"/>
      <c r="L27" s="258"/>
      <c r="M27" s="258"/>
      <c r="N27" s="258"/>
      <c r="O27" s="258"/>
      <c r="P27" s="258"/>
      <c r="Q27" s="258"/>
      <c r="R27" s="258"/>
      <c r="S27" s="258"/>
      <c r="T27" s="258"/>
      <c r="U27" s="258"/>
      <c r="V27" s="258"/>
      <c r="W27" s="258"/>
      <c r="X27" s="258"/>
      <c r="Y27" s="258"/>
      <c r="Z27" s="258"/>
      <c r="AA27" s="258"/>
      <c r="AB27" s="258"/>
      <c r="AC27" s="258"/>
    </row>
    <row r="28" spans="1:29" ht="17.25" customHeight="1" x14ac:dyDescent="0.2">
      <c r="A28" s="258"/>
      <c r="B28" s="258"/>
      <c r="C28" s="258"/>
      <c r="D28" s="258"/>
      <c r="E28" s="258"/>
      <c r="F28" s="258"/>
      <c r="G28" s="258"/>
      <c r="H28" s="258"/>
      <c r="I28" s="258"/>
      <c r="J28" s="258"/>
      <c r="K28" s="258"/>
      <c r="L28" s="258"/>
      <c r="M28" s="258"/>
      <c r="N28" s="258"/>
      <c r="O28" s="258"/>
      <c r="P28" s="258"/>
      <c r="Q28" s="258"/>
      <c r="R28" s="258"/>
      <c r="S28" s="258"/>
      <c r="T28" s="258"/>
      <c r="U28" s="258"/>
      <c r="V28" s="258"/>
      <c r="W28" s="258"/>
      <c r="X28" s="258"/>
      <c r="Y28" s="258"/>
      <c r="Z28" s="258"/>
      <c r="AA28" s="258"/>
      <c r="AB28" s="258"/>
      <c r="AC28" s="258"/>
    </row>
    <row r="29" spans="1:29" ht="17.25" customHeight="1" x14ac:dyDescent="0.2">
      <c r="A29" s="258"/>
      <c r="B29" s="258"/>
      <c r="C29" s="258"/>
      <c r="D29" s="258"/>
      <c r="E29" s="258"/>
      <c r="F29" s="258"/>
      <c r="G29" s="258"/>
      <c r="H29" s="258"/>
      <c r="I29" s="258"/>
      <c r="J29" s="258"/>
      <c r="K29" s="258"/>
      <c r="L29" s="258"/>
      <c r="M29" s="258"/>
      <c r="N29" s="258"/>
      <c r="O29" s="258"/>
      <c r="P29" s="258"/>
      <c r="Q29" s="258"/>
      <c r="R29" s="258"/>
      <c r="S29" s="258"/>
      <c r="T29" s="258"/>
      <c r="U29" s="258"/>
      <c r="V29" s="258"/>
      <c r="W29" s="258"/>
      <c r="X29" s="258"/>
      <c r="Y29" s="258"/>
      <c r="Z29" s="258"/>
      <c r="AA29" s="258"/>
      <c r="AB29" s="258"/>
      <c r="AC29" s="258"/>
    </row>
    <row r="30" spans="1:29" ht="17.25" customHeight="1" x14ac:dyDescent="0.2">
      <c r="A30" s="258"/>
      <c r="B30" s="258"/>
      <c r="C30" s="258"/>
      <c r="D30" s="258"/>
      <c r="E30" s="258"/>
      <c r="F30" s="258"/>
      <c r="G30" s="258"/>
      <c r="H30" s="258"/>
      <c r="I30" s="258"/>
      <c r="J30" s="258"/>
      <c r="K30" s="258"/>
      <c r="L30" s="258"/>
      <c r="M30" s="258"/>
      <c r="N30" s="258"/>
      <c r="O30" s="258"/>
      <c r="P30" s="258"/>
      <c r="Q30" s="258"/>
      <c r="R30" s="258"/>
      <c r="S30" s="258"/>
      <c r="T30" s="258"/>
      <c r="U30" s="258"/>
      <c r="V30" s="258"/>
      <c r="W30" s="258"/>
      <c r="X30" s="258"/>
      <c r="Y30" s="258"/>
      <c r="Z30" s="258"/>
      <c r="AA30" s="258"/>
      <c r="AB30" s="258"/>
      <c r="AC30" s="258"/>
    </row>
    <row r="31" spans="1:29" ht="17.25" customHeight="1" x14ac:dyDescent="0.2">
      <c r="A31" s="258"/>
      <c r="B31" s="258"/>
      <c r="C31" s="258"/>
      <c r="D31" s="258"/>
      <c r="E31" s="258"/>
      <c r="F31" s="258"/>
      <c r="G31" s="258"/>
      <c r="H31" s="258"/>
      <c r="I31" s="258"/>
      <c r="J31" s="258"/>
      <c r="K31" s="258"/>
      <c r="L31" s="258"/>
      <c r="M31" s="258"/>
      <c r="N31" s="258"/>
      <c r="O31" s="258"/>
      <c r="P31" s="258"/>
      <c r="Q31" s="258"/>
      <c r="R31" s="258"/>
      <c r="S31" s="258"/>
      <c r="T31" s="258"/>
      <c r="U31" s="258"/>
      <c r="V31" s="258"/>
      <c r="W31" s="258"/>
      <c r="X31" s="258"/>
      <c r="Y31" s="258"/>
      <c r="Z31" s="258"/>
      <c r="AA31" s="258"/>
      <c r="AB31" s="258"/>
      <c r="AC31" s="258"/>
    </row>
    <row r="32" spans="1:29" ht="17.25" customHeight="1" x14ac:dyDescent="0.2">
      <c r="A32" s="258"/>
      <c r="B32" s="258"/>
      <c r="C32" s="258"/>
      <c r="D32" s="258"/>
      <c r="E32" s="258"/>
      <c r="F32" s="258"/>
      <c r="G32" s="258"/>
      <c r="H32" s="258"/>
      <c r="I32" s="258"/>
      <c r="J32" s="258"/>
      <c r="K32" s="258"/>
      <c r="L32" s="258"/>
      <c r="M32" s="258"/>
      <c r="N32" s="258"/>
      <c r="O32" s="258"/>
      <c r="P32" s="258"/>
      <c r="Q32" s="258"/>
      <c r="R32" s="258"/>
      <c r="S32" s="258"/>
      <c r="T32" s="258"/>
      <c r="U32" s="258"/>
      <c r="V32" s="258"/>
      <c r="W32" s="258"/>
      <c r="X32" s="258"/>
      <c r="Y32" s="258"/>
      <c r="Z32" s="258"/>
      <c r="AA32" s="258"/>
      <c r="AB32" s="258"/>
      <c r="AC32" s="258"/>
    </row>
    <row r="33" spans="1:29" ht="17.25" customHeight="1" x14ac:dyDescent="0.2">
      <c r="A33" s="258"/>
      <c r="B33" s="258"/>
      <c r="C33" s="258"/>
      <c r="D33" s="258"/>
      <c r="E33" s="258"/>
      <c r="F33" s="258"/>
      <c r="G33" s="258"/>
      <c r="H33" s="258"/>
      <c r="I33" s="258"/>
      <c r="J33" s="258"/>
      <c r="K33" s="258"/>
      <c r="L33" s="258"/>
      <c r="M33" s="258"/>
      <c r="N33" s="258"/>
      <c r="O33" s="258"/>
      <c r="P33" s="258"/>
      <c r="Q33" s="258"/>
      <c r="R33" s="258"/>
      <c r="S33" s="258"/>
      <c r="T33" s="258"/>
      <c r="U33" s="258"/>
      <c r="V33" s="258"/>
      <c r="W33" s="258"/>
      <c r="X33" s="258"/>
      <c r="Y33" s="258"/>
      <c r="Z33" s="258"/>
      <c r="AA33" s="258"/>
      <c r="AB33" s="258"/>
      <c r="AC33" s="258"/>
    </row>
    <row r="34" spans="1:29" ht="17.25" customHeight="1" x14ac:dyDescent="0.2">
      <c r="A34" s="258"/>
      <c r="B34" s="258"/>
      <c r="C34" s="258"/>
      <c r="D34" s="258"/>
      <c r="E34" s="258"/>
      <c r="F34" s="258"/>
      <c r="G34" s="258"/>
      <c r="H34" s="258"/>
      <c r="I34" s="258"/>
      <c r="J34" s="258"/>
      <c r="K34" s="258"/>
      <c r="L34" s="258"/>
      <c r="M34" s="258"/>
      <c r="N34" s="258"/>
      <c r="O34" s="258"/>
      <c r="P34" s="258"/>
      <c r="Q34" s="258"/>
      <c r="R34" s="258"/>
      <c r="S34" s="258"/>
      <c r="T34" s="258"/>
      <c r="U34" s="258"/>
      <c r="V34" s="258"/>
      <c r="W34" s="258"/>
      <c r="X34" s="258"/>
      <c r="Y34" s="258"/>
      <c r="Z34" s="258"/>
      <c r="AA34" s="258"/>
      <c r="AB34" s="258"/>
      <c r="AC34" s="258"/>
    </row>
    <row r="35" spans="1:29" ht="17.25" customHeight="1" x14ac:dyDescent="0.2">
      <c r="A35" s="258"/>
      <c r="B35" s="258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Y35" s="258"/>
      <c r="Z35" s="258"/>
      <c r="AA35" s="258"/>
      <c r="AB35" s="258"/>
      <c r="AC35" s="258"/>
    </row>
    <row r="36" spans="1:29" ht="17.25" customHeight="1" x14ac:dyDescent="0.2">
      <c r="A36" s="258"/>
      <c r="B36" s="258"/>
      <c r="C36" s="258"/>
      <c r="D36" s="258"/>
      <c r="E36" s="258"/>
      <c r="F36" s="258"/>
      <c r="G36" s="258"/>
      <c r="H36" s="258"/>
      <c r="I36" s="258"/>
      <c r="J36" s="258"/>
      <c r="K36" s="258"/>
      <c r="L36" s="258"/>
      <c r="M36" s="258"/>
      <c r="N36" s="258"/>
      <c r="O36" s="258"/>
      <c r="P36" s="258"/>
      <c r="Q36" s="258"/>
      <c r="R36" s="258"/>
      <c r="S36" s="258"/>
      <c r="T36" s="258"/>
      <c r="U36" s="258"/>
      <c r="V36" s="258"/>
      <c r="W36" s="258"/>
      <c r="X36" s="258"/>
      <c r="Y36" s="258"/>
      <c r="Z36" s="258"/>
      <c r="AA36" s="258"/>
      <c r="AB36" s="258"/>
      <c r="AC36" s="258"/>
    </row>
    <row r="37" spans="1:29" ht="17.25" customHeight="1" x14ac:dyDescent="0.2">
      <c r="A37" s="258"/>
      <c r="B37" s="258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Y37" s="258"/>
      <c r="Z37" s="258"/>
      <c r="AA37" s="258"/>
      <c r="AB37" s="258"/>
      <c r="AC37" s="258"/>
    </row>
    <row r="38" spans="1:29" x14ac:dyDescent="0.2">
      <c r="A38" s="352"/>
      <c r="B38" s="353"/>
      <c r="C38" s="260"/>
      <c r="D38" s="260"/>
      <c r="E38" s="260"/>
      <c r="F38" s="261"/>
      <c r="G38" s="261"/>
      <c r="H38" s="261"/>
      <c r="I38" s="261"/>
      <c r="J38" s="261"/>
      <c r="K38" s="261"/>
      <c r="L38" s="261"/>
      <c r="M38" s="261"/>
      <c r="N38" s="261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  <c r="AA38" s="261"/>
      <c r="AB38" s="261"/>
      <c r="AC38" s="261"/>
    </row>
    <row r="39" spans="1:29" s="255" customFormat="1" ht="8" customHeight="1" x14ac:dyDescent="0.2"/>
  </sheetData>
  <mergeCells count="23">
    <mergeCell ref="A1:A4"/>
    <mergeCell ref="B1:Y4"/>
    <mergeCell ref="Z1:AA1"/>
    <mergeCell ref="AB1:AC1"/>
    <mergeCell ref="Z2:AA2"/>
    <mergeCell ref="AB2:AC2"/>
    <mergeCell ref="Z3:AA3"/>
    <mergeCell ref="AB3:AC3"/>
    <mergeCell ref="Z4:AA4"/>
    <mergeCell ref="AB4:AC4"/>
    <mergeCell ref="Y7:AA7"/>
    <mergeCell ref="AB7:AC7"/>
    <mergeCell ref="A7:A8"/>
    <mergeCell ref="B7:B8"/>
    <mergeCell ref="C7:C8"/>
    <mergeCell ref="D7:E7"/>
    <mergeCell ref="F7:H7"/>
    <mergeCell ref="I7:K7"/>
    <mergeCell ref="A38:B38"/>
    <mergeCell ref="L7:N7"/>
    <mergeCell ref="O7:R7"/>
    <mergeCell ref="S7:V7"/>
    <mergeCell ref="W7:X7"/>
  </mergeCells>
  <pageMargins left="0.7" right="0.7" top="0.75" bottom="0.75" header="0.3" footer="0.3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DB155"/>
  <sheetViews>
    <sheetView zoomScale="87" workbookViewId="0">
      <pane xSplit="10" ySplit="7" topLeftCell="M8" activePane="bottomRight" state="frozen"/>
      <selection activeCell="K6" sqref="K6:AK7"/>
      <selection pane="topRight" activeCell="K6" sqref="K6:AK7"/>
      <selection pane="bottomLeft" activeCell="K6" sqref="K6:AK7"/>
      <selection pane="bottomRight" activeCell="N19" sqref="N19"/>
    </sheetView>
  </sheetViews>
  <sheetFormatPr baseColWidth="10" defaultColWidth="8.83203125" defaultRowHeight="15" x14ac:dyDescent="0.2"/>
  <cols>
    <col min="1" max="4" width="8.83203125" style="159" customWidth="1"/>
    <col min="5" max="8" width="8.83203125" style="159" hidden="1" customWidth="1"/>
    <col min="9" max="9" width="11.83203125" style="159" hidden="1" customWidth="1"/>
    <col min="10" max="10" width="8.83203125" style="159" hidden="1" customWidth="1"/>
    <col min="11" max="11" width="11.33203125" style="159" customWidth="1"/>
    <col min="12" max="16" width="8.83203125" style="159" customWidth="1"/>
    <col min="17" max="17" width="12.5" style="159" customWidth="1"/>
    <col min="18" max="18" width="8.83203125" style="159" customWidth="1"/>
    <col min="19" max="19" width="12.1640625" style="159" customWidth="1"/>
    <col min="20" max="20" width="7.6640625" style="159" bestFit="1" customWidth="1"/>
    <col min="21" max="24" width="8.83203125" style="159" customWidth="1"/>
    <col min="25" max="25" width="12.33203125" style="159" customWidth="1"/>
    <col min="26" max="26" width="8.83203125" style="159" customWidth="1"/>
    <col min="27" max="27" width="13.1640625" style="159" customWidth="1"/>
    <col min="28" max="32" width="8.83203125" style="159" customWidth="1"/>
    <col min="33" max="33" width="13.83203125" style="159" customWidth="1"/>
    <col min="34" max="34" width="8.83203125" style="159"/>
    <col min="35" max="35" width="13.5" style="159" customWidth="1"/>
    <col min="36" max="40" width="8.83203125" style="159"/>
    <col min="41" max="41" width="16" style="159" customWidth="1"/>
    <col min="42" max="42" width="8.83203125" style="159"/>
    <col min="43" max="43" width="12.5" style="159" customWidth="1"/>
    <col min="44" max="48" width="8.83203125" style="159"/>
    <col min="49" max="49" width="11.83203125" style="159" customWidth="1"/>
    <col min="50" max="50" width="8.83203125" style="159"/>
    <col min="51" max="51" width="12.5" style="159" customWidth="1"/>
    <col min="52" max="56" width="8.83203125" style="159"/>
    <col min="57" max="57" width="11.83203125" style="159" customWidth="1"/>
    <col min="58" max="58" width="8.83203125" style="159"/>
    <col min="59" max="59" width="12.5" style="159" customWidth="1"/>
    <col min="60" max="64" width="8.83203125" style="159"/>
    <col min="65" max="65" width="11.83203125" style="159" customWidth="1"/>
    <col min="66" max="66" width="8.83203125" style="159"/>
    <col min="67" max="67" width="12.5" style="159" customWidth="1"/>
    <col min="68" max="72" width="8.83203125" style="159"/>
    <col min="73" max="73" width="11.83203125" style="159" customWidth="1"/>
    <col min="74" max="74" width="8.83203125" style="159"/>
    <col min="75" max="75" width="12.5" style="159" customWidth="1"/>
    <col min="76" max="80" width="8.83203125" style="159"/>
    <col min="81" max="81" width="11.83203125" style="159" customWidth="1"/>
    <col min="82" max="82" width="8.83203125" style="159"/>
    <col min="83" max="83" width="12.5" style="159" customWidth="1"/>
    <col min="84" max="88" width="8.83203125" style="159"/>
    <col min="89" max="89" width="11.83203125" style="159" customWidth="1"/>
    <col min="90" max="90" width="8.83203125" style="159"/>
    <col min="91" max="91" width="12.5" style="159" customWidth="1"/>
    <col min="92" max="96" width="8.83203125" style="159"/>
    <col min="97" max="97" width="11.83203125" style="159" customWidth="1"/>
    <col min="98" max="98" width="8.83203125" style="159"/>
    <col min="99" max="99" width="12.5" style="159" customWidth="1"/>
    <col min="100" max="100" width="10.33203125" style="159" customWidth="1"/>
    <col min="101" max="101" width="11.33203125" style="159" customWidth="1"/>
    <col min="102" max="104" width="8.83203125" style="159"/>
    <col min="105" max="105" width="11.83203125" style="159" customWidth="1"/>
    <col min="106" max="256" width="8.83203125" style="159"/>
    <col min="257" max="260" width="8.83203125" style="159" customWidth="1"/>
    <col min="261" max="266" width="0" style="159" hidden="1" customWidth="1"/>
    <col min="267" max="267" width="11.33203125" style="159" customWidth="1"/>
    <col min="268" max="272" width="8.83203125" style="159" customWidth="1"/>
    <col min="273" max="273" width="12.5" style="159" customWidth="1"/>
    <col min="274" max="274" width="8.83203125" style="159" customWidth="1"/>
    <col min="275" max="275" width="12.1640625" style="159" customWidth="1"/>
    <col min="276" max="276" width="7.6640625" style="159" bestFit="1" customWidth="1"/>
    <col min="277" max="280" width="8.83203125" style="159" customWidth="1"/>
    <col min="281" max="281" width="12.33203125" style="159" customWidth="1"/>
    <col min="282" max="282" width="8.83203125" style="159" customWidth="1"/>
    <col min="283" max="283" width="13.1640625" style="159" customWidth="1"/>
    <col min="284" max="288" width="8.83203125" style="159" customWidth="1"/>
    <col min="289" max="289" width="13.83203125" style="159" customWidth="1"/>
    <col min="290" max="290" width="8.83203125" style="159"/>
    <col min="291" max="291" width="13.5" style="159" customWidth="1"/>
    <col min="292" max="296" width="8.83203125" style="159"/>
    <col min="297" max="297" width="16" style="159" customWidth="1"/>
    <col min="298" max="298" width="8.83203125" style="159"/>
    <col min="299" max="299" width="12.5" style="159" customWidth="1"/>
    <col min="300" max="304" width="8.83203125" style="159"/>
    <col min="305" max="305" width="11.83203125" style="159" customWidth="1"/>
    <col min="306" max="306" width="8.83203125" style="159"/>
    <col min="307" max="307" width="12.5" style="159" customWidth="1"/>
    <col min="308" max="312" width="8.83203125" style="159"/>
    <col min="313" max="313" width="11.83203125" style="159" customWidth="1"/>
    <col min="314" max="314" width="8.83203125" style="159"/>
    <col min="315" max="315" width="12.5" style="159" customWidth="1"/>
    <col min="316" max="320" width="8.83203125" style="159"/>
    <col min="321" max="321" width="11.83203125" style="159" customWidth="1"/>
    <col min="322" max="322" width="8.83203125" style="159"/>
    <col min="323" max="323" width="12.5" style="159" customWidth="1"/>
    <col min="324" max="328" width="8.83203125" style="159"/>
    <col min="329" max="329" width="11.83203125" style="159" customWidth="1"/>
    <col min="330" max="330" width="8.83203125" style="159"/>
    <col min="331" max="331" width="12.5" style="159" customWidth="1"/>
    <col min="332" max="336" width="8.83203125" style="159"/>
    <col min="337" max="337" width="11.83203125" style="159" customWidth="1"/>
    <col min="338" max="338" width="8.83203125" style="159"/>
    <col min="339" max="339" width="12.5" style="159" customWidth="1"/>
    <col min="340" max="344" width="8.83203125" style="159"/>
    <col min="345" max="345" width="11.83203125" style="159" customWidth="1"/>
    <col min="346" max="346" width="8.83203125" style="159"/>
    <col min="347" max="347" width="12.5" style="159" customWidth="1"/>
    <col min="348" max="352" width="8.83203125" style="159"/>
    <col min="353" max="353" width="11.83203125" style="159" customWidth="1"/>
    <col min="354" max="354" width="8.83203125" style="159"/>
    <col min="355" max="355" width="12.5" style="159" customWidth="1"/>
    <col min="356" max="360" width="8.83203125" style="159"/>
    <col min="361" max="361" width="11.83203125" style="159" customWidth="1"/>
    <col min="362" max="512" width="8.83203125" style="159"/>
    <col min="513" max="516" width="8.83203125" style="159" customWidth="1"/>
    <col min="517" max="522" width="0" style="159" hidden="1" customWidth="1"/>
    <col min="523" max="523" width="11.33203125" style="159" customWidth="1"/>
    <col min="524" max="528" width="8.83203125" style="159" customWidth="1"/>
    <col min="529" max="529" width="12.5" style="159" customWidth="1"/>
    <col min="530" max="530" width="8.83203125" style="159" customWidth="1"/>
    <col min="531" max="531" width="12.1640625" style="159" customWidth="1"/>
    <col min="532" max="532" width="7.6640625" style="159" bestFit="1" customWidth="1"/>
    <col min="533" max="536" width="8.83203125" style="159" customWidth="1"/>
    <col min="537" max="537" width="12.33203125" style="159" customWidth="1"/>
    <col min="538" max="538" width="8.83203125" style="159" customWidth="1"/>
    <col min="539" max="539" width="13.1640625" style="159" customWidth="1"/>
    <col min="540" max="544" width="8.83203125" style="159" customWidth="1"/>
    <col min="545" max="545" width="13.83203125" style="159" customWidth="1"/>
    <col min="546" max="546" width="8.83203125" style="159"/>
    <col min="547" max="547" width="13.5" style="159" customWidth="1"/>
    <col min="548" max="552" width="8.83203125" style="159"/>
    <col min="553" max="553" width="16" style="159" customWidth="1"/>
    <col min="554" max="554" width="8.83203125" style="159"/>
    <col min="555" max="555" width="12.5" style="159" customWidth="1"/>
    <col min="556" max="560" width="8.83203125" style="159"/>
    <col min="561" max="561" width="11.83203125" style="159" customWidth="1"/>
    <col min="562" max="562" width="8.83203125" style="159"/>
    <col min="563" max="563" width="12.5" style="159" customWidth="1"/>
    <col min="564" max="568" width="8.83203125" style="159"/>
    <col min="569" max="569" width="11.83203125" style="159" customWidth="1"/>
    <col min="570" max="570" width="8.83203125" style="159"/>
    <col min="571" max="571" width="12.5" style="159" customWidth="1"/>
    <col min="572" max="576" width="8.83203125" style="159"/>
    <col min="577" max="577" width="11.83203125" style="159" customWidth="1"/>
    <col min="578" max="578" width="8.83203125" style="159"/>
    <col min="579" max="579" width="12.5" style="159" customWidth="1"/>
    <col min="580" max="584" width="8.83203125" style="159"/>
    <col min="585" max="585" width="11.83203125" style="159" customWidth="1"/>
    <col min="586" max="586" width="8.83203125" style="159"/>
    <col min="587" max="587" width="12.5" style="159" customWidth="1"/>
    <col min="588" max="592" width="8.83203125" style="159"/>
    <col min="593" max="593" width="11.83203125" style="159" customWidth="1"/>
    <col min="594" max="594" width="8.83203125" style="159"/>
    <col min="595" max="595" width="12.5" style="159" customWidth="1"/>
    <col min="596" max="600" width="8.83203125" style="159"/>
    <col min="601" max="601" width="11.83203125" style="159" customWidth="1"/>
    <col min="602" max="602" width="8.83203125" style="159"/>
    <col min="603" max="603" width="12.5" style="159" customWidth="1"/>
    <col min="604" max="608" width="8.83203125" style="159"/>
    <col min="609" max="609" width="11.83203125" style="159" customWidth="1"/>
    <col min="610" max="610" width="8.83203125" style="159"/>
    <col min="611" max="611" width="12.5" style="159" customWidth="1"/>
    <col min="612" max="616" width="8.83203125" style="159"/>
    <col min="617" max="617" width="11.83203125" style="159" customWidth="1"/>
    <col min="618" max="768" width="8.83203125" style="159"/>
    <col min="769" max="772" width="8.83203125" style="159" customWidth="1"/>
    <col min="773" max="778" width="0" style="159" hidden="1" customWidth="1"/>
    <col min="779" max="779" width="11.33203125" style="159" customWidth="1"/>
    <col min="780" max="784" width="8.83203125" style="159" customWidth="1"/>
    <col min="785" max="785" width="12.5" style="159" customWidth="1"/>
    <col min="786" max="786" width="8.83203125" style="159" customWidth="1"/>
    <col min="787" max="787" width="12.1640625" style="159" customWidth="1"/>
    <col min="788" max="788" width="7.6640625" style="159" bestFit="1" customWidth="1"/>
    <col min="789" max="792" width="8.83203125" style="159" customWidth="1"/>
    <col min="793" max="793" width="12.33203125" style="159" customWidth="1"/>
    <col min="794" max="794" width="8.83203125" style="159" customWidth="1"/>
    <col min="795" max="795" width="13.1640625" style="159" customWidth="1"/>
    <col min="796" max="800" width="8.83203125" style="159" customWidth="1"/>
    <col min="801" max="801" width="13.83203125" style="159" customWidth="1"/>
    <col min="802" max="802" width="8.83203125" style="159"/>
    <col min="803" max="803" width="13.5" style="159" customWidth="1"/>
    <col min="804" max="808" width="8.83203125" style="159"/>
    <col min="809" max="809" width="16" style="159" customWidth="1"/>
    <col min="810" max="810" width="8.83203125" style="159"/>
    <col min="811" max="811" width="12.5" style="159" customWidth="1"/>
    <col min="812" max="816" width="8.83203125" style="159"/>
    <col min="817" max="817" width="11.83203125" style="159" customWidth="1"/>
    <col min="818" max="818" width="8.83203125" style="159"/>
    <col min="819" max="819" width="12.5" style="159" customWidth="1"/>
    <col min="820" max="824" width="8.83203125" style="159"/>
    <col min="825" max="825" width="11.83203125" style="159" customWidth="1"/>
    <col min="826" max="826" width="8.83203125" style="159"/>
    <col min="827" max="827" width="12.5" style="159" customWidth="1"/>
    <col min="828" max="832" width="8.83203125" style="159"/>
    <col min="833" max="833" width="11.83203125" style="159" customWidth="1"/>
    <col min="834" max="834" width="8.83203125" style="159"/>
    <col min="835" max="835" width="12.5" style="159" customWidth="1"/>
    <col min="836" max="840" width="8.83203125" style="159"/>
    <col min="841" max="841" width="11.83203125" style="159" customWidth="1"/>
    <col min="842" max="842" width="8.83203125" style="159"/>
    <col min="843" max="843" width="12.5" style="159" customWidth="1"/>
    <col min="844" max="848" width="8.83203125" style="159"/>
    <col min="849" max="849" width="11.83203125" style="159" customWidth="1"/>
    <col min="850" max="850" width="8.83203125" style="159"/>
    <col min="851" max="851" width="12.5" style="159" customWidth="1"/>
    <col min="852" max="856" width="8.83203125" style="159"/>
    <col min="857" max="857" width="11.83203125" style="159" customWidth="1"/>
    <col min="858" max="858" width="8.83203125" style="159"/>
    <col min="859" max="859" width="12.5" style="159" customWidth="1"/>
    <col min="860" max="864" width="8.83203125" style="159"/>
    <col min="865" max="865" width="11.83203125" style="159" customWidth="1"/>
    <col min="866" max="866" width="8.83203125" style="159"/>
    <col min="867" max="867" width="12.5" style="159" customWidth="1"/>
    <col min="868" max="872" width="8.83203125" style="159"/>
    <col min="873" max="873" width="11.83203125" style="159" customWidth="1"/>
    <col min="874" max="1024" width="8.83203125" style="159"/>
    <col min="1025" max="1028" width="8.83203125" style="159" customWidth="1"/>
    <col min="1029" max="1034" width="0" style="159" hidden="1" customWidth="1"/>
    <col min="1035" max="1035" width="11.33203125" style="159" customWidth="1"/>
    <col min="1036" max="1040" width="8.83203125" style="159" customWidth="1"/>
    <col min="1041" max="1041" width="12.5" style="159" customWidth="1"/>
    <col min="1042" max="1042" width="8.83203125" style="159" customWidth="1"/>
    <col min="1043" max="1043" width="12.1640625" style="159" customWidth="1"/>
    <col min="1044" max="1044" width="7.6640625" style="159" bestFit="1" customWidth="1"/>
    <col min="1045" max="1048" width="8.83203125" style="159" customWidth="1"/>
    <col min="1049" max="1049" width="12.33203125" style="159" customWidth="1"/>
    <col min="1050" max="1050" width="8.83203125" style="159" customWidth="1"/>
    <col min="1051" max="1051" width="13.1640625" style="159" customWidth="1"/>
    <col min="1052" max="1056" width="8.83203125" style="159" customWidth="1"/>
    <col min="1057" max="1057" width="13.83203125" style="159" customWidth="1"/>
    <col min="1058" max="1058" width="8.83203125" style="159"/>
    <col min="1059" max="1059" width="13.5" style="159" customWidth="1"/>
    <col min="1060" max="1064" width="8.83203125" style="159"/>
    <col min="1065" max="1065" width="16" style="159" customWidth="1"/>
    <col min="1066" max="1066" width="8.83203125" style="159"/>
    <col min="1067" max="1067" width="12.5" style="159" customWidth="1"/>
    <col min="1068" max="1072" width="8.83203125" style="159"/>
    <col min="1073" max="1073" width="11.83203125" style="159" customWidth="1"/>
    <col min="1074" max="1074" width="8.83203125" style="159"/>
    <col min="1075" max="1075" width="12.5" style="159" customWidth="1"/>
    <col min="1076" max="1080" width="8.83203125" style="159"/>
    <col min="1081" max="1081" width="11.83203125" style="159" customWidth="1"/>
    <col min="1082" max="1082" width="8.83203125" style="159"/>
    <col min="1083" max="1083" width="12.5" style="159" customWidth="1"/>
    <col min="1084" max="1088" width="8.83203125" style="159"/>
    <col min="1089" max="1089" width="11.83203125" style="159" customWidth="1"/>
    <col min="1090" max="1090" width="8.83203125" style="159"/>
    <col min="1091" max="1091" width="12.5" style="159" customWidth="1"/>
    <col min="1092" max="1096" width="8.83203125" style="159"/>
    <col min="1097" max="1097" width="11.83203125" style="159" customWidth="1"/>
    <col min="1098" max="1098" width="8.83203125" style="159"/>
    <col min="1099" max="1099" width="12.5" style="159" customWidth="1"/>
    <col min="1100" max="1104" width="8.83203125" style="159"/>
    <col min="1105" max="1105" width="11.83203125" style="159" customWidth="1"/>
    <col min="1106" max="1106" width="8.83203125" style="159"/>
    <col min="1107" max="1107" width="12.5" style="159" customWidth="1"/>
    <col min="1108" max="1112" width="8.83203125" style="159"/>
    <col min="1113" max="1113" width="11.83203125" style="159" customWidth="1"/>
    <col min="1114" max="1114" width="8.83203125" style="159"/>
    <col min="1115" max="1115" width="12.5" style="159" customWidth="1"/>
    <col min="1116" max="1120" width="8.83203125" style="159"/>
    <col min="1121" max="1121" width="11.83203125" style="159" customWidth="1"/>
    <col min="1122" max="1122" width="8.83203125" style="159"/>
    <col min="1123" max="1123" width="12.5" style="159" customWidth="1"/>
    <col min="1124" max="1128" width="8.83203125" style="159"/>
    <col min="1129" max="1129" width="11.83203125" style="159" customWidth="1"/>
    <col min="1130" max="1280" width="8.83203125" style="159"/>
    <col min="1281" max="1284" width="8.83203125" style="159" customWidth="1"/>
    <col min="1285" max="1290" width="0" style="159" hidden="1" customWidth="1"/>
    <col min="1291" max="1291" width="11.33203125" style="159" customWidth="1"/>
    <col min="1292" max="1296" width="8.83203125" style="159" customWidth="1"/>
    <col min="1297" max="1297" width="12.5" style="159" customWidth="1"/>
    <col min="1298" max="1298" width="8.83203125" style="159" customWidth="1"/>
    <col min="1299" max="1299" width="12.1640625" style="159" customWidth="1"/>
    <col min="1300" max="1300" width="7.6640625" style="159" bestFit="1" customWidth="1"/>
    <col min="1301" max="1304" width="8.83203125" style="159" customWidth="1"/>
    <col min="1305" max="1305" width="12.33203125" style="159" customWidth="1"/>
    <col min="1306" max="1306" width="8.83203125" style="159" customWidth="1"/>
    <col min="1307" max="1307" width="13.1640625" style="159" customWidth="1"/>
    <col min="1308" max="1312" width="8.83203125" style="159" customWidth="1"/>
    <col min="1313" max="1313" width="13.83203125" style="159" customWidth="1"/>
    <col min="1314" max="1314" width="8.83203125" style="159"/>
    <col min="1315" max="1315" width="13.5" style="159" customWidth="1"/>
    <col min="1316" max="1320" width="8.83203125" style="159"/>
    <col min="1321" max="1321" width="16" style="159" customWidth="1"/>
    <col min="1322" max="1322" width="8.83203125" style="159"/>
    <col min="1323" max="1323" width="12.5" style="159" customWidth="1"/>
    <col min="1324" max="1328" width="8.83203125" style="159"/>
    <col min="1329" max="1329" width="11.83203125" style="159" customWidth="1"/>
    <col min="1330" max="1330" width="8.83203125" style="159"/>
    <col min="1331" max="1331" width="12.5" style="159" customWidth="1"/>
    <col min="1332" max="1336" width="8.83203125" style="159"/>
    <col min="1337" max="1337" width="11.83203125" style="159" customWidth="1"/>
    <col min="1338" max="1338" width="8.83203125" style="159"/>
    <col min="1339" max="1339" width="12.5" style="159" customWidth="1"/>
    <col min="1340" max="1344" width="8.83203125" style="159"/>
    <col min="1345" max="1345" width="11.83203125" style="159" customWidth="1"/>
    <col min="1346" max="1346" width="8.83203125" style="159"/>
    <col min="1347" max="1347" width="12.5" style="159" customWidth="1"/>
    <col min="1348" max="1352" width="8.83203125" style="159"/>
    <col min="1353" max="1353" width="11.83203125" style="159" customWidth="1"/>
    <col min="1354" max="1354" width="8.83203125" style="159"/>
    <col min="1355" max="1355" width="12.5" style="159" customWidth="1"/>
    <col min="1356" max="1360" width="8.83203125" style="159"/>
    <col min="1361" max="1361" width="11.83203125" style="159" customWidth="1"/>
    <col min="1362" max="1362" width="8.83203125" style="159"/>
    <col min="1363" max="1363" width="12.5" style="159" customWidth="1"/>
    <col min="1364" max="1368" width="8.83203125" style="159"/>
    <col min="1369" max="1369" width="11.83203125" style="159" customWidth="1"/>
    <col min="1370" max="1370" width="8.83203125" style="159"/>
    <col min="1371" max="1371" width="12.5" style="159" customWidth="1"/>
    <col min="1372" max="1376" width="8.83203125" style="159"/>
    <col min="1377" max="1377" width="11.83203125" style="159" customWidth="1"/>
    <col min="1378" max="1378" width="8.83203125" style="159"/>
    <col min="1379" max="1379" width="12.5" style="159" customWidth="1"/>
    <col min="1380" max="1384" width="8.83203125" style="159"/>
    <col min="1385" max="1385" width="11.83203125" style="159" customWidth="1"/>
    <col min="1386" max="1536" width="8.83203125" style="159"/>
    <col min="1537" max="1540" width="8.83203125" style="159" customWidth="1"/>
    <col min="1541" max="1546" width="0" style="159" hidden="1" customWidth="1"/>
    <col min="1547" max="1547" width="11.33203125" style="159" customWidth="1"/>
    <col min="1548" max="1552" width="8.83203125" style="159" customWidth="1"/>
    <col min="1553" max="1553" width="12.5" style="159" customWidth="1"/>
    <col min="1554" max="1554" width="8.83203125" style="159" customWidth="1"/>
    <col min="1555" max="1555" width="12.1640625" style="159" customWidth="1"/>
    <col min="1556" max="1556" width="7.6640625" style="159" bestFit="1" customWidth="1"/>
    <col min="1557" max="1560" width="8.83203125" style="159" customWidth="1"/>
    <col min="1561" max="1561" width="12.33203125" style="159" customWidth="1"/>
    <col min="1562" max="1562" width="8.83203125" style="159" customWidth="1"/>
    <col min="1563" max="1563" width="13.1640625" style="159" customWidth="1"/>
    <col min="1564" max="1568" width="8.83203125" style="159" customWidth="1"/>
    <col min="1569" max="1569" width="13.83203125" style="159" customWidth="1"/>
    <col min="1570" max="1570" width="8.83203125" style="159"/>
    <col min="1571" max="1571" width="13.5" style="159" customWidth="1"/>
    <col min="1572" max="1576" width="8.83203125" style="159"/>
    <col min="1577" max="1577" width="16" style="159" customWidth="1"/>
    <col min="1578" max="1578" width="8.83203125" style="159"/>
    <col min="1579" max="1579" width="12.5" style="159" customWidth="1"/>
    <col min="1580" max="1584" width="8.83203125" style="159"/>
    <col min="1585" max="1585" width="11.83203125" style="159" customWidth="1"/>
    <col min="1586" max="1586" width="8.83203125" style="159"/>
    <col min="1587" max="1587" width="12.5" style="159" customWidth="1"/>
    <col min="1588" max="1592" width="8.83203125" style="159"/>
    <col min="1593" max="1593" width="11.83203125" style="159" customWidth="1"/>
    <col min="1594" max="1594" width="8.83203125" style="159"/>
    <col min="1595" max="1595" width="12.5" style="159" customWidth="1"/>
    <col min="1596" max="1600" width="8.83203125" style="159"/>
    <col min="1601" max="1601" width="11.83203125" style="159" customWidth="1"/>
    <col min="1602" max="1602" width="8.83203125" style="159"/>
    <col min="1603" max="1603" width="12.5" style="159" customWidth="1"/>
    <col min="1604" max="1608" width="8.83203125" style="159"/>
    <col min="1609" max="1609" width="11.83203125" style="159" customWidth="1"/>
    <col min="1610" max="1610" width="8.83203125" style="159"/>
    <col min="1611" max="1611" width="12.5" style="159" customWidth="1"/>
    <col min="1612" max="1616" width="8.83203125" style="159"/>
    <col min="1617" max="1617" width="11.83203125" style="159" customWidth="1"/>
    <col min="1618" max="1618" width="8.83203125" style="159"/>
    <col min="1619" max="1619" width="12.5" style="159" customWidth="1"/>
    <col min="1620" max="1624" width="8.83203125" style="159"/>
    <col min="1625" max="1625" width="11.83203125" style="159" customWidth="1"/>
    <col min="1626" max="1626" width="8.83203125" style="159"/>
    <col min="1627" max="1627" width="12.5" style="159" customWidth="1"/>
    <col min="1628" max="1632" width="8.83203125" style="159"/>
    <col min="1633" max="1633" width="11.83203125" style="159" customWidth="1"/>
    <col min="1634" max="1634" width="8.83203125" style="159"/>
    <col min="1635" max="1635" width="12.5" style="159" customWidth="1"/>
    <col min="1636" max="1640" width="8.83203125" style="159"/>
    <col min="1641" max="1641" width="11.83203125" style="159" customWidth="1"/>
    <col min="1642" max="1792" width="8.83203125" style="159"/>
    <col min="1793" max="1796" width="8.83203125" style="159" customWidth="1"/>
    <col min="1797" max="1802" width="0" style="159" hidden="1" customWidth="1"/>
    <col min="1803" max="1803" width="11.33203125" style="159" customWidth="1"/>
    <col min="1804" max="1808" width="8.83203125" style="159" customWidth="1"/>
    <col min="1809" max="1809" width="12.5" style="159" customWidth="1"/>
    <col min="1810" max="1810" width="8.83203125" style="159" customWidth="1"/>
    <col min="1811" max="1811" width="12.1640625" style="159" customWidth="1"/>
    <col min="1812" max="1812" width="7.6640625" style="159" bestFit="1" customWidth="1"/>
    <col min="1813" max="1816" width="8.83203125" style="159" customWidth="1"/>
    <col min="1817" max="1817" width="12.33203125" style="159" customWidth="1"/>
    <col min="1818" max="1818" width="8.83203125" style="159" customWidth="1"/>
    <col min="1819" max="1819" width="13.1640625" style="159" customWidth="1"/>
    <col min="1820" max="1824" width="8.83203125" style="159" customWidth="1"/>
    <col min="1825" max="1825" width="13.83203125" style="159" customWidth="1"/>
    <col min="1826" max="1826" width="8.83203125" style="159"/>
    <col min="1827" max="1827" width="13.5" style="159" customWidth="1"/>
    <col min="1828" max="1832" width="8.83203125" style="159"/>
    <col min="1833" max="1833" width="16" style="159" customWidth="1"/>
    <col min="1834" max="1834" width="8.83203125" style="159"/>
    <col min="1835" max="1835" width="12.5" style="159" customWidth="1"/>
    <col min="1836" max="1840" width="8.83203125" style="159"/>
    <col min="1841" max="1841" width="11.83203125" style="159" customWidth="1"/>
    <col min="1842" max="1842" width="8.83203125" style="159"/>
    <col min="1843" max="1843" width="12.5" style="159" customWidth="1"/>
    <col min="1844" max="1848" width="8.83203125" style="159"/>
    <col min="1849" max="1849" width="11.83203125" style="159" customWidth="1"/>
    <col min="1850" max="1850" width="8.83203125" style="159"/>
    <col min="1851" max="1851" width="12.5" style="159" customWidth="1"/>
    <col min="1852" max="1856" width="8.83203125" style="159"/>
    <col min="1857" max="1857" width="11.83203125" style="159" customWidth="1"/>
    <col min="1858" max="1858" width="8.83203125" style="159"/>
    <col min="1859" max="1859" width="12.5" style="159" customWidth="1"/>
    <col min="1860" max="1864" width="8.83203125" style="159"/>
    <col min="1865" max="1865" width="11.83203125" style="159" customWidth="1"/>
    <col min="1866" max="1866" width="8.83203125" style="159"/>
    <col min="1867" max="1867" width="12.5" style="159" customWidth="1"/>
    <col min="1868" max="1872" width="8.83203125" style="159"/>
    <col min="1873" max="1873" width="11.83203125" style="159" customWidth="1"/>
    <col min="1874" max="1874" width="8.83203125" style="159"/>
    <col min="1875" max="1875" width="12.5" style="159" customWidth="1"/>
    <col min="1876" max="1880" width="8.83203125" style="159"/>
    <col min="1881" max="1881" width="11.83203125" style="159" customWidth="1"/>
    <col min="1882" max="1882" width="8.83203125" style="159"/>
    <col min="1883" max="1883" width="12.5" style="159" customWidth="1"/>
    <col min="1884" max="1888" width="8.83203125" style="159"/>
    <col min="1889" max="1889" width="11.83203125" style="159" customWidth="1"/>
    <col min="1890" max="1890" width="8.83203125" style="159"/>
    <col min="1891" max="1891" width="12.5" style="159" customWidth="1"/>
    <col min="1892" max="1896" width="8.83203125" style="159"/>
    <col min="1897" max="1897" width="11.83203125" style="159" customWidth="1"/>
    <col min="1898" max="2048" width="8.83203125" style="159"/>
    <col min="2049" max="2052" width="8.83203125" style="159" customWidth="1"/>
    <col min="2053" max="2058" width="0" style="159" hidden="1" customWidth="1"/>
    <col min="2059" max="2059" width="11.33203125" style="159" customWidth="1"/>
    <col min="2060" max="2064" width="8.83203125" style="159" customWidth="1"/>
    <col min="2065" max="2065" width="12.5" style="159" customWidth="1"/>
    <col min="2066" max="2066" width="8.83203125" style="159" customWidth="1"/>
    <col min="2067" max="2067" width="12.1640625" style="159" customWidth="1"/>
    <col min="2068" max="2068" width="7.6640625" style="159" bestFit="1" customWidth="1"/>
    <col min="2069" max="2072" width="8.83203125" style="159" customWidth="1"/>
    <col min="2073" max="2073" width="12.33203125" style="159" customWidth="1"/>
    <col min="2074" max="2074" width="8.83203125" style="159" customWidth="1"/>
    <col min="2075" max="2075" width="13.1640625" style="159" customWidth="1"/>
    <col min="2076" max="2080" width="8.83203125" style="159" customWidth="1"/>
    <col min="2081" max="2081" width="13.83203125" style="159" customWidth="1"/>
    <col min="2082" max="2082" width="8.83203125" style="159"/>
    <col min="2083" max="2083" width="13.5" style="159" customWidth="1"/>
    <col min="2084" max="2088" width="8.83203125" style="159"/>
    <col min="2089" max="2089" width="16" style="159" customWidth="1"/>
    <col min="2090" max="2090" width="8.83203125" style="159"/>
    <col min="2091" max="2091" width="12.5" style="159" customWidth="1"/>
    <col min="2092" max="2096" width="8.83203125" style="159"/>
    <col min="2097" max="2097" width="11.83203125" style="159" customWidth="1"/>
    <col min="2098" max="2098" width="8.83203125" style="159"/>
    <col min="2099" max="2099" width="12.5" style="159" customWidth="1"/>
    <col min="2100" max="2104" width="8.83203125" style="159"/>
    <col min="2105" max="2105" width="11.83203125" style="159" customWidth="1"/>
    <col min="2106" max="2106" width="8.83203125" style="159"/>
    <col min="2107" max="2107" width="12.5" style="159" customWidth="1"/>
    <col min="2108" max="2112" width="8.83203125" style="159"/>
    <col min="2113" max="2113" width="11.83203125" style="159" customWidth="1"/>
    <col min="2114" max="2114" width="8.83203125" style="159"/>
    <col min="2115" max="2115" width="12.5" style="159" customWidth="1"/>
    <col min="2116" max="2120" width="8.83203125" style="159"/>
    <col min="2121" max="2121" width="11.83203125" style="159" customWidth="1"/>
    <col min="2122" max="2122" width="8.83203125" style="159"/>
    <col min="2123" max="2123" width="12.5" style="159" customWidth="1"/>
    <col min="2124" max="2128" width="8.83203125" style="159"/>
    <col min="2129" max="2129" width="11.83203125" style="159" customWidth="1"/>
    <col min="2130" max="2130" width="8.83203125" style="159"/>
    <col min="2131" max="2131" width="12.5" style="159" customWidth="1"/>
    <col min="2132" max="2136" width="8.83203125" style="159"/>
    <col min="2137" max="2137" width="11.83203125" style="159" customWidth="1"/>
    <col min="2138" max="2138" width="8.83203125" style="159"/>
    <col min="2139" max="2139" width="12.5" style="159" customWidth="1"/>
    <col min="2140" max="2144" width="8.83203125" style="159"/>
    <col min="2145" max="2145" width="11.83203125" style="159" customWidth="1"/>
    <col min="2146" max="2146" width="8.83203125" style="159"/>
    <col min="2147" max="2147" width="12.5" style="159" customWidth="1"/>
    <col min="2148" max="2152" width="8.83203125" style="159"/>
    <col min="2153" max="2153" width="11.83203125" style="159" customWidth="1"/>
    <col min="2154" max="2304" width="8.83203125" style="159"/>
    <col min="2305" max="2308" width="8.83203125" style="159" customWidth="1"/>
    <col min="2309" max="2314" width="0" style="159" hidden="1" customWidth="1"/>
    <col min="2315" max="2315" width="11.33203125" style="159" customWidth="1"/>
    <col min="2316" max="2320" width="8.83203125" style="159" customWidth="1"/>
    <col min="2321" max="2321" width="12.5" style="159" customWidth="1"/>
    <col min="2322" max="2322" width="8.83203125" style="159" customWidth="1"/>
    <col min="2323" max="2323" width="12.1640625" style="159" customWidth="1"/>
    <col min="2324" max="2324" width="7.6640625" style="159" bestFit="1" customWidth="1"/>
    <col min="2325" max="2328" width="8.83203125" style="159" customWidth="1"/>
    <col min="2329" max="2329" width="12.33203125" style="159" customWidth="1"/>
    <col min="2330" max="2330" width="8.83203125" style="159" customWidth="1"/>
    <col min="2331" max="2331" width="13.1640625" style="159" customWidth="1"/>
    <col min="2332" max="2336" width="8.83203125" style="159" customWidth="1"/>
    <col min="2337" max="2337" width="13.83203125" style="159" customWidth="1"/>
    <col min="2338" max="2338" width="8.83203125" style="159"/>
    <col min="2339" max="2339" width="13.5" style="159" customWidth="1"/>
    <col min="2340" max="2344" width="8.83203125" style="159"/>
    <col min="2345" max="2345" width="16" style="159" customWidth="1"/>
    <col min="2346" max="2346" width="8.83203125" style="159"/>
    <col min="2347" max="2347" width="12.5" style="159" customWidth="1"/>
    <col min="2348" max="2352" width="8.83203125" style="159"/>
    <col min="2353" max="2353" width="11.83203125" style="159" customWidth="1"/>
    <col min="2354" max="2354" width="8.83203125" style="159"/>
    <col min="2355" max="2355" width="12.5" style="159" customWidth="1"/>
    <col min="2356" max="2360" width="8.83203125" style="159"/>
    <col min="2361" max="2361" width="11.83203125" style="159" customWidth="1"/>
    <col min="2362" max="2362" width="8.83203125" style="159"/>
    <col min="2363" max="2363" width="12.5" style="159" customWidth="1"/>
    <col min="2364" max="2368" width="8.83203125" style="159"/>
    <col min="2369" max="2369" width="11.83203125" style="159" customWidth="1"/>
    <col min="2370" max="2370" width="8.83203125" style="159"/>
    <col min="2371" max="2371" width="12.5" style="159" customWidth="1"/>
    <col min="2372" max="2376" width="8.83203125" style="159"/>
    <col min="2377" max="2377" width="11.83203125" style="159" customWidth="1"/>
    <col min="2378" max="2378" width="8.83203125" style="159"/>
    <col min="2379" max="2379" width="12.5" style="159" customWidth="1"/>
    <col min="2380" max="2384" width="8.83203125" style="159"/>
    <col min="2385" max="2385" width="11.83203125" style="159" customWidth="1"/>
    <col min="2386" max="2386" width="8.83203125" style="159"/>
    <col min="2387" max="2387" width="12.5" style="159" customWidth="1"/>
    <col min="2388" max="2392" width="8.83203125" style="159"/>
    <col min="2393" max="2393" width="11.83203125" style="159" customWidth="1"/>
    <col min="2394" max="2394" width="8.83203125" style="159"/>
    <col min="2395" max="2395" width="12.5" style="159" customWidth="1"/>
    <col min="2396" max="2400" width="8.83203125" style="159"/>
    <col min="2401" max="2401" width="11.83203125" style="159" customWidth="1"/>
    <col min="2402" max="2402" width="8.83203125" style="159"/>
    <col min="2403" max="2403" width="12.5" style="159" customWidth="1"/>
    <col min="2404" max="2408" width="8.83203125" style="159"/>
    <col min="2409" max="2409" width="11.83203125" style="159" customWidth="1"/>
    <col min="2410" max="2560" width="8.83203125" style="159"/>
    <col min="2561" max="2564" width="8.83203125" style="159" customWidth="1"/>
    <col min="2565" max="2570" width="0" style="159" hidden="1" customWidth="1"/>
    <col min="2571" max="2571" width="11.33203125" style="159" customWidth="1"/>
    <col min="2572" max="2576" width="8.83203125" style="159" customWidth="1"/>
    <col min="2577" max="2577" width="12.5" style="159" customWidth="1"/>
    <col min="2578" max="2578" width="8.83203125" style="159" customWidth="1"/>
    <col min="2579" max="2579" width="12.1640625" style="159" customWidth="1"/>
    <col min="2580" max="2580" width="7.6640625" style="159" bestFit="1" customWidth="1"/>
    <col min="2581" max="2584" width="8.83203125" style="159" customWidth="1"/>
    <col min="2585" max="2585" width="12.33203125" style="159" customWidth="1"/>
    <col min="2586" max="2586" width="8.83203125" style="159" customWidth="1"/>
    <col min="2587" max="2587" width="13.1640625" style="159" customWidth="1"/>
    <col min="2588" max="2592" width="8.83203125" style="159" customWidth="1"/>
    <col min="2593" max="2593" width="13.83203125" style="159" customWidth="1"/>
    <col min="2594" max="2594" width="8.83203125" style="159"/>
    <col min="2595" max="2595" width="13.5" style="159" customWidth="1"/>
    <col min="2596" max="2600" width="8.83203125" style="159"/>
    <col min="2601" max="2601" width="16" style="159" customWidth="1"/>
    <col min="2602" max="2602" width="8.83203125" style="159"/>
    <col min="2603" max="2603" width="12.5" style="159" customWidth="1"/>
    <col min="2604" max="2608" width="8.83203125" style="159"/>
    <col min="2609" max="2609" width="11.83203125" style="159" customWidth="1"/>
    <col min="2610" max="2610" width="8.83203125" style="159"/>
    <col min="2611" max="2611" width="12.5" style="159" customWidth="1"/>
    <col min="2612" max="2616" width="8.83203125" style="159"/>
    <col min="2617" max="2617" width="11.83203125" style="159" customWidth="1"/>
    <col min="2618" max="2618" width="8.83203125" style="159"/>
    <col min="2619" max="2619" width="12.5" style="159" customWidth="1"/>
    <col min="2620" max="2624" width="8.83203125" style="159"/>
    <col min="2625" max="2625" width="11.83203125" style="159" customWidth="1"/>
    <col min="2626" max="2626" width="8.83203125" style="159"/>
    <col min="2627" max="2627" width="12.5" style="159" customWidth="1"/>
    <col min="2628" max="2632" width="8.83203125" style="159"/>
    <col min="2633" max="2633" width="11.83203125" style="159" customWidth="1"/>
    <col min="2634" max="2634" width="8.83203125" style="159"/>
    <col min="2635" max="2635" width="12.5" style="159" customWidth="1"/>
    <col min="2636" max="2640" width="8.83203125" style="159"/>
    <col min="2641" max="2641" width="11.83203125" style="159" customWidth="1"/>
    <col min="2642" max="2642" width="8.83203125" style="159"/>
    <col min="2643" max="2643" width="12.5" style="159" customWidth="1"/>
    <col min="2644" max="2648" width="8.83203125" style="159"/>
    <col min="2649" max="2649" width="11.83203125" style="159" customWidth="1"/>
    <col min="2650" max="2650" width="8.83203125" style="159"/>
    <col min="2651" max="2651" width="12.5" style="159" customWidth="1"/>
    <col min="2652" max="2656" width="8.83203125" style="159"/>
    <col min="2657" max="2657" width="11.83203125" style="159" customWidth="1"/>
    <col min="2658" max="2658" width="8.83203125" style="159"/>
    <col min="2659" max="2659" width="12.5" style="159" customWidth="1"/>
    <col min="2660" max="2664" width="8.83203125" style="159"/>
    <col min="2665" max="2665" width="11.83203125" style="159" customWidth="1"/>
    <col min="2666" max="2816" width="8.83203125" style="159"/>
    <col min="2817" max="2820" width="8.83203125" style="159" customWidth="1"/>
    <col min="2821" max="2826" width="0" style="159" hidden="1" customWidth="1"/>
    <col min="2827" max="2827" width="11.33203125" style="159" customWidth="1"/>
    <col min="2828" max="2832" width="8.83203125" style="159" customWidth="1"/>
    <col min="2833" max="2833" width="12.5" style="159" customWidth="1"/>
    <col min="2834" max="2834" width="8.83203125" style="159" customWidth="1"/>
    <col min="2835" max="2835" width="12.1640625" style="159" customWidth="1"/>
    <col min="2836" max="2836" width="7.6640625" style="159" bestFit="1" customWidth="1"/>
    <col min="2837" max="2840" width="8.83203125" style="159" customWidth="1"/>
    <col min="2841" max="2841" width="12.33203125" style="159" customWidth="1"/>
    <col min="2842" max="2842" width="8.83203125" style="159" customWidth="1"/>
    <col min="2843" max="2843" width="13.1640625" style="159" customWidth="1"/>
    <col min="2844" max="2848" width="8.83203125" style="159" customWidth="1"/>
    <col min="2849" max="2849" width="13.83203125" style="159" customWidth="1"/>
    <col min="2850" max="2850" width="8.83203125" style="159"/>
    <col min="2851" max="2851" width="13.5" style="159" customWidth="1"/>
    <col min="2852" max="2856" width="8.83203125" style="159"/>
    <col min="2857" max="2857" width="16" style="159" customWidth="1"/>
    <col min="2858" max="2858" width="8.83203125" style="159"/>
    <col min="2859" max="2859" width="12.5" style="159" customWidth="1"/>
    <col min="2860" max="2864" width="8.83203125" style="159"/>
    <col min="2865" max="2865" width="11.83203125" style="159" customWidth="1"/>
    <col min="2866" max="2866" width="8.83203125" style="159"/>
    <col min="2867" max="2867" width="12.5" style="159" customWidth="1"/>
    <col min="2868" max="2872" width="8.83203125" style="159"/>
    <col min="2873" max="2873" width="11.83203125" style="159" customWidth="1"/>
    <col min="2874" max="2874" width="8.83203125" style="159"/>
    <col min="2875" max="2875" width="12.5" style="159" customWidth="1"/>
    <col min="2876" max="2880" width="8.83203125" style="159"/>
    <col min="2881" max="2881" width="11.83203125" style="159" customWidth="1"/>
    <col min="2882" max="2882" width="8.83203125" style="159"/>
    <col min="2883" max="2883" width="12.5" style="159" customWidth="1"/>
    <col min="2884" max="2888" width="8.83203125" style="159"/>
    <col min="2889" max="2889" width="11.83203125" style="159" customWidth="1"/>
    <col min="2890" max="2890" width="8.83203125" style="159"/>
    <col min="2891" max="2891" width="12.5" style="159" customWidth="1"/>
    <col min="2892" max="2896" width="8.83203125" style="159"/>
    <col min="2897" max="2897" width="11.83203125" style="159" customWidth="1"/>
    <col min="2898" max="2898" width="8.83203125" style="159"/>
    <col min="2899" max="2899" width="12.5" style="159" customWidth="1"/>
    <col min="2900" max="2904" width="8.83203125" style="159"/>
    <col min="2905" max="2905" width="11.83203125" style="159" customWidth="1"/>
    <col min="2906" max="2906" width="8.83203125" style="159"/>
    <col min="2907" max="2907" width="12.5" style="159" customWidth="1"/>
    <col min="2908" max="2912" width="8.83203125" style="159"/>
    <col min="2913" max="2913" width="11.83203125" style="159" customWidth="1"/>
    <col min="2914" max="2914" width="8.83203125" style="159"/>
    <col min="2915" max="2915" width="12.5" style="159" customWidth="1"/>
    <col min="2916" max="2920" width="8.83203125" style="159"/>
    <col min="2921" max="2921" width="11.83203125" style="159" customWidth="1"/>
    <col min="2922" max="3072" width="8.83203125" style="159"/>
    <col min="3073" max="3076" width="8.83203125" style="159" customWidth="1"/>
    <col min="3077" max="3082" width="0" style="159" hidden="1" customWidth="1"/>
    <col min="3083" max="3083" width="11.33203125" style="159" customWidth="1"/>
    <col min="3084" max="3088" width="8.83203125" style="159" customWidth="1"/>
    <col min="3089" max="3089" width="12.5" style="159" customWidth="1"/>
    <col min="3090" max="3090" width="8.83203125" style="159" customWidth="1"/>
    <col min="3091" max="3091" width="12.1640625" style="159" customWidth="1"/>
    <col min="3092" max="3092" width="7.6640625" style="159" bestFit="1" customWidth="1"/>
    <col min="3093" max="3096" width="8.83203125" style="159" customWidth="1"/>
    <col min="3097" max="3097" width="12.33203125" style="159" customWidth="1"/>
    <col min="3098" max="3098" width="8.83203125" style="159" customWidth="1"/>
    <col min="3099" max="3099" width="13.1640625" style="159" customWidth="1"/>
    <col min="3100" max="3104" width="8.83203125" style="159" customWidth="1"/>
    <col min="3105" max="3105" width="13.83203125" style="159" customWidth="1"/>
    <col min="3106" max="3106" width="8.83203125" style="159"/>
    <col min="3107" max="3107" width="13.5" style="159" customWidth="1"/>
    <col min="3108" max="3112" width="8.83203125" style="159"/>
    <col min="3113" max="3113" width="16" style="159" customWidth="1"/>
    <col min="3114" max="3114" width="8.83203125" style="159"/>
    <col min="3115" max="3115" width="12.5" style="159" customWidth="1"/>
    <col min="3116" max="3120" width="8.83203125" style="159"/>
    <col min="3121" max="3121" width="11.83203125" style="159" customWidth="1"/>
    <col min="3122" max="3122" width="8.83203125" style="159"/>
    <col min="3123" max="3123" width="12.5" style="159" customWidth="1"/>
    <col min="3124" max="3128" width="8.83203125" style="159"/>
    <col min="3129" max="3129" width="11.83203125" style="159" customWidth="1"/>
    <col min="3130" max="3130" width="8.83203125" style="159"/>
    <col min="3131" max="3131" width="12.5" style="159" customWidth="1"/>
    <col min="3132" max="3136" width="8.83203125" style="159"/>
    <col min="3137" max="3137" width="11.83203125" style="159" customWidth="1"/>
    <col min="3138" max="3138" width="8.83203125" style="159"/>
    <col min="3139" max="3139" width="12.5" style="159" customWidth="1"/>
    <col min="3140" max="3144" width="8.83203125" style="159"/>
    <col min="3145" max="3145" width="11.83203125" style="159" customWidth="1"/>
    <col min="3146" max="3146" width="8.83203125" style="159"/>
    <col min="3147" max="3147" width="12.5" style="159" customWidth="1"/>
    <col min="3148" max="3152" width="8.83203125" style="159"/>
    <col min="3153" max="3153" width="11.83203125" style="159" customWidth="1"/>
    <col min="3154" max="3154" width="8.83203125" style="159"/>
    <col min="3155" max="3155" width="12.5" style="159" customWidth="1"/>
    <col min="3156" max="3160" width="8.83203125" style="159"/>
    <col min="3161" max="3161" width="11.83203125" style="159" customWidth="1"/>
    <col min="3162" max="3162" width="8.83203125" style="159"/>
    <col min="3163" max="3163" width="12.5" style="159" customWidth="1"/>
    <col min="3164" max="3168" width="8.83203125" style="159"/>
    <col min="3169" max="3169" width="11.83203125" style="159" customWidth="1"/>
    <col min="3170" max="3170" width="8.83203125" style="159"/>
    <col min="3171" max="3171" width="12.5" style="159" customWidth="1"/>
    <col min="3172" max="3176" width="8.83203125" style="159"/>
    <col min="3177" max="3177" width="11.83203125" style="159" customWidth="1"/>
    <col min="3178" max="3328" width="8.83203125" style="159"/>
    <col min="3329" max="3332" width="8.83203125" style="159" customWidth="1"/>
    <col min="3333" max="3338" width="0" style="159" hidden="1" customWidth="1"/>
    <col min="3339" max="3339" width="11.33203125" style="159" customWidth="1"/>
    <col min="3340" max="3344" width="8.83203125" style="159" customWidth="1"/>
    <col min="3345" max="3345" width="12.5" style="159" customWidth="1"/>
    <col min="3346" max="3346" width="8.83203125" style="159" customWidth="1"/>
    <col min="3347" max="3347" width="12.1640625" style="159" customWidth="1"/>
    <col min="3348" max="3348" width="7.6640625" style="159" bestFit="1" customWidth="1"/>
    <col min="3349" max="3352" width="8.83203125" style="159" customWidth="1"/>
    <col min="3353" max="3353" width="12.33203125" style="159" customWidth="1"/>
    <col min="3354" max="3354" width="8.83203125" style="159" customWidth="1"/>
    <col min="3355" max="3355" width="13.1640625" style="159" customWidth="1"/>
    <col min="3356" max="3360" width="8.83203125" style="159" customWidth="1"/>
    <col min="3361" max="3361" width="13.83203125" style="159" customWidth="1"/>
    <col min="3362" max="3362" width="8.83203125" style="159"/>
    <col min="3363" max="3363" width="13.5" style="159" customWidth="1"/>
    <col min="3364" max="3368" width="8.83203125" style="159"/>
    <col min="3369" max="3369" width="16" style="159" customWidth="1"/>
    <col min="3370" max="3370" width="8.83203125" style="159"/>
    <col min="3371" max="3371" width="12.5" style="159" customWidth="1"/>
    <col min="3372" max="3376" width="8.83203125" style="159"/>
    <col min="3377" max="3377" width="11.83203125" style="159" customWidth="1"/>
    <col min="3378" max="3378" width="8.83203125" style="159"/>
    <col min="3379" max="3379" width="12.5" style="159" customWidth="1"/>
    <col min="3380" max="3384" width="8.83203125" style="159"/>
    <col min="3385" max="3385" width="11.83203125" style="159" customWidth="1"/>
    <col min="3386" max="3386" width="8.83203125" style="159"/>
    <col min="3387" max="3387" width="12.5" style="159" customWidth="1"/>
    <col min="3388" max="3392" width="8.83203125" style="159"/>
    <col min="3393" max="3393" width="11.83203125" style="159" customWidth="1"/>
    <col min="3394" max="3394" width="8.83203125" style="159"/>
    <col min="3395" max="3395" width="12.5" style="159" customWidth="1"/>
    <col min="3396" max="3400" width="8.83203125" style="159"/>
    <col min="3401" max="3401" width="11.83203125" style="159" customWidth="1"/>
    <col min="3402" max="3402" width="8.83203125" style="159"/>
    <col min="3403" max="3403" width="12.5" style="159" customWidth="1"/>
    <col min="3404" max="3408" width="8.83203125" style="159"/>
    <col min="3409" max="3409" width="11.83203125" style="159" customWidth="1"/>
    <col min="3410" max="3410" width="8.83203125" style="159"/>
    <col min="3411" max="3411" width="12.5" style="159" customWidth="1"/>
    <col min="3412" max="3416" width="8.83203125" style="159"/>
    <col min="3417" max="3417" width="11.83203125" style="159" customWidth="1"/>
    <col min="3418" max="3418" width="8.83203125" style="159"/>
    <col min="3419" max="3419" width="12.5" style="159" customWidth="1"/>
    <col min="3420" max="3424" width="8.83203125" style="159"/>
    <col min="3425" max="3425" width="11.83203125" style="159" customWidth="1"/>
    <col min="3426" max="3426" width="8.83203125" style="159"/>
    <col min="3427" max="3427" width="12.5" style="159" customWidth="1"/>
    <col min="3428" max="3432" width="8.83203125" style="159"/>
    <col min="3433" max="3433" width="11.83203125" style="159" customWidth="1"/>
    <col min="3434" max="3584" width="8.83203125" style="159"/>
    <col min="3585" max="3588" width="8.83203125" style="159" customWidth="1"/>
    <col min="3589" max="3594" width="0" style="159" hidden="1" customWidth="1"/>
    <col min="3595" max="3595" width="11.33203125" style="159" customWidth="1"/>
    <col min="3596" max="3600" width="8.83203125" style="159" customWidth="1"/>
    <col min="3601" max="3601" width="12.5" style="159" customWidth="1"/>
    <col min="3602" max="3602" width="8.83203125" style="159" customWidth="1"/>
    <col min="3603" max="3603" width="12.1640625" style="159" customWidth="1"/>
    <col min="3604" max="3604" width="7.6640625" style="159" bestFit="1" customWidth="1"/>
    <col min="3605" max="3608" width="8.83203125" style="159" customWidth="1"/>
    <col min="3609" max="3609" width="12.33203125" style="159" customWidth="1"/>
    <col min="3610" max="3610" width="8.83203125" style="159" customWidth="1"/>
    <col min="3611" max="3611" width="13.1640625" style="159" customWidth="1"/>
    <col min="3612" max="3616" width="8.83203125" style="159" customWidth="1"/>
    <col min="3617" max="3617" width="13.83203125" style="159" customWidth="1"/>
    <col min="3618" max="3618" width="8.83203125" style="159"/>
    <col min="3619" max="3619" width="13.5" style="159" customWidth="1"/>
    <col min="3620" max="3624" width="8.83203125" style="159"/>
    <col min="3625" max="3625" width="16" style="159" customWidth="1"/>
    <col min="3626" max="3626" width="8.83203125" style="159"/>
    <col min="3627" max="3627" width="12.5" style="159" customWidth="1"/>
    <col min="3628" max="3632" width="8.83203125" style="159"/>
    <col min="3633" max="3633" width="11.83203125" style="159" customWidth="1"/>
    <col min="3634" max="3634" width="8.83203125" style="159"/>
    <col min="3635" max="3635" width="12.5" style="159" customWidth="1"/>
    <col min="3636" max="3640" width="8.83203125" style="159"/>
    <col min="3641" max="3641" width="11.83203125" style="159" customWidth="1"/>
    <col min="3642" max="3642" width="8.83203125" style="159"/>
    <col min="3643" max="3643" width="12.5" style="159" customWidth="1"/>
    <col min="3644" max="3648" width="8.83203125" style="159"/>
    <col min="3649" max="3649" width="11.83203125" style="159" customWidth="1"/>
    <col min="3650" max="3650" width="8.83203125" style="159"/>
    <col min="3651" max="3651" width="12.5" style="159" customWidth="1"/>
    <col min="3652" max="3656" width="8.83203125" style="159"/>
    <col min="3657" max="3657" width="11.83203125" style="159" customWidth="1"/>
    <col min="3658" max="3658" width="8.83203125" style="159"/>
    <col min="3659" max="3659" width="12.5" style="159" customWidth="1"/>
    <col min="3660" max="3664" width="8.83203125" style="159"/>
    <col min="3665" max="3665" width="11.83203125" style="159" customWidth="1"/>
    <col min="3666" max="3666" width="8.83203125" style="159"/>
    <col min="3667" max="3667" width="12.5" style="159" customWidth="1"/>
    <col min="3668" max="3672" width="8.83203125" style="159"/>
    <col min="3673" max="3673" width="11.83203125" style="159" customWidth="1"/>
    <col min="3674" max="3674" width="8.83203125" style="159"/>
    <col min="3675" max="3675" width="12.5" style="159" customWidth="1"/>
    <col min="3676" max="3680" width="8.83203125" style="159"/>
    <col min="3681" max="3681" width="11.83203125" style="159" customWidth="1"/>
    <col min="3682" max="3682" width="8.83203125" style="159"/>
    <col min="3683" max="3683" width="12.5" style="159" customWidth="1"/>
    <col min="3684" max="3688" width="8.83203125" style="159"/>
    <col min="3689" max="3689" width="11.83203125" style="159" customWidth="1"/>
    <col min="3690" max="3840" width="8.83203125" style="159"/>
    <col min="3841" max="3844" width="8.83203125" style="159" customWidth="1"/>
    <col min="3845" max="3850" width="0" style="159" hidden="1" customWidth="1"/>
    <col min="3851" max="3851" width="11.33203125" style="159" customWidth="1"/>
    <col min="3852" max="3856" width="8.83203125" style="159" customWidth="1"/>
    <col min="3857" max="3857" width="12.5" style="159" customWidth="1"/>
    <col min="3858" max="3858" width="8.83203125" style="159" customWidth="1"/>
    <col min="3859" max="3859" width="12.1640625" style="159" customWidth="1"/>
    <col min="3860" max="3860" width="7.6640625" style="159" bestFit="1" customWidth="1"/>
    <col min="3861" max="3864" width="8.83203125" style="159" customWidth="1"/>
    <col min="3865" max="3865" width="12.33203125" style="159" customWidth="1"/>
    <col min="3866" max="3866" width="8.83203125" style="159" customWidth="1"/>
    <col min="3867" max="3867" width="13.1640625" style="159" customWidth="1"/>
    <col min="3868" max="3872" width="8.83203125" style="159" customWidth="1"/>
    <col min="3873" max="3873" width="13.83203125" style="159" customWidth="1"/>
    <col min="3874" max="3874" width="8.83203125" style="159"/>
    <col min="3875" max="3875" width="13.5" style="159" customWidth="1"/>
    <col min="3876" max="3880" width="8.83203125" style="159"/>
    <col min="3881" max="3881" width="16" style="159" customWidth="1"/>
    <col min="3882" max="3882" width="8.83203125" style="159"/>
    <col min="3883" max="3883" width="12.5" style="159" customWidth="1"/>
    <col min="3884" max="3888" width="8.83203125" style="159"/>
    <col min="3889" max="3889" width="11.83203125" style="159" customWidth="1"/>
    <col min="3890" max="3890" width="8.83203125" style="159"/>
    <col min="3891" max="3891" width="12.5" style="159" customWidth="1"/>
    <col min="3892" max="3896" width="8.83203125" style="159"/>
    <col min="3897" max="3897" width="11.83203125" style="159" customWidth="1"/>
    <col min="3898" max="3898" width="8.83203125" style="159"/>
    <col min="3899" max="3899" width="12.5" style="159" customWidth="1"/>
    <col min="3900" max="3904" width="8.83203125" style="159"/>
    <col min="3905" max="3905" width="11.83203125" style="159" customWidth="1"/>
    <col min="3906" max="3906" width="8.83203125" style="159"/>
    <col min="3907" max="3907" width="12.5" style="159" customWidth="1"/>
    <col min="3908" max="3912" width="8.83203125" style="159"/>
    <col min="3913" max="3913" width="11.83203125" style="159" customWidth="1"/>
    <col min="3914" max="3914" width="8.83203125" style="159"/>
    <col min="3915" max="3915" width="12.5" style="159" customWidth="1"/>
    <col min="3916" max="3920" width="8.83203125" style="159"/>
    <col min="3921" max="3921" width="11.83203125" style="159" customWidth="1"/>
    <col min="3922" max="3922" width="8.83203125" style="159"/>
    <col min="3923" max="3923" width="12.5" style="159" customWidth="1"/>
    <col min="3924" max="3928" width="8.83203125" style="159"/>
    <col min="3929" max="3929" width="11.83203125" style="159" customWidth="1"/>
    <col min="3930" max="3930" width="8.83203125" style="159"/>
    <col min="3931" max="3931" width="12.5" style="159" customWidth="1"/>
    <col min="3932" max="3936" width="8.83203125" style="159"/>
    <col min="3937" max="3937" width="11.83203125" style="159" customWidth="1"/>
    <col min="3938" max="3938" width="8.83203125" style="159"/>
    <col min="3939" max="3939" width="12.5" style="159" customWidth="1"/>
    <col min="3940" max="3944" width="8.83203125" style="159"/>
    <col min="3945" max="3945" width="11.83203125" style="159" customWidth="1"/>
    <col min="3946" max="4096" width="8.83203125" style="159"/>
    <col min="4097" max="4100" width="8.83203125" style="159" customWidth="1"/>
    <col min="4101" max="4106" width="0" style="159" hidden="1" customWidth="1"/>
    <col min="4107" max="4107" width="11.33203125" style="159" customWidth="1"/>
    <col min="4108" max="4112" width="8.83203125" style="159" customWidth="1"/>
    <col min="4113" max="4113" width="12.5" style="159" customWidth="1"/>
    <col min="4114" max="4114" width="8.83203125" style="159" customWidth="1"/>
    <col min="4115" max="4115" width="12.1640625" style="159" customWidth="1"/>
    <col min="4116" max="4116" width="7.6640625" style="159" bestFit="1" customWidth="1"/>
    <col min="4117" max="4120" width="8.83203125" style="159" customWidth="1"/>
    <col min="4121" max="4121" width="12.33203125" style="159" customWidth="1"/>
    <col min="4122" max="4122" width="8.83203125" style="159" customWidth="1"/>
    <col min="4123" max="4123" width="13.1640625" style="159" customWidth="1"/>
    <col min="4124" max="4128" width="8.83203125" style="159" customWidth="1"/>
    <col min="4129" max="4129" width="13.83203125" style="159" customWidth="1"/>
    <col min="4130" max="4130" width="8.83203125" style="159"/>
    <col min="4131" max="4131" width="13.5" style="159" customWidth="1"/>
    <col min="4132" max="4136" width="8.83203125" style="159"/>
    <col min="4137" max="4137" width="16" style="159" customWidth="1"/>
    <col min="4138" max="4138" width="8.83203125" style="159"/>
    <col min="4139" max="4139" width="12.5" style="159" customWidth="1"/>
    <col min="4140" max="4144" width="8.83203125" style="159"/>
    <col min="4145" max="4145" width="11.83203125" style="159" customWidth="1"/>
    <col min="4146" max="4146" width="8.83203125" style="159"/>
    <col min="4147" max="4147" width="12.5" style="159" customWidth="1"/>
    <col min="4148" max="4152" width="8.83203125" style="159"/>
    <col min="4153" max="4153" width="11.83203125" style="159" customWidth="1"/>
    <col min="4154" max="4154" width="8.83203125" style="159"/>
    <col min="4155" max="4155" width="12.5" style="159" customWidth="1"/>
    <col min="4156" max="4160" width="8.83203125" style="159"/>
    <col min="4161" max="4161" width="11.83203125" style="159" customWidth="1"/>
    <col min="4162" max="4162" width="8.83203125" style="159"/>
    <col min="4163" max="4163" width="12.5" style="159" customWidth="1"/>
    <col min="4164" max="4168" width="8.83203125" style="159"/>
    <col min="4169" max="4169" width="11.83203125" style="159" customWidth="1"/>
    <col min="4170" max="4170" width="8.83203125" style="159"/>
    <col min="4171" max="4171" width="12.5" style="159" customWidth="1"/>
    <col min="4172" max="4176" width="8.83203125" style="159"/>
    <col min="4177" max="4177" width="11.83203125" style="159" customWidth="1"/>
    <col min="4178" max="4178" width="8.83203125" style="159"/>
    <col min="4179" max="4179" width="12.5" style="159" customWidth="1"/>
    <col min="4180" max="4184" width="8.83203125" style="159"/>
    <col min="4185" max="4185" width="11.83203125" style="159" customWidth="1"/>
    <col min="4186" max="4186" width="8.83203125" style="159"/>
    <col min="4187" max="4187" width="12.5" style="159" customWidth="1"/>
    <col min="4188" max="4192" width="8.83203125" style="159"/>
    <col min="4193" max="4193" width="11.83203125" style="159" customWidth="1"/>
    <col min="4194" max="4194" width="8.83203125" style="159"/>
    <col min="4195" max="4195" width="12.5" style="159" customWidth="1"/>
    <col min="4196" max="4200" width="8.83203125" style="159"/>
    <col min="4201" max="4201" width="11.83203125" style="159" customWidth="1"/>
    <col min="4202" max="4352" width="8.83203125" style="159"/>
    <col min="4353" max="4356" width="8.83203125" style="159" customWidth="1"/>
    <col min="4357" max="4362" width="0" style="159" hidden="1" customWidth="1"/>
    <col min="4363" max="4363" width="11.33203125" style="159" customWidth="1"/>
    <col min="4364" max="4368" width="8.83203125" style="159" customWidth="1"/>
    <col min="4369" max="4369" width="12.5" style="159" customWidth="1"/>
    <col min="4370" max="4370" width="8.83203125" style="159" customWidth="1"/>
    <col min="4371" max="4371" width="12.1640625" style="159" customWidth="1"/>
    <col min="4372" max="4372" width="7.6640625" style="159" bestFit="1" customWidth="1"/>
    <col min="4373" max="4376" width="8.83203125" style="159" customWidth="1"/>
    <col min="4377" max="4377" width="12.33203125" style="159" customWidth="1"/>
    <col min="4378" max="4378" width="8.83203125" style="159" customWidth="1"/>
    <col min="4379" max="4379" width="13.1640625" style="159" customWidth="1"/>
    <col min="4380" max="4384" width="8.83203125" style="159" customWidth="1"/>
    <col min="4385" max="4385" width="13.83203125" style="159" customWidth="1"/>
    <col min="4386" max="4386" width="8.83203125" style="159"/>
    <col min="4387" max="4387" width="13.5" style="159" customWidth="1"/>
    <col min="4388" max="4392" width="8.83203125" style="159"/>
    <col min="4393" max="4393" width="16" style="159" customWidth="1"/>
    <col min="4394" max="4394" width="8.83203125" style="159"/>
    <col min="4395" max="4395" width="12.5" style="159" customWidth="1"/>
    <col min="4396" max="4400" width="8.83203125" style="159"/>
    <col min="4401" max="4401" width="11.83203125" style="159" customWidth="1"/>
    <col min="4402" max="4402" width="8.83203125" style="159"/>
    <col min="4403" max="4403" width="12.5" style="159" customWidth="1"/>
    <col min="4404" max="4408" width="8.83203125" style="159"/>
    <col min="4409" max="4409" width="11.83203125" style="159" customWidth="1"/>
    <col min="4410" max="4410" width="8.83203125" style="159"/>
    <col min="4411" max="4411" width="12.5" style="159" customWidth="1"/>
    <col min="4412" max="4416" width="8.83203125" style="159"/>
    <col min="4417" max="4417" width="11.83203125" style="159" customWidth="1"/>
    <col min="4418" max="4418" width="8.83203125" style="159"/>
    <col min="4419" max="4419" width="12.5" style="159" customWidth="1"/>
    <col min="4420" max="4424" width="8.83203125" style="159"/>
    <col min="4425" max="4425" width="11.83203125" style="159" customWidth="1"/>
    <col min="4426" max="4426" width="8.83203125" style="159"/>
    <col min="4427" max="4427" width="12.5" style="159" customWidth="1"/>
    <col min="4428" max="4432" width="8.83203125" style="159"/>
    <col min="4433" max="4433" width="11.83203125" style="159" customWidth="1"/>
    <col min="4434" max="4434" width="8.83203125" style="159"/>
    <col min="4435" max="4435" width="12.5" style="159" customWidth="1"/>
    <col min="4436" max="4440" width="8.83203125" style="159"/>
    <col min="4441" max="4441" width="11.83203125" style="159" customWidth="1"/>
    <col min="4442" max="4442" width="8.83203125" style="159"/>
    <col min="4443" max="4443" width="12.5" style="159" customWidth="1"/>
    <col min="4444" max="4448" width="8.83203125" style="159"/>
    <col min="4449" max="4449" width="11.83203125" style="159" customWidth="1"/>
    <col min="4450" max="4450" width="8.83203125" style="159"/>
    <col min="4451" max="4451" width="12.5" style="159" customWidth="1"/>
    <col min="4452" max="4456" width="8.83203125" style="159"/>
    <col min="4457" max="4457" width="11.83203125" style="159" customWidth="1"/>
    <col min="4458" max="4608" width="8.83203125" style="159"/>
    <col min="4609" max="4612" width="8.83203125" style="159" customWidth="1"/>
    <col min="4613" max="4618" width="0" style="159" hidden="1" customWidth="1"/>
    <col min="4619" max="4619" width="11.33203125" style="159" customWidth="1"/>
    <col min="4620" max="4624" width="8.83203125" style="159" customWidth="1"/>
    <col min="4625" max="4625" width="12.5" style="159" customWidth="1"/>
    <col min="4626" max="4626" width="8.83203125" style="159" customWidth="1"/>
    <col min="4627" max="4627" width="12.1640625" style="159" customWidth="1"/>
    <col min="4628" max="4628" width="7.6640625" style="159" bestFit="1" customWidth="1"/>
    <col min="4629" max="4632" width="8.83203125" style="159" customWidth="1"/>
    <col min="4633" max="4633" width="12.33203125" style="159" customWidth="1"/>
    <col min="4634" max="4634" width="8.83203125" style="159" customWidth="1"/>
    <col min="4635" max="4635" width="13.1640625" style="159" customWidth="1"/>
    <col min="4636" max="4640" width="8.83203125" style="159" customWidth="1"/>
    <col min="4641" max="4641" width="13.83203125" style="159" customWidth="1"/>
    <col min="4642" max="4642" width="8.83203125" style="159"/>
    <col min="4643" max="4643" width="13.5" style="159" customWidth="1"/>
    <col min="4644" max="4648" width="8.83203125" style="159"/>
    <col min="4649" max="4649" width="16" style="159" customWidth="1"/>
    <col min="4650" max="4650" width="8.83203125" style="159"/>
    <col min="4651" max="4651" width="12.5" style="159" customWidth="1"/>
    <col min="4652" max="4656" width="8.83203125" style="159"/>
    <col min="4657" max="4657" width="11.83203125" style="159" customWidth="1"/>
    <col min="4658" max="4658" width="8.83203125" style="159"/>
    <col min="4659" max="4659" width="12.5" style="159" customWidth="1"/>
    <col min="4660" max="4664" width="8.83203125" style="159"/>
    <col min="4665" max="4665" width="11.83203125" style="159" customWidth="1"/>
    <col min="4666" max="4666" width="8.83203125" style="159"/>
    <col min="4667" max="4667" width="12.5" style="159" customWidth="1"/>
    <col min="4668" max="4672" width="8.83203125" style="159"/>
    <col min="4673" max="4673" width="11.83203125" style="159" customWidth="1"/>
    <col min="4674" max="4674" width="8.83203125" style="159"/>
    <col min="4675" max="4675" width="12.5" style="159" customWidth="1"/>
    <col min="4676" max="4680" width="8.83203125" style="159"/>
    <col min="4681" max="4681" width="11.83203125" style="159" customWidth="1"/>
    <col min="4682" max="4682" width="8.83203125" style="159"/>
    <col min="4683" max="4683" width="12.5" style="159" customWidth="1"/>
    <col min="4684" max="4688" width="8.83203125" style="159"/>
    <col min="4689" max="4689" width="11.83203125" style="159" customWidth="1"/>
    <col min="4690" max="4690" width="8.83203125" style="159"/>
    <col min="4691" max="4691" width="12.5" style="159" customWidth="1"/>
    <col min="4692" max="4696" width="8.83203125" style="159"/>
    <col min="4697" max="4697" width="11.83203125" style="159" customWidth="1"/>
    <col min="4698" max="4698" width="8.83203125" style="159"/>
    <col min="4699" max="4699" width="12.5" style="159" customWidth="1"/>
    <col min="4700" max="4704" width="8.83203125" style="159"/>
    <col min="4705" max="4705" width="11.83203125" style="159" customWidth="1"/>
    <col min="4706" max="4706" width="8.83203125" style="159"/>
    <col min="4707" max="4707" width="12.5" style="159" customWidth="1"/>
    <col min="4708" max="4712" width="8.83203125" style="159"/>
    <col min="4713" max="4713" width="11.83203125" style="159" customWidth="1"/>
    <col min="4714" max="4864" width="8.83203125" style="159"/>
    <col min="4865" max="4868" width="8.83203125" style="159" customWidth="1"/>
    <col min="4869" max="4874" width="0" style="159" hidden="1" customWidth="1"/>
    <col min="4875" max="4875" width="11.33203125" style="159" customWidth="1"/>
    <col min="4876" max="4880" width="8.83203125" style="159" customWidth="1"/>
    <col min="4881" max="4881" width="12.5" style="159" customWidth="1"/>
    <col min="4882" max="4882" width="8.83203125" style="159" customWidth="1"/>
    <col min="4883" max="4883" width="12.1640625" style="159" customWidth="1"/>
    <col min="4884" max="4884" width="7.6640625" style="159" bestFit="1" customWidth="1"/>
    <col min="4885" max="4888" width="8.83203125" style="159" customWidth="1"/>
    <col min="4889" max="4889" width="12.33203125" style="159" customWidth="1"/>
    <col min="4890" max="4890" width="8.83203125" style="159" customWidth="1"/>
    <col min="4891" max="4891" width="13.1640625" style="159" customWidth="1"/>
    <col min="4892" max="4896" width="8.83203125" style="159" customWidth="1"/>
    <col min="4897" max="4897" width="13.83203125" style="159" customWidth="1"/>
    <col min="4898" max="4898" width="8.83203125" style="159"/>
    <col min="4899" max="4899" width="13.5" style="159" customWidth="1"/>
    <col min="4900" max="4904" width="8.83203125" style="159"/>
    <col min="4905" max="4905" width="16" style="159" customWidth="1"/>
    <col min="4906" max="4906" width="8.83203125" style="159"/>
    <col min="4907" max="4907" width="12.5" style="159" customWidth="1"/>
    <col min="4908" max="4912" width="8.83203125" style="159"/>
    <col min="4913" max="4913" width="11.83203125" style="159" customWidth="1"/>
    <col min="4914" max="4914" width="8.83203125" style="159"/>
    <col min="4915" max="4915" width="12.5" style="159" customWidth="1"/>
    <col min="4916" max="4920" width="8.83203125" style="159"/>
    <col min="4921" max="4921" width="11.83203125" style="159" customWidth="1"/>
    <col min="4922" max="4922" width="8.83203125" style="159"/>
    <col min="4923" max="4923" width="12.5" style="159" customWidth="1"/>
    <col min="4924" max="4928" width="8.83203125" style="159"/>
    <col min="4929" max="4929" width="11.83203125" style="159" customWidth="1"/>
    <col min="4930" max="4930" width="8.83203125" style="159"/>
    <col min="4931" max="4931" width="12.5" style="159" customWidth="1"/>
    <col min="4932" max="4936" width="8.83203125" style="159"/>
    <col min="4937" max="4937" width="11.83203125" style="159" customWidth="1"/>
    <col min="4938" max="4938" width="8.83203125" style="159"/>
    <col min="4939" max="4939" width="12.5" style="159" customWidth="1"/>
    <col min="4940" max="4944" width="8.83203125" style="159"/>
    <col min="4945" max="4945" width="11.83203125" style="159" customWidth="1"/>
    <col min="4946" max="4946" width="8.83203125" style="159"/>
    <col min="4947" max="4947" width="12.5" style="159" customWidth="1"/>
    <col min="4948" max="4952" width="8.83203125" style="159"/>
    <col min="4953" max="4953" width="11.83203125" style="159" customWidth="1"/>
    <col min="4954" max="4954" width="8.83203125" style="159"/>
    <col min="4955" max="4955" width="12.5" style="159" customWidth="1"/>
    <col min="4956" max="4960" width="8.83203125" style="159"/>
    <col min="4961" max="4961" width="11.83203125" style="159" customWidth="1"/>
    <col min="4962" max="4962" width="8.83203125" style="159"/>
    <col min="4963" max="4963" width="12.5" style="159" customWidth="1"/>
    <col min="4964" max="4968" width="8.83203125" style="159"/>
    <col min="4969" max="4969" width="11.83203125" style="159" customWidth="1"/>
    <col min="4970" max="5120" width="8.83203125" style="159"/>
    <col min="5121" max="5124" width="8.83203125" style="159" customWidth="1"/>
    <col min="5125" max="5130" width="0" style="159" hidden="1" customWidth="1"/>
    <col min="5131" max="5131" width="11.33203125" style="159" customWidth="1"/>
    <col min="5132" max="5136" width="8.83203125" style="159" customWidth="1"/>
    <col min="5137" max="5137" width="12.5" style="159" customWidth="1"/>
    <col min="5138" max="5138" width="8.83203125" style="159" customWidth="1"/>
    <col min="5139" max="5139" width="12.1640625" style="159" customWidth="1"/>
    <col min="5140" max="5140" width="7.6640625" style="159" bestFit="1" customWidth="1"/>
    <col min="5141" max="5144" width="8.83203125" style="159" customWidth="1"/>
    <col min="5145" max="5145" width="12.33203125" style="159" customWidth="1"/>
    <col min="5146" max="5146" width="8.83203125" style="159" customWidth="1"/>
    <col min="5147" max="5147" width="13.1640625" style="159" customWidth="1"/>
    <col min="5148" max="5152" width="8.83203125" style="159" customWidth="1"/>
    <col min="5153" max="5153" width="13.83203125" style="159" customWidth="1"/>
    <col min="5154" max="5154" width="8.83203125" style="159"/>
    <col min="5155" max="5155" width="13.5" style="159" customWidth="1"/>
    <col min="5156" max="5160" width="8.83203125" style="159"/>
    <col min="5161" max="5161" width="16" style="159" customWidth="1"/>
    <col min="5162" max="5162" width="8.83203125" style="159"/>
    <col min="5163" max="5163" width="12.5" style="159" customWidth="1"/>
    <col min="5164" max="5168" width="8.83203125" style="159"/>
    <col min="5169" max="5169" width="11.83203125" style="159" customWidth="1"/>
    <col min="5170" max="5170" width="8.83203125" style="159"/>
    <col min="5171" max="5171" width="12.5" style="159" customWidth="1"/>
    <col min="5172" max="5176" width="8.83203125" style="159"/>
    <col min="5177" max="5177" width="11.83203125" style="159" customWidth="1"/>
    <col min="5178" max="5178" width="8.83203125" style="159"/>
    <col min="5179" max="5179" width="12.5" style="159" customWidth="1"/>
    <col min="5180" max="5184" width="8.83203125" style="159"/>
    <col min="5185" max="5185" width="11.83203125" style="159" customWidth="1"/>
    <col min="5186" max="5186" width="8.83203125" style="159"/>
    <col min="5187" max="5187" width="12.5" style="159" customWidth="1"/>
    <col min="5188" max="5192" width="8.83203125" style="159"/>
    <col min="5193" max="5193" width="11.83203125" style="159" customWidth="1"/>
    <col min="5194" max="5194" width="8.83203125" style="159"/>
    <col min="5195" max="5195" width="12.5" style="159" customWidth="1"/>
    <col min="5196" max="5200" width="8.83203125" style="159"/>
    <col min="5201" max="5201" width="11.83203125" style="159" customWidth="1"/>
    <col min="5202" max="5202" width="8.83203125" style="159"/>
    <col min="5203" max="5203" width="12.5" style="159" customWidth="1"/>
    <col min="5204" max="5208" width="8.83203125" style="159"/>
    <col min="5209" max="5209" width="11.83203125" style="159" customWidth="1"/>
    <col min="5210" max="5210" width="8.83203125" style="159"/>
    <col min="5211" max="5211" width="12.5" style="159" customWidth="1"/>
    <col min="5212" max="5216" width="8.83203125" style="159"/>
    <col min="5217" max="5217" width="11.83203125" style="159" customWidth="1"/>
    <col min="5218" max="5218" width="8.83203125" style="159"/>
    <col min="5219" max="5219" width="12.5" style="159" customWidth="1"/>
    <col min="5220" max="5224" width="8.83203125" style="159"/>
    <col min="5225" max="5225" width="11.83203125" style="159" customWidth="1"/>
    <col min="5226" max="5376" width="8.83203125" style="159"/>
    <col min="5377" max="5380" width="8.83203125" style="159" customWidth="1"/>
    <col min="5381" max="5386" width="0" style="159" hidden="1" customWidth="1"/>
    <col min="5387" max="5387" width="11.33203125" style="159" customWidth="1"/>
    <col min="5388" max="5392" width="8.83203125" style="159" customWidth="1"/>
    <col min="5393" max="5393" width="12.5" style="159" customWidth="1"/>
    <col min="5394" max="5394" width="8.83203125" style="159" customWidth="1"/>
    <col min="5395" max="5395" width="12.1640625" style="159" customWidth="1"/>
    <col min="5396" max="5396" width="7.6640625" style="159" bestFit="1" customWidth="1"/>
    <col min="5397" max="5400" width="8.83203125" style="159" customWidth="1"/>
    <col min="5401" max="5401" width="12.33203125" style="159" customWidth="1"/>
    <col min="5402" max="5402" width="8.83203125" style="159" customWidth="1"/>
    <col min="5403" max="5403" width="13.1640625" style="159" customWidth="1"/>
    <col min="5404" max="5408" width="8.83203125" style="159" customWidth="1"/>
    <col min="5409" max="5409" width="13.83203125" style="159" customWidth="1"/>
    <col min="5410" max="5410" width="8.83203125" style="159"/>
    <col min="5411" max="5411" width="13.5" style="159" customWidth="1"/>
    <col min="5412" max="5416" width="8.83203125" style="159"/>
    <col min="5417" max="5417" width="16" style="159" customWidth="1"/>
    <col min="5418" max="5418" width="8.83203125" style="159"/>
    <col min="5419" max="5419" width="12.5" style="159" customWidth="1"/>
    <col min="5420" max="5424" width="8.83203125" style="159"/>
    <col min="5425" max="5425" width="11.83203125" style="159" customWidth="1"/>
    <col min="5426" max="5426" width="8.83203125" style="159"/>
    <col min="5427" max="5427" width="12.5" style="159" customWidth="1"/>
    <col min="5428" max="5432" width="8.83203125" style="159"/>
    <col min="5433" max="5433" width="11.83203125" style="159" customWidth="1"/>
    <col min="5434" max="5434" width="8.83203125" style="159"/>
    <col min="5435" max="5435" width="12.5" style="159" customWidth="1"/>
    <col min="5436" max="5440" width="8.83203125" style="159"/>
    <col min="5441" max="5441" width="11.83203125" style="159" customWidth="1"/>
    <col min="5442" max="5442" width="8.83203125" style="159"/>
    <col min="5443" max="5443" width="12.5" style="159" customWidth="1"/>
    <col min="5444" max="5448" width="8.83203125" style="159"/>
    <col min="5449" max="5449" width="11.83203125" style="159" customWidth="1"/>
    <col min="5450" max="5450" width="8.83203125" style="159"/>
    <col min="5451" max="5451" width="12.5" style="159" customWidth="1"/>
    <col min="5452" max="5456" width="8.83203125" style="159"/>
    <col min="5457" max="5457" width="11.83203125" style="159" customWidth="1"/>
    <col min="5458" max="5458" width="8.83203125" style="159"/>
    <col min="5459" max="5459" width="12.5" style="159" customWidth="1"/>
    <col min="5460" max="5464" width="8.83203125" style="159"/>
    <col min="5465" max="5465" width="11.83203125" style="159" customWidth="1"/>
    <col min="5466" max="5466" width="8.83203125" style="159"/>
    <col min="5467" max="5467" width="12.5" style="159" customWidth="1"/>
    <col min="5468" max="5472" width="8.83203125" style="159"/>
    <col min="5473" max="5473" width="11.83203125" style="159" customWidth="1"/>
    <col min="5474" max="5474" width="8.83203125" style="159"/>
    <col min="5475" max="5475" width="12.5" style="159" customWidth="1"/>
    <col min="5476" max="5480" width="8.83203125" style="159"/>
    <col min="5481" max="5481" width="11.83203125" style="159" customWidth="1"/>
    <col min="5482" max="5632" width="8.83203125" style="159"/>
    <col min="5633" max="5636" width="8.83203125" style="159" customWidth="1"/>
    <col min="5637" max="5642" width="0" style="159" hidden="1" customWidth="1"/>
    <col min="5643" max="5643" width="11.33203125" style="159" customWidth="1"/>
    <col min="5644" max="5648" width="8.83203125" style="159" customWidth="1"/>
    <col min="5649" max="5649" width="12.5" style="159" customWidth="1"/>
    <col min="5650" max="5650" width="8.83203125" style="159" customWidth="1"/>
    <col min="5651" max="5651" width="12.1640625" style="159" customWidth="1"/>
    <col min="5652" max="5652" width="7.6640625" style="159" bestFit="1" customWidth="1"/>
    <col min="5653" max="5656" width="8.83203125" style="159" customWidth="1"/>
    <col min="5657" max="5657" width="12.33203125" style="159" customWidth="1"/>
    <col min="5658" max="5658" width="8.83203125" style="159" customWidth="1"/>
    <col min="5659" max="5659" width="13.1640625" style="159" customWidth="1"/>
    <col min="5660" max="5664" width="8.83203125" style="159" customWidth="1"/>
    <col min="5665" max="5665" width="13.83203125" style="159" customWidth="1"/>
    <col min="5666" max="5666" width="8.83203125" style="159"/>
    <col min="5667" max="5667" width="13.5" style="159" customWidth="1"/>
    <col min="5668" max="5672" width="8.83203125" style="159"/>
    <col min="5673" max="5673" width="16" style="159" customWidth="1"/>
    <col min="5674" max="5674" width="8.83203125" style="159"/>
    <col min="5675" max="5675" width="12.5" style="159" customWidth="1"/>
    <col min="5676" max="5680" width="8.83203125" style="159"/>
    <col min="5681" max="5681" width="11.83203125" style="159" customWidth="1"/>
    <col min="5682" max="5682" width="8.83203125" style="159"/>
    <col min="5683" max="5683" width="12.5" style="159" customWidth="1"/>
    <col min="5684" max="5688" width="8.83203125" style="159"/>
    <col min="5689" max="5689" width="11.83203125" style="159" customWidth="1"/>
    <col min="5690" max="5690" width="8.83203125" style="159"/>
    <col min="5691" max="5691" width="12.5" style="159" customWidth="1"/>
    <col min="5692" max="5696" width="8.83203125" style="159"/>
    <col min="5697" max="5697" width="11.83203125" style="159" customWidth="1"/>
    <col min="5698" max="5698" width="8.83203125" style="159"/>
    <col min="5699" max="5699" width="12.5" style="159" customWidth="1"/>
    <col min="5700" max="5704" width="8.83203125" style="159"/>
    <col min="5705" max="5705" width="11.83203125" style="159" customWidth="1"/>
    <col min="5706" max="5706" width="8.83203125" style="159"/>
    <col min="5707" max="5707" width="12.5" style="159" customWidth="1"/>
    <col min="5708" max="5712" width="8.83203125" style="159"/>
    <col min="5713" max="5713" width="11.83203125" style="159" customWidth="1"/>
    <col min="5714" max="5714" width="8.83203125" style="159"/>
    <col min="5715" max="5715" width="12.5" style="159" customWidth="1"/>
    <col min="5716" max="5720" width="8.83203125" style="159"/>
    <col min="5721" max="5721" width="11.83203125" style="159" customWidth="1"/>
    <col min="5722" max="5722" width="8.83203125" style="159"/>
    <col min="5723" max="5723" width="12.5" style="159" customWidth="1"/>
    <col min="5724" max="5728" width="8.83203125" style="159"/>
    <col min="5729" max="5729" width="11.83203125" style="159" customWidth="1"/>
    <col min="5730" max="5730" width="8.83203125" style="159"/>
    <col min="5731" max="5731" width="12.5" style="159" customWidth="1"/>
    <col min="5732" max="5736" width="8.83203125" style="159"/>
    <col min="5737" max="5737" width="11.83203125" style="159" customWidth="1"/>
    <col min="5738" max="5888" width="8.83203125" style="159"/>
    <col min="5889" max="5892" width="8.83203125" style="159" customWidth="1"/>
    <col min="5893" max="5898" width="0" style="159" hidden="1" customWidth="1"/>
    <col min="5899" max="5899" width="11.33203125" style="159" customWidth="1"/>
    <col min="5900" max="5904" width="8.83203125" style="159" customWidth="1"/>
    <col min="5905" max="5905" width="12.5" style="159" customWidth="1"/>
    <col min="5906" max="5906" width="8.83203125" style="159" customWidth="1"/>
    <col min="5907" max="5907" width="12.1640625" style="159" customWidth="1"/>
    <col min="5908" max="5908" width="7.6640625" style="159" bestFit="1" customWidth="1"/>
    <col min="5909" max="5912" width="8.83203125" style="159" customWidth="1"/>
    <col min="5913" max="5913" width="12.33203125" style="159" customWidth="1"/>
    <col min="5914" max="5914" width="8.83203125" style="159" customWidth="1"/>
    <col min="5915" max="5915" width="13.1640625" style="159" customWidth="1"/>
    <col min="5916" max="5920" width="8.83203125" style="159" customWidth="1"/>
    <col min="5921" max="5921" width="13.83203125" style="159" customWidth="1"/>
    <col min="5922" max="5922" width="8.83203125" style="159"/>
    <col min="5923" max="5923" width="13.5" style="159" customWidth="1"/>
    <col min="5924" max="5928" width="8.83203125" style="159"/>
    <col min="5929" max="5929" width="16" style="159" customWidth="1"/>
    <col min="5930" max="5930" width="8.83203125" style="159"/>
    <col min="5931" max="5931" width="12.5" style="159" customWidth="1"/>
    <col min="5932" max="5936" width="8.83203125" style="159"/>
    <col min="5937" max="5937" width="11.83203125" style="159" customWidth="1"/>
    <col min="5938" max="5938" width="8.83203125" style="159"/>
    <col min="5939" max="5939" width="12.5" style="159" customWidth="1"/>
    <col min="5940" max="5944" width="8.83203125" style="159"/>
    <col min="5945" max="5945" width="11.83203125" style="159" customWidth="1"/>
    <col min="5946" max="5946" width="8.83203125" style="159"/>
    <col min="5947" max="5947" width="12.5" style="159" customWidth="1"/>
    <col min="5948" max="5952" width="8.83203125" style="159"/>
    <col min="5953" max="5953" width="11.83203125" style="159" customWidth="1"/>
    <col min="5954" max="5954" width="8.83203125" style="159"/>
    <col min="5955" max="5955" width="12.5" style="159" customWidth="1"/>
    <col min="5956" max="5960" width="8.83203125" style="159"/>
    <col min="5961" max="5961" width="11.83203125" style="159" customWidth="1"/>
    <col min="5962" max="5962" width="8.83203125" style="159"/>
    <col min="5963" max="5963" width="12.5" style="159" customWidth="1"/>
    <col min="5964" max="5968" width="8.83203125" style="159"/>
    <col min="5969" max="5969" width="11.83203125" style="159" customWidth="1"/>
    <col min="5970" max="5970" width="8.83203125" style="159"/>
    <col min="5971" max="5971" width="12.5" style="159" customWidth="1"/>
    <col min="5972" max="5976" width="8.83203125" style="159"/>
    <col min="5977" max="5977" width="11.83203125" style="159" customWidth="1"/>
    <col min="5978" max="5978" width="8.83203125" style="159"/>
    <col min="5979" max="5979" width="12.5" style="159" customWidth="1"/>
    <col min="5980" max="5984" width="8.83203125" style="159"/>
    <col min="5985" max="5985" width="11.83203125" style="159" customWidth="1"/>
    <col min="5986" max="5986" width="8.83203125" style="159"/>
    <col min="5987" max="5987" width="12.5" style="159" customWidth="1"/>
    <col min="5988" max="5992" width="8.83203125" style="159"/>
    <col min="5993" max="5993" width="11.83203125" style="159" customWidth="1"/>
    <col min="5994" max="6144" width="8.83203125" style="159"/>
    <col min="6145" max="6148" width="8.83203125" style="159" customWidth="1"/>
    <col min="6149" max="6154" width="0" style="159" hidden="1" customWidth="1"/>
    <col min="6155" max="6155" width="11.33203125" style="159" customWidth="1"/>
    <col min="6156" max="6160" width="8.83203125" style="159" customWidth="1"/>
    <col min="6161" max="6161" width="12.5" style="159" customWidth="1"/>
    <col min="6162" max="6162" width="8.83203125" style="159" customWidth="1"/>
    <col min="6163" max="6163" width="12.1640625" style="159" customWidth="1"/>
    <col min="6164" max="6164" width="7.6640625" style="159" bestFit="1" customWidth="1"/>
    <col min="6165" max="6168" width="8.83203125" style="159" customWidth="1"/>
    <col min="6169" max="6169" width="12.33203125" style="159" customWidth="1"/>
    <col min="6170" max="6170" width="8.83203125" style="159" customWidth="1"/>
    <col min="6171" max="6171" width="13.1640625" style="159" customWidth="1"/>
    <col min="6172" max="6176" width="8.83203125" style="159" customWidth="1"/>
    <col min="6177" max="6177" width="13.83203125" style="159" customWidth="1"/>
    <col min="6178" max="6178" width="8.83203125" style="159"/>
    <col min="6179" max="6179" width="13.5" style="159" customWidth="1"/>
    <col min="6180" max="6184" width="8.83203125" style="159"/>
    <col min="6185" max="6185" width="16" style="159" customWidth="1"/>
    <col min="6186" max="6186" width="8.83203125" style="159"/>
    <col min="6187" max="6187" width="12.5" style="159" customWidth="1"/>
    <col min="6188" max="6192" width="8.83203125" style="159"/>
    <col min="6193" max="6193" width="11.83203125" style="159" customWidth="1"/>
    <col min="6194" max="6194" width="8.83203125" style="159"/>
    <col min="6195" max="6195" width="12.5" style="159" customWidth="1"/>
    <col min="6196" max="6200" width="8.83203125" style="159"/>
    <col min="6201" max="6201" width="11.83203125" style="159" customWidth="1"/>
    <col min="6202" max="6202" width="8.83203125" style="159"/>
    <col min="6203" max="6203" width="12.5" style="159" customWidth="1"/>
    <col min="6204" max="6208" width="8.83203125" style="159"/>
    <col min="6209" max="6209" width="11.83203125" style="159" customWidth="1"/>
    <col min="6210" max="6210" width="8.83203125" style="159"/>
    <col min="6211" max="6211" width="12.5" style="159" customWidth="1"/>
    <col min="6212" max="6216" width="8.83203125" style="159"/>
    <col min="6217" max="6217" width="11.83203125" style="159" customWidth="1"/>
    <col min="6218" max="6218" width="8.83203125" style="159"/>
    <col min="6219" max="6219" width="12.5" style="159" customWidth="1"/>
    <col min="6220" max="6224" width="8.83203125" style="159"/>
    <col min="6225" max="6225" width="11.83203125" style="159" customWidth="1"/>
    <col min="6226" max="6226" width="8.83203125" style="159"/>
    <col min="6227" max="6227" width="12.5" style="159" customWidth="1"/>
    <col min="6228" max="6232" width="8.83203125" style="159"/>
    <col min="6233" max="6233" width="11.83203125" style="159" customWidth="1"/>
    <col min="6234" max="6234" width="8.83203125" style="159"/>
    <col min="6235" max="6235" width="12.5" style="159" customWidth="1"/>
    <col min="6236" max="6240" width="8.83203125" style="159"/>
    <col min="6241" max="6241" width="11.83203125" style="159" customWidth="1"/>
    <col min="6242" max="6242" width="8.83203125" style="159"/>
    <col min="6243" max="6243" width="12.5" style="159" customWidth="1"/>
    <col min="6244" max="6248" width="8.83203125" style="159"/>
    <col min="6249" max="6249" width="11.83203125" style="159" customWidth="1"/>
    <col min="6250" max="6400" width="8.83203125" style="159"/>
    <col min="6401" max="6404" width="8.83203125" style="159" customWidth="1"/>
    <col min="6405" max="6410" width="0" style="159" hidden="1" customWidth="1"/>
    <col min="6411" max="6411" width="11.33203125" style="159" customWidth="1"/>
    <col min="6412" max="6416" width="8.83203125" style="159" customWidth="1"/>
    <col min="6417" max="6417" width="12.5" style="159" customWidth="1"/>
    <col min="6418" max="6418" width="8.83203125" style="159" customWidth="1"/>
    <col min="6419" max="6419" width="12.1640625" style="159" customWidth="1"/>
    <col min="6420" max="6420" width="7.6640625" style="159" bestFit="1" customWidth="1"/>
    <col min="6421" max="6424" width="8.83203125" style="159" customWidth="1"/>
    <col min="6425" max="6425" width="12.33203125" style="159" customWidth="1"/>
    <col min="6426" max="6426" width="8.83203125" style="159" customWidth="1"/>
    <col min="6427" max="6427" width="13.1640625" style="159" customWidth="1"/>
    <col min="6428" max="6432" width="8.83203125" style="159" customWidth="1"/>
    <col min="6433" max="6433" width="13.83203125" style="159" customWidth="1"/>
    <col min="6434" max="6434" width="8.83203125" style="159"/>
    <col min="6435" max="6435" width="13.5" style="159" customWidth="1"/>
    <col min="6436" max="6440" width="8.83203125" style="159"/>
    <col min="6441" max="6441" width="16" style="159" customWidth="1"/>
    <col min="6442" max="6442" width="8.83203125" style="159"/>
    <col min="6443" max="6443" width="12.5" style="159" customWidth="1"/>
    <col min="6444" max="6448" width="8.83203125" style="159"/>
    <col min="6449" max="6449" width="11.83203125" style="159" customWidth="1"/>
    <col min="6450" max="6450" width="8.83203125" style="159"/>
    <col min="6451" max="6451" width="12.5" style="159" customWidth="1"/>
    <col min="6452" max="6456" width="8.83203125" style="159"/>
    <col min="6457" max="6457" width="11.83203125" style="159" customWidth="1"/>
    <col min="6458" max="6458" width="8.83203125" style="159"/>
    <col min="6459" max="6459" width="12.5" style="159" customWidth="1"/>
    <col min="6460" max="6464" width="8.83203125" style="159"/>
    <col min="6465" max="6465" width="11.83203125" style="159" customWidth="1"/>
    <col min="6466" max="6466" width="8.83203125" style="159"/>
    <col min="6467" max="6467" width="12.5" style="159" customWidth="1"/>
    <col min="6468" max="6472" width="8.83203125" style="159"/>
    <col min="6473" max="6473" width="11.83203125" style="159" customWidth="1"/>
    <col min="6474" max="6474" width="8.83203125" style="159"/>
    <col min="6475" max="6475" width="12.5" style="159" customWidth="1"/>
    <col min="6476" max="6480" width="8.83203125" style="159"/>
    <col min="6481" max="6481" width="11.83203125" style="159" customWidth="1"/>
    <col min="6482" max="6482" width="8.83203125" style="159"/>
    <col min="6483" max="6483" width="12.5" style="159" customWidth="1"/>
    <col min="6484" max="6488" width="8.83203125" style="159"/>
    <col min="6489" max="6489" width="11.83203125" style="159" customWidth="1"/>
    <col min="6490" max="6490" width="8.83203125" style="159"/>
    <col min="6491" max="6491" width="12.5" style="159" customWidth="1"/>
    <col min="6492" max="6496" width="8.83203125" style="159"/>
    <col min="6497" max="6497" width="11.83203125" style="159" customWidth="1"/>
    <col min="6498" max="6498" width="8.83203125" style="159"/>
    <col min="6499" max="6499" width="12.5" style="159" customWidth="1"/>
    <col min="6500" max="6504" width="8.83203125" style="159"/>
    <col min="6505" max="6505" width="11.83203125" style="159" customWidth="1"/>
    <col min="6506" max="6656" width="8.83203125" style="159"/>
    <col min="6657" max="6660" width="8.83203125" style="159" customWidth="1"/>
    <col min="6661" max="6666" width="0" style="159" hidden="1" customWidth="1"/>
    <col min="6667" max="6667" width="11.33203125" style="159" customWidth="1"/>
    <col min="6668" max="6672" width="8.83203125" style="159" customWidth="1"/>
    <col min="6673" max="6673" width="12.5" style="159" customWidth="1"/>
    <col min="6674" max="6674" width="8.83203125" style="159" customWidth="1"/>
    <col min="6675" max="6675" width="12.1640625" style="159" customWidth="1"/>
    <col min="6676" max="6676" width="7.6640625" style="159" bestFit="1" customWidth="1"/>
    <col min="6677" max="6680" width="8.83203125" style="159" customWidth="1"/>
    <col min="6681" max="6681" width="12.33203125" style="159" customWidth="1"/>
    <col min="6682" max="6682" width="8.83203125" style="159" customWidth="1"/>
    <col min="6683" max="6683" width="13.1640625" style="159" customWidth="1"/>
    <col min="6684" max="6688" width="8.83203125" style="159" customWidth="1"/>
    <col min="6689" max="6689" width="13.83203125" style="159" customWidth="1"/>
    <col min="6690" max="6690" width="8.83203125" style="159"/>
    <col min="6691" max="6691" width="13.5" style="159" customWidth="1"/>
    <col min="6692" max="6696" width="8.83203125" style="159"/>
    <col min="6697" max="6697" width="16" style="159" customWidth="1"/>
    <col min="6698" max="6698" width="8.83203125" style="159"/>
    <col min="6699" max="6699" width="12.5" style="159" customWidth="1"/>
    <col min="6700" max="6704" width="8.83203125" style="159"/>
    <col min="6705" max="6705" width="11.83203125" style="159" customWidth="1"/>
    <col min="6706" max="6706" width="8.83203125" style="159"/>
    <col min="6707" max="6707" width="12.5" style="159" customWidth="1"/>
    <col min="6708" max="6712" width="8.83203125" style="159"/>
    <col min="6713" max="6713" width="11.83203125" style="159" customWidth="1"/>
    <col min="6714" max="6714" width="8.83203125" style="159"/>
    <col min="6715" max="6715" width="12.5" style="159" customWidth="1"/>
    <col min="6716" max="6720" width="8.83203125" style="159"/>
    <col min="6721" max="6721" width="11.83203125" style="159" customWidth="1"/>
    <col min="6722" max="6722" width="8.83203125" style="159"/>
    <col min="6723" max="6723" width="12.5" style="159" customWidth="1"/>
    <col min="6724" max="6728" width="8.83203125" style="159"/>
    <col min="6729" max="6729" width="11.83203125" style="159" customWidth="1"/>
    <col min="6730" max="6730" width="8.83203125" style="159"/>
    <col min="6731" max="6731" width="12.5" style="159" customWidth="1"/>
    <col min="6732" max="6736" width="8.83203125" style="159"/>
    <col min="6737" max="6737" width="11.83203125" style="159" customWidth="1"/>
    <col min="6738" max="6738" width="8.83203125" style="159"/>
    <col min="6739" max="6739" width="12.5" style="159" customWidth="1"/>
    <col min="6740" max="6744" width="8.83203125" style="159"/>
    <col min="6745" max="6745" width="11.83203125" style="159" customWidth="1"/>
    <col min="6746" max="6746" width="8.83203125" style="159"/>
    <col min="6747" max="6747" width="12.5" style="159" customWidth="1"/>
    <col min="6748" max="6752" width="8.83203125" style="159"/>
    <col min="6753" max="6753" width="11.83203125" style="159" customWidth="1"/>
    <col min="6754" max="6754" width="8.83203125" style="159"/>
    <col min="6755" max="6755" width="12.5" style="159" customWidth="1"/>
    <col min="6756" max="6760" width="8.83203125" style="159"/>
    <col min="6761" max="6761" width="11.83203125" style="159" customWidth="1"/>
    <col min="6762" max="6912" width="8.83203125" style="159"/>
    <col min="6913" max="6916" width="8.83203125" style="159" customWidth="1"/>
    <col min="6917" max="6922" width="0" style="159" hidden="1" customWidth="1"/>
    <col min="6923" max="6923" width="11.33203125" style="159" customWidth="1"/>
    <col min="6924" max="6928" width="8.83203125" style="159" customWidth="1"/>
    <col min="6929" max="6929" width="12.5" style="159" customWidth="1"/>
    <col min="6930" max="6930" width="8.83203125" style="159" customWidth="1"/>
    <col min="6931" max="6931" width="12.1640625" style="159" customWidth="1"/>
    <col min="6932" max="6932" width="7.6640625" style="159" bestFit="1" customWidth="1"/>
    <col min="6933" max="6936" width="8.83203125" style="159" customWidth="1"/>
    <col min="6937" max="6937" width="12.33203125" style="159" customWidth="1"/>
    <col min="6938" max="6938" width="8.83203125" style="159" customWidth="1"/>
    <col min="6939" max="6939" width="13.1640625" style="159" customWidth="1"/>
    <col min="6940" max="6944" width="8.83203125" style="159" customWidth="1"/>
    <col min="6945" max="6945" width="13.83203125" style="159" customWidth="1"/>
    <col min="6946" max="6946" width="8.83203125" style="159"/>
    <col min="6947" max="6947" width="13.5" style="159" customWidth="1"/>
    <col min="6948" max="6952" width="8.83203125" style="159"/>
    <col min="6953" max="6953" width="16" style="159" customWidth="1"/>
    <col min="6954" max="6954" width="8.83203125" style="159"/>
    <col min="6955" max="6955" width="12.5" style="159" customWidth="1"/>
    <col min="6956" max="6960" width="8.83203125" style="159"/>
    <col min="6961" max="6961" width="11.83203125" style="159" customWidth="1"/>
    <col min="6962" max="6962" width="8.83203125" style="159"/>
    <col min="6963" max="6963" width="12.5" style="159" customWidth="1"/>
    <col min="6964" max="6968" width="8.83203125" style="159"/>
    <col min="6969" max="6969" width="11.83203125" style="159" customWidth="1"/>
    <col min="6970" max="6970" width="8.83203125" style="159"/>
    <col min="6971" max="6971" width="12.5" style="159" customWidth="1"/>
    <col min="6972" max="6976" width="8.83203125" style="159"/>
    <col min="6977" max="6977" width="11.83203125" style="159" customWidth="1"/>
    <col min="6978" max="6978" width="8.83203125" style="159"/>
    <col min="6979" max="6979" width="12.5" style="159" customWidth="1"/>
    <col min="6980" max="6984" width="8.83203125" style="159"/>
    <col min="6985" max="6985" width="11.83203125" style="159" customWidth="1"/>
    <col min="6986" max="6986" width="8.83203125" style="159"/>
    <col min="6987" max="6987" width="12.5" style="159" customWidth="1"/>
    <col min="6988" max="6992" width="8.83203125" style="159"/>
    <col min="6993" max="6993" width="11.83203125" style="159" customWidth="1"/>
    <col min="6994" max="6994" width="8.83203125" style="159"/>
    <col min="6995" max="6995" width="12.5" style="159" customWidth="1"/>
    <col min="6996" max="7000" width="8.83203125" style="159"/>
    <col min="7001" max="7001" width="11.83203125" style="159" customWidth="1"/>
    <col min="7002" max="7002" width="8.83203125" style="159"/>
    <col min="7003" max="7003" width="12.5" style="159" customWidth="1"/>
    <col min="7004" max="7008" width="8.83203125" style="159"/>
    <col min="7009" max="7009" width="11.83203125" style="159" customWidth="1"/>
    <col min="7010" max="7010" width="8.83203125" style="159"/>
    <col min="7011" max="7011" width="12.5" style="159" customWidth="1"/>
    <col min="7012" max="7016" width="8.83203125" style="159"/>
    <col min="7017" max="7017" width="11.83203125" style="159" customWidth="1"/>
    <col min="7018" max="7168" width="8.83203125" style="159"/>
    <col min="7169" max="7172" width="8.83203125" style="159" customWidth="1"/>
    <col min="7173" max="7178" width="0" style="159" hidden="1" customWidth="1"/>
    <col min="7179" max="7179" width="11.33203125" style="159" customWidth="1"/>
    <col min="7180" max="7184" width="8.83203125" style="159" customWidth="1"/>
    <col min="7185" max="7185" width="12.5" style="159" customWidth="1"/>
    <col min="7186" max="7186" width="8.83203125" style="159" customWidth="1"/>
    <col min="7187" max="7187" width="12.1640625" style="159" customWidth="1"/>
    <col min="7188" max="7188" width="7.6640625" style="159" bestFit="1" customWidth="1"/>
    <col min="7189" max="7192" width="8.83203125" style="159" customWidth="1"/>
    <col min="7193" max="7193" width="12.33203125" style="159" customWidth="1"/>
    <col min="7194" max="7194" width="8.83203125" style="159" customWidth="1"/>
    <col min="7195" max="7195" width="13.1640625" style="159" customWidth="1"/>
    <col min="7196" max="7200" width="8.83203125" style="159" customWidth="1"/>
    <col min="7201" max="7201" width="13.83203125" style="159" customWidth="1"/>
    <col min="7202" max="7202" width="8.83203125" style="159"/>
    <col min="7203" max="7203" width="13.5" style="159" customWidth="1"/>
    <col min="7204" max="7208" width="8.83203125" style="159"/>
    <col min="7209" max="7209" width="16" style="159" customWidth="1"/>
    <col min="7210" max="7210" width="8.83203125" style="159"/>
    <col min="7211" max="7211" width="12.5" style="159" customWidth="1"/>
    <col min="7212" max="7216" width="8.83203125" style="159"/>
    <col min="7217" max="7217" width="11.83203125" style="159" customWidth="1"/>
    <col min="7218" max="7218" width="8.83203125" style="159"/>
    <col min="7219" max="7219" width="12.5" style="159" customWidth="1"/>
    <col min="7220" max="7224" width="8.83203125" style="159"/>
    <col min="7225" max="7225" width="11.83203125" style="159" customWidth="1"/>
    <col min="7226" max="7226" width="8.83203125" style="159"/>
    <col min="7227" max="7227" width="12.5" style="159" customWidth="1"/>
    <col min="7228" max="7232" width="8.83203125" style="159"/>
    <col min="7233" max="7233" width="11.83203125" style="159" customWidth="1"/>
    <col min="7234" max="7234" width="8.83203125" style="159"/>
    <col min="7235" max="7235" width="12.5" style="159" customWidth="1"/>
    <col min="7236" max="7240" width="8.83203125" style="159"/>
    <col min="7241" max="7241" width="11.83203125" style="159" customWidth="1"/>
    <col min="7242" max="7242" width="8.83203125" style="159"/>
    <col min="7243" max="7243" width="12.5" style="159" customWidth="1"/>
    <col min="7244" max="7248" width="8.83203125" style="159"/>
    <col min="7249" max="7249" width="11.83203125" style="159" customWidth="1"/>
    <col min="7250" max="7250" width="8.83203125" style="159"/>
    <col min="7251" max="7251" width="12.5" style="159" customWidth="1"/>
    <col min="7252" max="7256" width="8.83203125" style="159"/>
    <col min="7257" max="7257" width="11.83203125" style="159" customWidth="1"/>
    <col min="7258" max="7258" width="8.83203125" style="159"/>
    <col min="7259" max="7259" width="12.5" style="159" customWidth="1"/>
    <col min="7260" max="7264" width="8.83203125" style="159"/>
    <col min="7265" max="7265" width="11.83203125" style="159" customWidth="1"/>
    <col min="7266" max="7266" width="8.83203125" style="159"/>
    <col min="7267" max="7267" width="12.5" style="159" customWidth="1"/>
    <col min="7268" max="7272" width="8.83203125" style="159"/>
    <col min="7273" max="7273" width="11.83203125" style="159" customWidth="1"/>
    <col min="7274" max="7424" width="8.83203125" style="159"/>
    <col min="7425" max="7428" width="8.83203125" style="159" customWidth="1"/>
    <col min="7429" max="7434" width="0" style="159" hidden="1" customWidth="1"/>
    <col min="7435" max="7435" width="11.33203125" style="159" customWidth="1"/>
    <col min="7436" max="7440" width="8.83203125" style="159" customWidth="1"/>
    <col min="7441" max="7441" width="12.5" style="159" customWidth="1"/>
    <col min="7442" max="7442" width="8.83203125" style="159" customWidth="1"/>
    <col min="7443" max="7443" width="12.1640625" style="159" customWidth="1"/>
    <col min="7444" max="7444" width="7.6640625" style="159" bestFit="1" customWidth="1"/>
    <col min="7445" max="7448" width="8.83203125" style="159" customWidth="1"/>
    <col min="7449" max="7449" width="12.33203125" style="159" customWidth="1"/>
    <col min="7450" max="7450" width="8.83203125" style="159" customWidth="1"/>
    <col min="7451" max="7451" width="13.1640625" style="159" customWidth="1"/>
    <col min="7452" max="7456" width="8.83203125" style="159" customWidth="1"/>
    <col min="7457" max="7457" width="13.83203125" style="159" customWidth="1"/>
    <col min="7458" max="7458" width="8.83203125" style="159"/>
    <col min="7459" max="7459" width="13.5" style="159" customWidth="1"/>
    <col min="7460" max="7464" width="8.83203125" style="159"/>
    <col min="7465" max="7465" width="16" style="159" customWidth="1"/>
    <col min="7466" max="7466" width="8.83203125" style="159"/>
    <col min="7467" max="7467" width="12.5" style="159" customWidth="1"/>
    <col min="7468" max="7472" width="8.83203125" style="159"/>
    <col min="7473" max="7473" width="11.83203125" style="159" customWidth="1"/>
    <col min="7474" max="7474" width="8.83203125" style="159"/>
    <col min="7475" max="7475" width="12.5" style="159" customWidth="1"/>
    <col min="7476" max="7480" width="8.83203125" style="159"/>
    <col min="7481" max="7481" width="11.83203125" style="159" customWidth="1"/>
    <col min="7482" max="7482" width="8.83203125" style="159"/>
    <col min="7483" max="7483" width="12.5" style="159" customWidth="1"/>
    <col min="7484" max="7488" width="8.83203125" style="159"/>
    <col min="7489" max="7489" width="11.83203125" style="159" customWidth="1"/>
    <col min="7490" max="7490" width="8.83203125" style="159"/>
    <col min="7491" max="7491" width="12.5" style="159" customWidth="1"/>
    <col min="7492" max="7496" width="8.83203125" style="159"/>
    <col min="7497" max="7497" width="11.83203125" style="159" customWidth="1"/>
    <col min="7498" max="7498" width="8.83203125" style="159"/>
    <col min="7499" max="7499" width="12.5" style="159" customWidth="1"/>
    <col min="7500" max="7504" width="8.83203125" style="159"/>
    <col min="7505" max="7505" width="11.83203125" style="159" customWidth="1"/>
    <col min="7506" max="7506" width="8.83203125" style="159"/>
    <col min="7507" max="7507" width="12.5" style="159" customWidth="1"/>
    <col min="7508" max="7512" width="8.83203125" style="159"/>
    <col min="7513" max="7513" width="11.83203125" style="159" customWidth="1"/>
    <col min="7514" max="7514" width="8.83203125" style="159"/>
    <col min="7515" max="7515" width="12.5" style="159" customWidth="1"/>
    <col min="7516" max="7520" width="8.83203125" style="159"/>
    <col min="7521" max="7521" width="11.83203125" style="159" customWidth="1"/>
    <col min="7522" max="7522" width="8.83203125" style="159"/>
    <col min="7523" max="7523" width="12.5" style="159" customWidth="1"/>
    <col min="7524" max="7528" width="8.83203125" style="159"/>
    <col min="7529" max="7529" width="11.83203125" style="159" customWidth="1"/>
    <col min="7530" max="7680" width="8.83203125" style="159"/>
    <col min="7681" max="7684" width="8.83203125" style="159" customWidth="1"/>
    <col min="7685" max="7690" width="0" style="159" hidden="1" customWidth="1"/>
    <col min="7691" max="7691" width="11.33203125" style="159" customWidth="1"/>
    <col min="7692" max="7696" width="8.83203125" style="159" customWidth="1"/>
    <col min="7697" max="7697" width="12.5" style="159" customWidth="1"/>
    <col min="7698" max="7698" width="8.83203125" style="159" customWidth="1"/>
    <col min="7699" max="7699" width="12.1640625" style="159" customWidth="1"/>
    <col min="7700" max="7700" width="7.6640625" style="159" bestFit="1" customWidth="1"/>
    <col min="7701" max="7704" width="8.83203125" style="159" customWidth="1"/>
    <col min="7705" max="7705" width="12.33203125" style="159" customWidth="1"/>
    <col min="7706" max="7706" width="8.83203125" style="159" customWidth="1"/>
    <col min="7707" max="7707" width="13.1640625" style="159" customWidth="1"/>
    <col min="7708" max="7712" width="8.83203125" style="159" customWidth="1"/>
    <col min="7713" max="7713" width="13.83203125" style="159" customWidth="1"/>
    <col min="7714" max="7714" width="8.83203125" style="159"/>
    <col min="7715" max="7715" width="13.5" style="159" customWidth="1"/>
    <col min="7716" max="7720" width="8.83203125" style="159"/>
    <col min="7721" max="7721" width="16" style="159" customWidth="1"/>
    <col min="7722" max="7722" width="8.83203125" style="159"/>
    <col min="7723" max="7723" width="12.5" style="159" customWidth="1"/>
    <col min="7724" max="7728" width="8.83203125" style="159"/>
    <col min="7729" max="7729" width="11.83203125" style="159" customWidth="1"/>
    <col min="7730" max="7730" width="8.83203125" style="159"/>
    <col min="7731" max="7731" width="12.5" style="159" customWidth="1"/>
    <col min="7732" max="7736" width="8.83203125" style="159"/>
    <col min="7737" max="7737" width="11.83203125" style="159" customWidth="1"/>
    <col min="7738" max="7738" width="8.83203125" style="159"/>
    <col min="7739" max="7739" width="12.5" style="159" customWidth="1"/>
    <col min="7740" max="7744" width="8.83203125" style="159"/>
    <col min="7745" max="7745" width="11.83203125" style="159" customWidth="1"/>
    <col min="7746" max="7746" width="8.83203125" style="159"/>
    <col min="7747" max="7747" width="12.5" style="159" customWidth="1"/>
    <col min="7748" max="7752" width="8.83203125" style="159"/>
    <col min="7753" max="7753" width="11.83203125" style="159" customWidth="1"/>
    <col min="7754" max="7754" width="8.83203125" style="159"/>
    <col min="7755" max="7755" width="12.5" style="159" customWidth="1"/>
    <col min="7756" max="7760" width="8.83203125" style="159"/>
    <col min="7761" max="7761" width="11.83203125" style="159" customWidth="1"/>
    <col min="7762" max="7762" width="8.83203125" style="159"/>
    <col min="7763" max="7763" width="12.5" style="159" customWidth="1"/>
    <col min="7764" max="7768" width="8.83203125" style="159"/>
    <col min="7769" max="7769" width="11.83203125" style="159" customWidth="1"/>
    <col min="7770" max="7770" width="8.83203125" style="159"/>
    <col min="7771" max="7771" width="12.5" style="159" customWidth="1"/>
    <col min="7772" max="7776" width="8.83203125" style="159"/>
    <col min="7777" max="7777" width="11.83203125" style="159" customWidth="1"/>
    <col min="7778" max="7778" width="8.83203125" style="159"/>
    <col min="7779" max="7779" width="12.5" style="159" customWidth="1"/>
    <col min="7780" max="7784" width="8.83203125" style="159"/>
    <col min="7785" max="7785" width="11.83203125" style="159" customWidth="1"/>
    <col min="7786" max="7936" width="8.83203125" style="159"/>
    <col min="7937" max="7940" width="8.83203125" style="159" customWidth="1"/>
    <col min="7941" max="7946" width="0" style="159" hidden="1" customWidth="1"/>
    <col min="7947" max="7947" width="11.33203125" style="159" customWidth="1"/>
    <col min="7948" max="7952" width="8.83203125" style="159" customWidth="1"/>
    <col min="7953" max="7953" width="12.5" style="159" customWidth="1"/>
    <col min="7954" max="7954" width="8.83203125" style="159" customWidth="1"/>
    <col min="7955" max="7955" width="12.1640625" style="159" customWidth="1"/>
    <col min="7956" max="7956" width="7.6640625" style="159" bestFit="1" customWidth="1"/>
    <col min="7957" max="7960" width="8.83203125" style="159" customWidth="1"/>
    <col min="7961" max="7961" width="12.33203125" style="159" customWidth="1"/>
    <col min="7962" max="7962" width="8.83203125" style="159" customWidth="1"/>
    <col min="7963" max="7963" width="13.1640625" style="159" customWidth="1"/>
    <col min="7964" max="7968" width="8.83203125" style="159" customWidth="1"/>
    <col min="7969" max="7969" width="13.83203125" style="159" customWidth="1"/>
    <col min="7970" max="7970" width="8.83203125" style="159"/>
    <col min="7971" max="7971" width="13.5" style="159" customWidth="1"/>
    <col min="7972" max="7976" width="8.83203125" style="159"/>
    <col min="7977" max="7977" width="16" style="159" customWidth="1"/>
    <col min="7978" max="7978" width="8.83203125" style="159"/>
    <col min="7979" max="7979" width="12.5" style="159" customWidth="1"/>
    <col min="7980" max="7984" width="8.83203125" style="159"/>
    <col min="7985" max="7985" width="11.83203125" style="159" customWidth="1"/>
    <col min="7986" max="7986" width="8.83203125" style="159"/>
    <col min="7987" max="7987" width="12.5" style="159" customWidth="1"/>
    <col min="7988" max="7992" width="8.83203125" style="159"/>
    <col min="7993" max="7993" width="11.83203125" style="159" customWidth="1"/>
    <col min="7994" max="7994" width="8.83203125" style="159"/>
    <col min="7995" max="7995" width="12.5" style="159" customWidth="1"/>
    <col min="7996" max="8000" width="8.83203125" style="159"/>
    <col min="8001" max="8001" width="11.83203125" style="159" customWidth="1"/>
    <col min="8002" max="8002" width="8.83203125" style="159"/>
    <col min="8003" max="8003" width="12.5" style="159" customWidth="1"/>
    <col min="8004" max="8008" width="8.83203125" style="159"/>
    <col min="8009" max="8009" width="11.83203125" style="159" customWidth="1"/>
    <col min="8010" max="8010" width="8.83203125" style="159"/>
    <col min="8011" max="8011" width="12.5" style="159" customWidth="1"/>
    <col min="8012" max="8016" width="8.83203125" style="159"/>
    <col min="8017" max="8017" width="11.83203125" style="159" customWidth="1"/>
    <col min="8018" max="8018" width="8.83203125" style="159"/>
    <col min="8019" max="8019" width="12.5" style="159" customWidth="1"/>
    <col min="8020" max="8024" width="8.83203125" style="159"/>
    <col min="8025" max="8025" width="11.83203125" style="159" customWidth="1"/>
    <col min="8026" max="8026" width="8.83203125" style="159"/>
    <col min="8027" max="8027" width="12.5" style="159" customWidth="1"/>
    <col min="8028" max="8032" width="8.83203125" style="159"/>
    <col min="8033" max="8033" width="11.83203125" style="159" customWidth="1"/>
    <col min="8034" max="8034" width="8.83203125" style="159"/>
    <col min="8035" max="8035" width="12.5" style="159" customWidth="1"/>
    <col min="8036" max="8040" width="8.83203125" style="159"/>
    <col min="8041" max="8041" width="11.83203125" style="159" customWidth="1"/>
    <col min="8042" max="8192" width="8.83203125" style="159"/>
    <col min="8193" max="8196" width="8.83203125" style="159" customWidth="1"/>
    <col min="8197" max="8202" width="0" style="159" hidden="1" customWidth="1"/>
    <col min="8203" max="8203" width="11.33203125" style="159" customWidth="1"/>
    <col min="8204" max="8208" width="8.83203125" style="159" customWidth="1"/>
    <col min="8209" max="8209" width="12.5" style="159" customWidth="1"/>
    <col min="8210" max="8210" width="8.83203125" style="159" customWidth="1"/>
    <col min="8211" max="8211" width="12.1640625" style="159" customWidth="1"/>
    <col min="8212" max="8212" width="7.6640625" style="159" bestFit="1" customWidth="1"/>
    <col min="8213" max="8216" width="8.83203125" style="159" customWidth="1"/>
    <col min="8217" max="8217" width="12.33203125" style="159" customWidth="1"/>
    <col min="8218" max="8218" width="8.83203125" style="159" customWidth="1"/>
    <col min="8219" max="8219" width="13.1640625" style="159" customWidth="1"/>
    <col min="8220" max="8224" width="8.83203125" style="159" customWidth="1"/>
    <col min="8225" max="8225" width="13.83203125" style="159" customWidth="1"/>
    <col min="8226" max="8226" width="8.83203125" style="159"/>
    <col min="8227" max="8227" width="13.5" style="159" customWidth="1"/>
    <col min="8228" max="8232" width="8.83203125" style="159"/>
    <col min="8233" max="8233" width="16" style="159" customWidth="1"/>
    <col min="8234" max="8234" width="8.83203125" style="159"/>
    <col min="8235" max="8235" width="12.5" style="159" customWidth="1"/>
    <col min="8236" max="8240" width="8.83203125" style="159"/>
    <col min="8241" max="8241" width="11.83203125" style="159" customWidth="1"/>
    <col min="8242" max="8242" width="8.83203125" style="159"/>
    <col min="8243" max="8243" width="12.5" style="159" customWidth="1"/>
    <col min="8244" max="8248" width="8.83203125" style="159"/>
    <col min="8249" max="8249" width="11.83203125" style="159" customWidth="1"/>
    <col min="8250" max="8250" width="8.83203125" style="159"/>
    <col min="8251" max="8251" width="12.5" style="159" customWidth="1"/>
    <col min="8252" max="8256" width="8.83203125" style="159"/>
    <col min="8257" max="8257" width="11.83203125" style="159" customWidth="1"/>
    <col min="8258" max="8258" width="8.83203125" style="159"/>
    <col min="8259" max="8259" width="12.5" style="159" customWidth="1"/>
    <col min="8260" max="8264" width="8.83203125" style="159"/>
    <col min="8265" max="8265" width="11.83203125" style="159" customWidth="1"/>
    <col min="8266" max="8266" width="8.83203125" style="159"/>
    <col min="8267" max="8267" width="12.5" style="159" customWidth="1"/>
    <col min="8268" max="8272" width="8.83203125" style="159"/>
    <col min="8273" max="8273" width="11.83203125" style="159" customWidth="1"/>
    <col min="8274" max="8274" width="8.83203125" style="159"/>
    <col min="8275" max="8275" width="12.5" style="159" customWidth="1"/>
    <col min="8276" max="8280" width="8.83203125" style="159"/>
    <col min="8281" max="8281" width="11.83203125" style="159" customWidth="1"/>
    <col min="8282" max="8282" width="8.83203125" style="159"/>
    <col min="8283" max="8283" width="12.5" style="159" customWidth="1"/>
    <col min="8284" max="8288" width="8.83203125" style="159"/>
    <col min="8289" max="8289" width="11.83203125" style="159" customWidth="1"/>
    <col min="8290" max="8290" width="8.83203125" style="159"/>
    <col min="8291" max="8291" width="12.5" style="159" customWidth="1"/>
    <col min="8292" max="8296" width="8.83203125" style="159"/>
    <col min="8297" max="8297" width="11.83203125" style="159" customWidth="1"/>
    <col min="8298" max="8448" width="8.83203125" style="159"/>
    <col min="8449" max="8452" width="8.83203125" style="159" customWidth="1"/>
    <col min="8453" max="8458" width="0" style="159" hidden="1" customWidth="1"/>
    <col min="8459" max="8459" width="11.33203125" style="159" customWidth="1"/>
    <col min="8460" max="8464" width="8.83203125" style="159" customWidth="1"/>
    <col min="8465" max="8465" width="12.5" style="159" customWidth="1"/>
    <col min="8466" max="8466" width="8.83203125" style="159" customWidth="1"/>
    <col min="8467" max="8467" width="12.1640625" style="159" customWidth="1"/>
    <col min="8468" max="8468" width="7.6640625" style="159" bestFit="1" customWidth="1"/>
    <col min="8469" max="8472" width="8.83203125" style="159" customWidth="1"/>
    <col min="8473" max="8473" width="12.33203125" style="159" customWidth="1"/>
    <col min="8474" max="8474" width="8.83203125" style="159" customWidth="1"/>
    <col min="8475" max="8475" width="13.1640625" style="159" customWidth="1"/>
    <col min="8476" max="8480" width="8.83203125" style="159" customWidth="1"/>
    <col min="8481" max="8481" width="13.83203125" style="159" customWidth="1"/>
    <col min="8482" max="8482" width="8.83203125" style="159"/>
    <col min="8483" max="8483" width="13.5" style="159" customWidth="1"/>
    <col min="8484" max="8488" width="8.83203125" style="159"/>
    <col min="8489" max="8489" width="16" style="159" customWidth="1"/>
    <col min="8490" max="8490" width="8.83203125" style="159"/>
    <col min="8491" max="8491" width="12.5" style="159" customWidth="1"/>
    <col min="8492" max="8496" width="8.83203125" style="159"/>
    <col min="8497" max="8497" width="11.83203125" style="159" customWidth="1"/>
    <col min="8498" max="8498" width="8.83203125" style="159"/>
    <col min="8499" max="8499" width="12.5" style="159" customWidth="1"/>
    <col min="8500" max="8504" width="8.83203125" style="159"/>
    <col min="8505" max="8505" width="11.83203125" style="159" customWidth="1"/>
    <col min="8506" max="8506" width="8.83203125" style="159"/>
    <col min="8507" max="8507" width="12.5" style="159" customWidth="1"/>
    <col min="8508" max="8512" width="8.83203125" style="159"/>
    <col min="8513" max="8513" width="11.83203125" style="159" customWidth="1"/>
    <col min="8514" max="8514" width="8.83203125" style="159"/>
    <col min="8515" max="8515" width="12.5" style="159" customWidth="1"/>
    <col min="8516" max="8520" width="8.83203125" style="159"/>
    <col min="8521" max="8521" width="11.83203125" style="159" customWidth="1"/>
    <col min="8522" max="8522" width="8.83203125" style="159"/>
    <col min="8523" max="8523" width="12.5" style="159" customWidth="1"/>
    <col min="8524" max="8528" width="8.83203125" style="159"/>
    <col min="8529" max="8529" width="11.83203125" style="159" customWidth="1"/>
    <col min="8530" max="8530" width="8.83203125" style="159"/>
    <col min="8531" max="8531" width="12.5" style="159" customWidth="1"/>
    <col min="8532" max="8536" width="8.83203125" style="159"/>
    <col min="8537" max="8537" width="11.83203125" style="159" customWidth="1"/>
    <col min="8538" max="8538" width="8.83203125" style="159"/>
    <col min="8539" max="8539" width="12.5" style="159" customWidth="1"/>
    <col min="8540" max="8544" width="8.83203125" style="159"/>
    <col min="8545" max="8545" width="11.83203125" style="159" customWidth="1"/>
    <col min="8546" max="8546" width="8.83203125" style="159"/>
    <col min="8547" max="8547" width="12.5" style="159" customWidth="1"/>
    <col min="8548" max="8552" width="8.83203125" style="159"/>
    <col min="8553" max="8553" width="11.83203125" style="159" customWidth="1"/>
    <col min="8554" max="8704" width="8.83203125" style="159"/>
    <col min="8705" max="8708" width="8.83203125" style="159" customWidth="1"/>
    <col min="8709" max="8714" width="0" style="159" hidden="1" customWidth="1"/>
    <col min="8715" max="8715" width="11.33203125" style="159" customWidth="1"/>
    <col min="8716" max="8720" width="8.83203125" style="159" customWidth="1"/>
    <col min="8721" max="8721" width="12.5" style="159" customWidth="1"/>
    <col min="8722" max="8722" width="8.83203125" style="159" customWidth="1"/>
    <col min="8723" max="8723" width="12.1640625" style="159" customWidth="1"/>
    <col min="8724" max="8724" width="7.6640625" style="159" bestFit="1" customWidth="1"/>
    <col min="8725" max="8728" width="8.83203125" style="159" customWidth="1"/>
    <col min="8729" max="8729" width="12.33203125" style="159" customWidth="1"/>
    <col min="8730" max="8730" width="8.83203125" style="159" customWidth="1"/>
    <col min="8731" max="8731" width="13.1640625" style="159" customWidth="1"/>
    <col min="8732" max="8736" width="8.83203125" style="159" customWidth="1"/>
    <col min="8737" max="8737" width="13.83203125" style="159" customWidth="1"/>
    <col min="8738" max="8738" width="8.83203125" style="159"/>
    <col min="8739" max="8739" width="13.5" style="159" customWidth="1"/>
    <col min="8740" max="8744" width="8.83203125" style="159"/>
    <col min="8745" max="8745" width="16" style="159" customWidth="1"/>
    <col min="8746" max="8746" width="8.83203125" style="159"/>
    <col min="8747" max="8747" width="12.5" style="159" customWidth="1"/>
    <col min="8748" max="8752" width="8.83203125" style="159"/>
    <col min="8753" max="8753" width="11.83203125" style="159" customWidth="1"/>
    <col min="8754" max="8754" width="8.83203125" style="159"/>
    <col min="8755" max="8755" width="12.5" style="159" customWidth="1"/>
    <col min="8756" max="8760" width="8.83203125" style="159"/>
    <col min="8761" max="8761" width="11.83203125" style="159" customWidth="1"/>
    <col min="8762" max="8762" width="8.83203125" style="159"/>
    <col min="8763" max="8763" width="12.5" style="159" customWidth="1"/>
    <col min="8764" max="8768" width="8.83203125" style="159"/>
    <col min="8769" max="8769" width="11.83203125" style="159" customWidth="1"/>
    <col min="8770" max="8770" width="8.83203125" style="159"/>
    <col min="8771" max="8771" width="12.5" style="159" customWidth="1"/>
    <col min="8772" max="8776" width="8.83203125" style="159"/>
    <col min="8777" max="8777" width="11.83203125" style="159" customWidth="1"/>
    <col min="8778" max="8778" width="8.83203125" style="159"/>
    <col min="8779" max="8779" width="12.5" style="159" customWidth="1"/>
    <col min="8780" max="8784" width="8.83203125" style="159"/>
    <col min="8785" max="8785" width="11.83203125" style="159" customWidth="1"/>
    <col min="8786" max="8786" width="8.83203125" style="159"/>
    <col min="8787" max="8787" width="12.5" style="159" customWidth="1"/>
    <col min="8788" max="8792" width="8.83203125" style="159"/>
    <col min="8793" max="8793" width="11.83203125" style="159" customWidth="1"/>
    <col min="8794" max="8794" width="8.83203125" style="159"/>
    <col min="8795" max="8795" width="12.5" style="159" customWidth="1"/>
    <col min="8796" max="8800" width="8.83203125" style="159"/>
    <col min="8801" max="8801" width="11.83203125" style="159" customWidth="1"/>
    <col min="8802" max="8802" width="8.83203125" style="159"/>
    <col min="8803" max="8803" width="12.5" style="159" customWidth="1"/>
    <col min="8804" max="8808" width="8.83203125" style="159"/>
    <col min="8809" max="8809" width="11.83203125" style="159" customWidth="1"/>
    <col min="8810" max="8960" width="8.83203125" style="159"/>
    <col min="8961" max="8964" width="8.83203125" style="159" customWidth="1"/>
    <col min="8965" max="8970" width="0" style="159" hidden="1" customWidth="1"/>
    <col min="8971" max="8971" width="11.33203125" style="159" customWidth="1"/>
    <col min="8972" max="8976" width="8.83203125" style="159" customWidth="1"/>
    <col min="8977" max="8977" width="12.5" style="159" customWidth="1"/>
    <col min="8978" max="8978" width="8.83203125" style="159" customWidth="1"/>
    <col min="8979" max="8979" width="12.1640625" style="159" customWidth="1"/>
    <col min="8980" max="8980" width="7.6640625" style="159" bestFit="1" customWidth="1"/>
    <col min="8981" max="8984" width="8.83203125" style="159" customWidth="1"/>
    <col min="8985" max="8985" width="12.33203125" style="159" customWidth="1"/>
    <col min="8986" max="8986" width="8.83203125" style="159" customWidth="1"/>
    <col min="8987" max="8987" width="13.1640625" style="159" customWidth="1"/>
    <col min="8988" max="8992" width="8.83203125" style="159" customWidth="1"/>
    <col min="8993" max="8993" width="13.83203125" style="159" customWidth="1"/>
    <col min="8994" max="8994" width="8.83203125" style="159"/>
    <col min="8995" max="8995" width="13.5" style="159" customWidth="1"/>
    <col min="8996" max="9000" width="8.83203125" style="159"/>
    <col min="9001" max="9001" width="16" style="159" customWidth="1"/>
    <col min="9002" max="9002" width="8.83203125" style="159"/>
    <col min="9003" max="9003" width="12.5" style="159" customWidth="1"/>
    <col min="9004" max="9008" width="8.83203125" style="159"/>
    <col min="9009" max="9009" width="11.83203125" style="159" customWidth="1"/>
    <col min="9010" max="9010" width="8.83203125" style="159"/>
    <col min="9011" max="9011" width="12.5" style="159" customWidth="1"/>
    <col min="9012" max="9016" width="8.83203125" style="159"/>
    <col min="9017" max="9017" width="11.83203125" style="159" customWidth="1"/>
    <col min="9018" max="9018" width="8.83203125" style="159"/>
    <col min="9019" max="9019" width="12.5" style="159" customWidth="1"/>
    <col min="9020" max="9024" width="8.83203125" style="159"/>
    <col min="9025" max="9025" width="11.83203125" style="159" customWidth="1"/>
    <col min="9026" max="9026" width="8.83203125" style="159"/>
    <col min="9027" max="9027" width="12.5" style="159" customWidth="1"/>
    <col min="9028" max="9032" width="8.83203125" style="159"/>
    <col min="9033" max="9033" width="11.83203125" style="159" customWidth="1"/>
    <col min="9034" max="9034" width="8.83203125" style="159"/>
    <col min="9035" max="9035" width="12.5" style="159" customWidth="1"/>
    <col min="9036" max="9040" width="8.83203125" style="159"/>
    <col min="9041" max="9041" width="11.83203125" style="159" customWidth="1"/>
    <col min="9042" max="9042" width="8.83203125" style="159"/>
    <col min="9043" max="9043" width="12.5" style="159" customWidth="1"/>
    <col min="9044" max="9048" width="8.83203125" style="159"/>
    <col min="9049" max="9049" width="11.83203125" style="159" customWidth="1"/>
    <col min="9050" max="9050" width="8.83203125" style="159"/>
    <col min="9051" max="9051" width="12.5" style="159" customWidth="1"/>
    <col min="9052" max="9056" width="8.83203125" style="159"/>
    <col min="9057" max="9057" width="11.83203125" style="159" customWidth="1"/>
    <col min="9058" max="9058" width="8.83203125" style="159"/>
    <col min="9059" max="9059" width="12.5" style="159" customWidth="1"/>
    <col min="9060" max="9064" width="8.83203125" style="159"/>
    <col min="9065" max="9065" width="11.83203125" style="159" customWidth="1"/>
    <col min="9066" max="9216" width="8.83203125" style="159"/>
    <col min="9217" max="9220" width="8.83203125" style="159" customWidth="1"/>
    <col min="9221" max="9226" width="0" style="159" hidden="1" customWidth="1"/>
    <col min="9227" max="9227" width="11.33203125" style="159" customWidth="1"/>
    <col min="9228" max="9232" width="8.83203125" style="159" customWidth="1"/>
    <col min="9233" max="9233" width="12.5" style="159" customWidth="1"/>
    <col min="9234" max="9234" width="8.83203125" style="159" customWidth="1"/>
    <col min="9235" max="9235" width="12.1640625" style="159" customWidth="1"/>
    <col min="9236" max="9236" width="7.6640625" style="159" bestFit="1" customWidth="1"/>
    <col min="9237" max="9240" width="8.83203125" style="159" customWidth="1"/>
    <col min="9241" max="9241" width="12.33203125" style="159" customWidth="1"/>
    <col min="9242" max="9242" width="8.83203125" style="159" customWidth="1"/>
    <col min="9243" max="9243" width="13.1640625" style="159" customWidth="1"/>
    <col min="9244" max="9248" width="8.83203125" style="159" customWidth="1"/>
    <col min="9249" max="9249" width="13.83203125" style="159" customWidth="1"/>
    <col min="9250" max="9250" width="8.83203125" style="159"/>
    <col min="9251" max="9251" width="13.5" style="159" customWidth="1"/>
    <col min="9252" max="9256" width="8.83203125" style="159"/>
    <col min="9257" max="9257" width="16" style="159" customWidth="1"/>
    <col min="9258" max="9258" width="8.83203125" style="159"/>
    <col min="9259" max="9259" width="12.5" style="159" customWidth="1"/>
    <col min="9260" max="9264" width="8.83203125" style="159"/>
    <col min="9265" max="9265" width="11.83203125" style="159" customWidth="1"/>
    <col min="9266" max="9266" width="8.83203125" style="159"/>
    <col min="9267" max="9267" width="12.5" style="159" customWidth="1"/>
    <col min="9268" max="9272" width="8.83203125" style="159"/>
    <col min="9273" max="9273" width="11.83203125" style="159" customWidth="1"/>
    <col min="9274" max="9274" width="8.83203125" style="159"/>
    <col min="9275" max="9275" width="12.5" style="159" customWidth="1"/>
    <col min="9276" max="9280" width="8.83203125" style="159"/>
    <col min="9281" max="9281" width="11.83203125" style="159" customWidth="1"/>
    <col min="9282" max="9282" width="8.83203125" style="159"/>
    <col min="9283" max="9283" width="12.5" style="159" customWidth="1"/>
    <col min="9284" max="9288" width="8.83203125" style="159"/>
    <col min="9289" max="9289" width="11.83203125" style="159" customWidth="1"/>
    <col min="9290" max="9290" width="8.83203125" style="159"/>
    <col min="9291" max="9291" width="12.5" style="159" customWidth="1"/>
    <col min="9292" max="9296" width="8.83203125" style="159"/>
    <col min="9297" max="9297" width="11.83203125" style="159" customWidth="1"/>
    <col min="9298" max="9298" width="8.83203125" style="159"/>
    <col min="9299" max="9299" width="12.5" style="159" customWidth="1"/>
    <col min="9300" max="9304" width="8.83203125" style="159"/>
    <col min="9305" max="9305" width="11.83203125" style="159" customWidth="1"/>
    <col min="9306" max="9306" width="8.83203125" style="159"/>
    <col min="9307" max="9307" width="12.5" style="159" customWidth="1"/>
    <col min="9308" max="9312" width="8.83203125" style="159"/>
    <col min="9313" max="9313" width="11.83203125" style="159" customWidth="1"/>
    <col min="9314" max="9314" width="8.83203125" style="159"/>
    <col min="9315" max="9315" width="12.5" style="159" customWidth="1"/>
    <col min="9316" max="9320" width="8.83203125" style="159"/>
    <col min="9321" max="9321" width="11.83203125" style="159" customWidth="1"/>
    <col min="9322" max="9472" width="8.83203125" style="159"/>
    <col min="9473" max="9476" width="8.83203125" style="159" customWidth="1"/>
    <col min="9477" max="9482" width="0" style="159" hidden="1" customWidth="1"/>
    <col min="9483" max="9483" width="11.33203125" style="159" customWidth="1"/>
    <col min="9484" max="9488" width="8.83203125" style="159" customWidth="1"/>
    <col min="9489" max="9489" width="12.5" style="159" customWidth="1"/>
    <col min="9490" max="9490" width="8.83203125" style="159" customWidth="1"/>
    <col min="9491" max="9491" width="12.1640625" style="159" customWidth="1"/>
    <col min="9492" max="9492" width="7.6640625" style="159" bestFit="1" customWidth="1"/>
    <col min="9493" max="9496" width="8.83203125" style="159" customWidth="1"/>
    <col min="9497" max="9497" width="12.33203125" style="159" customWidth="1"/>
    <col min="9498" max="9498" width="8.83203125" style="159" customWidth="1"/>
    <col min="9499" max="9499" width="13.1640625" style="159" customWidth="1"/>
    <col min="9500" max="9504" width="8.83203125" style="159" customWidth="1"/>
    <col min="9505" max="9505" width="13.83203125" style="159" customWidth="1"/>
    <col min="9506" max="9506" width="8.83203125" style="159"/>
    <col min="9507" max="9507" width="13.5" style="159" customWidth="1"/>
    <col min="9508" max="9512" width="8.83203125" style="159"/>
    <col min="9513" max="9513" width="16" style="159" customWidth="1"/>
    <col min="9514" max="9514" width="8.83203125" style="159"/>
    <col min="9515" max="9515" width="12.5" style="159" customWidth="1"/>
    <col min="9516" max="9520" width="8.83203125" style="159"/>
    <col min="9521" max="9521" width="11.83203125" style="159" customWidth="1"/>
    <col min="9522" max="9522" width="8.83203125" style="159"/>
    <col min="9523" max="9523" width="12.5" style="159" customWidth="1"/>
    <col min="9524" max="9528" width="8.83203125" style="159"/>
    <col min="9529" max="9529" width="11.83203125" style="159" customWidth="1"/>
    <col min="9530" max="9530" width="8.83203125" style="159"/>
    <col min="9531" max="9531" width="12.5" style="159" customWidth="1"/>
    <col min="9532" max="9536" width="8.83203125" style="159"/>
    <col min="9537" max="9537" width="11.83203125" style="159" customWidth="1"/>
    <col min="9538" max="9538" width="8.83203125" style="159"/>
    <col min="9539" max="9539" width="12.5" style="159" customWidth="1"/>
    <col min="9540" max="9544" width="8.83203125" style="159"/>
    <col min="9545" max="9545" width="11.83203125" style="159" customWidth="1"/>
    <col min="9546" max="9546" width="8.83203125" style="159"/>
    <col min="9547" max="9547" width="12.5" style="159" customWidth="1"/>
    <col min="9548" max="9552" width="8.83203125" style="159"/>
    <col min="9553" max="9553" width="11.83203125" style="159" customWidth="1"/>
    <col min="9554" max="9554" width="8.83203125" style="159"/>
    <col min="9555" max="9555" width="12.5" style="159" customWidth="1"/>
    <col min="9556" max="9560" width="8.83203125" style="159"/>
    <col min="9561" max="9561" width="11.83203125" style="159" customWidth="1"/>
    <col min="9562" max="9562" width="8.83203125" style="159"/>
    <col min="9563" max="9563" width="12.5" style="159" customWidth="1"/>
    <col min="9564" max="9568" width="8.83203125" style="159"/>
    <col min="9569" max="9569" width="11.83203125" style="159" customWidth="1"/>
    <col min="9570" max="9570" width="8.83203125" style="159"/>
    <col min="9571" max="9571" width="12.5" style="159" customWidth="1"/>
    <col min="9572" max="9576" width="8.83203125" style="159"/>
    <col min="9577" max="9577" width="11.83203125" style="159" customWidth="1"/>
    <col min="9578" max="9728" width="8.83203125" style="159"/>
    <col min="9729" max="9732" width="8.83203125" style="159" customWidth="1"/>
    <col min="9733" max="9738" width="0" style="159" hidden="1" customWidth="1"/>
    <col min="9739" max="9739" width="11.33203125" style="159" customWidth="1"/>
    <col min="9740" max="9744" width="8.83203125" style="159" customWidth="1"/>
    <col min="9745" max="9745" width="12.5" style="159" customWidth="1"/>
    <col min="9746" max="9746" width="8.83203125" style="159" customWidth="1"/>
    <col min="9747" max="9747" width="12.1640625" style="159" customWidth="1"/>
    <col min="9748" max="9748" width="7.6640625" style="159" bestFit="1" customWidth="1"/>
    <col min="9749" max="9752" width="8.83203125" style="159" customWidth="1"/>
    <col min="9753" max="9753" width="12.33203125" style="159" customWidth="1"/>
    <col min="9754" max="9754" width="8.83203125" style="159" customWidth="1"/>
    <col min="9755" max="9755" width="13.1640625" style="159" customWidth="1"/>
    <col min="9756" max="9760" width="8.83203125" style="159" customWidth="1"/>
    <col min="9761" max="9761" width="13.83203125" style="159" customWidth="1"/>
    <col min="9762" max="9762" width="8.83203125" style="159"/>
    <col min="9763" max="9763" width="13.5" style="159" customWidth="1"/>
    <col min="9764" max="9768" width="8.83203125" style="159"/>
    <col min="9769" max="9769" width="16" style="159" customWidth="1"/>
    <col min="9770" max="9770" width="8.83203125" style="159"/>
    <col min="9771" max="9771" width="12.5" style="159" customWidth="1"/>
    <col min="9772" max="9776" width="8.83203125" style="159"/>
    <col min="9777" max="9777" width="11.83203125" style="159" customWidth="1"/>
    <col min="9778" max="9778" width="8.83203125" style="159"/>
    <col min="9779" max="9779" width="12.5" style="159" customWidth="1"/>
    <col min="9780" max="9784" width="8.83203125" style="159"/>
    <col min="9785" max="9785" width="11.83203125" style="159" customWidth="1"/>
    <col min="9786" max="9786" width="8.83203125" style="159"/>
    <col min="9787" max="9787" width="12.5" style="159" customWidth="1"/>
    <col min="9788" max="9792" width="8.83203125" style="159"/>
    <col min="9793" max="9793" width="11.83203125" style="159" customWidth="1"/>
    <col min="9794" max="9794" width="8.83203125" style="159"/>
    <col min="9795" max="9795" width="12.5" style="159" customWidth="1"/>
    <col min="9796" max="9800" width="8.83203125" style="159"/>
    <col min="9801" max="9801" width="11.83203125" style="159" customWidth="1"/>
    <col min="9802" max="9802" width="8.83203125" style="159"/>
    <col min="9803" max="9803" width="12.5" style="159" customWidth="1"/>
    <col min="9804" max="9808" width="8.83203125" style="159"/>
    <col min="9809" max="9809" width="11.83203125" style="159" customWidth="1"/>
    <col min="9810" max="9810" width="8.83203125" style="159"/>
    <col min="9811" max="9811" width="12.5" style="159" customWidth="1"/>
    <col min="9812" max="9816" width="8.83203125" style="159"/>
    <col min="9817" max="9817" width="11.83203125" style="159" customWidth="1"/>
    <col min="9818" max="9818" width="8.83203125" style="159"/>
    <col min="9819" max="9819" width="12.5" style="159" customWidth="1"/>
    <col min="9820" max="9824" width="8.83203125" style="159"/>
    <col min="9825" max="9825" width="11.83203125" style="159" customWidth="1"/>
    <col min="9826" max="9826" width="8.83203125" style="159"/>
    <col min="9827" max="9827" width="12.5" style="159" customWidth="1"/>
    <col min="9828" max="9832" width="8.83203125" style="159"/>
    <col min="9833" max="9833" width="11.83203125" style="159" customWidth="1"/>
    <col min="9834" max="9984" width="8.83203125" style="159"/>
    <col min="9985" max="9988" width="8.83203125" style="159" customWidth="1"/>
    <col min="9989" max="9994" width="0" style="159" hidden="1" customWidth="1"/>
    <col min="9995" max="9995" width="11.33203125" style="159" customWidth="1"/>
    <col min="9996" max="10000" width="8.83203125" style="159" customWidth="1"/>
    <col min="10001" max="10001" width="12.5" style="159" customWidth="1"/>
    <col min="10002" max="10002" width="8.83203125" style="159" customWidth="1"/>
    <col min="10003" max="10003" width="12.1640625" style="159" customWidth="1"/>
    <col min="10004" max="10004" width="7.6640625" style="159" bestFit="1" customWidth="1"/>
    <col min="10005" max="10008" width="8.83203125" style="159" customWidth="1"/>
    <col min="10009" max="10009" width="12.33203125" style="159" customWidth="1"/>
    <col min="10010" max="10010" width="8.83203125" style="159" customWidth="1"/>
    <col min="10011" max="10011" width="13.1640625" style="159" customWidth="1"/>
    <col min="10012" max="10016" width="8.83203125" style="159" customWidth="1"/>
    <col min="10017" max="10017" width="13.83203125" style="159" customWidth="1"/>
    <col min="10018" max="10018" width="8.83203125" style="159"/>
    <col min="10019" max="10019" width="13.5" style="159" customWidth="1"/>
    <col min="10020" max="10024" width="8.83203125" style="159"/>
    <col min="10025" max="10025" width="16" style="159" customWidth="1"/>
    <col min="10026" max="10026" width="8.83203125" style="159"/>
    <col min="10027" max="10027" width="12.5" style="159" customWidth="1"/>
    <col min="10028" max="10032" width="8.83203125" style="159"/>
    <col min="10033" max="10033" width="11.83203125" style="159" customWidth="1"/>
    <col min="10034" max="10034" width="8.83203125" style="159"/>
    <col min="10035" max="10035" width="12.5" style="159" customWidth="1"/>
    <col min="10036" max="10040" width="8.83203125" style="159"/>
    <col min="10041" max="10041" width="11.83203125" style="159" customWidth="1"/>
    <col min="10042" max="10042" width="8.83203125" style="159"/>
    <col min="10043" max="10043" width="12.5" style="159" customWidth="1"/>
    <col min="10044" max="10048" width="8.83203125" style="159"/>
    <col min="10049" max="10049" width="11.83203125" style="159" customWidth="1"/>
    <col min="10050" max="10050" width="8.83203125" style="159"/>
    <col min="10051" max="10051" width="12.5" style="159" customWidth="1"/>
    <col min="10052" max="10056" width="8.83203125" style="159"/>
    <col min="10057" max="10057" width="11.83203125" style="159" customWidth="1"/>
    <col min="10058" max="10058" width="8.83203125" style="159"/>
    <col min="10059" max="10059" width="12.5" style="159" customWidth="1"/>
    <col min="10060" max="10064" width="8.83203125" style="159"/>
    <col min="10065" max="10065" width="11.83203125" style="159" customWidth="1"/>
    <col min="10066" max="10066" width="8.83203125" style="159"/>
    <col min="10067" max="10067" width="12.5" style="159" customWidth="1"/>
    <col min="10068" max="10072" width="8.83203125" style="159"/>
    <col min="10073" max="10073" width="11.83203125" style="159" customWidth="1"/>
    <col min="10074" max="10074" width="8.83203125" style="159"/>
    <col min="10075" max="10075" width="12.5" style="159" customWidth="1"/>
    <col min="10076" max="10080" width="8.83203125" style="159"/>
    <col min="10081" max="10081" width="11.83203125" style="159" customWidth="1"/>
    <col min="10082" max="10082" width="8.83203125" style="159"/>
    <col min="10083" max="10083" width="12.5" style="159" customWidth="1"/>
    <col min="10084" max="10088" width="8.83203125" style="159"/>
    <col min="10089" max="10089" width="11.83203125" style="159" customWidth="1"/>
    <col min="10090" max="10240" width="8.83203125" style="159"/>
    <col min="10241" max="10244" width="8.83203125" style="159" customWidth="1"/>
    <col min="10245" max="10250" width="0" style="159" hidden="1" customWidth="1"/>
    <col min="10251" max="10251" width="11.33203125" style="159" customWidth="1"/>
    <col min="10252" max="10256" width="8.83203125" style="159" customWidth="1"/>
    <col min="10257" max="10257" width="12.5" style="159" customWidth="1"/>
    <col min="10258" max="10258" width="8.83203125" style="159" customWidth="1"/>
    <col min="10259" max="10259" width="12.1640625" style="159" customWidth="1"/>
    <col min="10260" max="10260" width="7.6640625" style="159" bestFit="1" customWidth="1"/>
    <col min="10261" max="10264" width="8.83203125" style="159" customWidth="1"/>
    <col min="10265" max="10265" width="12.33203125" style="159" customWidth="1"/>
    <col min="10266" max="10266" width="8.83203125" style="159" customWidth="1"/>
    <col min="10267" max="10267" width="13.1640625" style="159" customWidth="1"/>
    <col min="10268" max="10272" width="8.83203125" style="159" customWidth="1"/>
    <col min="10273" max="10273" width="13.83203125" style="159" customWidth="1"/>
    <col min="10274" max="10274" width="8.83203125" style="159"/>
    <col min="10275" max="10275" width="13.5" style="159" customWidth="1"/>
    <col min="10276" max="10280" width="8.83203125" style="159"/>
    <col min="10281" max="10281" width="16" style="159" customWidth="1"/>
    <col min="10282" max="10282" width="8.83203125" style="159"/>
    <col min="10283" max="10283" width="12.5" style="159" customWidth="1"/>
    <col min="10284" max="10288" width="8.83203125" style="159"/>
    <col min="10289" max="10289" width="11.83203125" style="159" customWidth="1"/>
    <col min="10290" max="10290" width="8.83203125" style="159"/>
    <col min="10291" max="10291" width="12.5" style="159" customWidth="1"/>
    <col min="10292" max="10296" width="8.83203125" style="159"/>
    <col min="10297" max="10297" width="11.83203125" style="159" customWidth="1"/>
    <col min="10298" max="10298" width="8.83203125" style="159"/>
    <col min="10299" max="10299" width="12.5" style="159" customWidth="1"/>
    <col min="10300" max="10304" width="8.83203125" style="159"/>
    <col min="10305" max="10305" width="11.83203125" style="159" customWidth="1"/>
    <col min="10306" max="10306" width="8.83203125" style="159"/>
    <col min="10307" max="10307" width="12.5" style="159" customWidth="1"/>
    <col min="10308" max="10312" width="8.83203125" style="159"/>
    <col min="10313" max="10313" width="11.83203125" style="159" customWidth="1"/>
    <col min="10314" max="10314" width="8.83203125" style="159"/>
    <col min="10315" max="10315" width="12.5" style="159" customWidth="1"/>
    <col min="10316" max="10320" width="8.83203125" style="159"/>
    <col min="10321" max="10321" width="11.83203125" style="159" customWidth="1"/>
    <col min="10322" max="10322" width="8.83203125" style="159"/>
    <col min="10323" max="10323" width="12.5" style="159" customWidth="1"/>
    <col min="10324" max="10328" width="8.83203125" style="159"/>
    <col min="10329" max="10329" width="11.83203125" style="159" customWidth="1"/>
    <col min="10330" max="10330" width="8.83203125" style="159"/>
    <col min="10331" max="10331" width="12.5" style="159" customWidth="1"/>
    <col min="10332" max="10336" width="8.83203125" style="159"/>
    <col min="10337" max="10337" width="11.83203125" style="159" customWidth="1"/>
    <col min="10338" max="10338" width="8.83203125" style="159"/>
    <col min="10339" max="10339" width="12.5" style="159" customWidth="1"/>
    <col min="10340" max="10344" width="8.83203125" style="159"/>
    <col min="10345" max="10345" width="11.83203125" style="159" customWidth="1"/>
    <col min="10346" max="10496" width="8.83203125" style="159"/>
    <col min="10497" max="10500" width="8.83203125" style="159" customWidth="1"/>
    <col min="10501" max="10506" width="0" style="159" hidden="1" customWidth="1"/>
    <col min="10507" max="10507" width="11.33203125" style="159" customWidth="1"/>
    <col min="10508" max="10512" width="8.83203125" style="159" customWidth="1"/>
    <col min="10513" max="10513" width="12.5" style="159" customWidth="1"/>
    <col min="10514" max="10514" width="8.83203125" style="159" customWidth="1"/>
    <col min="10515" max="10515" width="12.1640625" style="159" customWidth="1"/>
    <col min="10516" max="10516" width="7.6640625" style="159" bestFit="1" customWidth="1"/>
    <col min="10517" max="10520" width="8.83203125" style="159" customWidth="1"/>
    <col min="10521" max="10521" width="12.33203125" style="159" customWidth="1"/>
    <col min="10522" max="10522" width="8.83203125" style="159" customWidth="1"/>
    <col min="10523" max="10523" width="13.1640625" style="159" customWidth="1"/>
    <col min="10524" max="10528" width="8.83203125" style="159" customWidth="1"/>
    <col min="10529" max="10529" width="13.83203125" style="159" customWidth="1"/>
    <col min="10530" max="10530" width="8.83203125" style="159"/>
    <col min="10531" max="10531" width="13.5" style="159" customWidth="1"/>
    <col min="10532" max="10536" width="8.83203125" style="159"/>
    <col min="10537" max="10537" width="16" style="159" customWidth="1"/>
    <col min="10538" max="10538" width="8.83203125" style="159"/>
    <col min="10539" max="10539" width="12.5" style="159" customWidth="1"/>
    <col min="10540" max="10544" width="8.83203125" style="159"/>
    <col min="10545" max="10545" width="11.83203125" style="159" customWidth="1"/>
    <col min="10546" max="10546" width="8.83203125" style="159"/>
    <col min="10547" max="10547" width="12.5" style="159" customWidth="1"/>
    <col min="10548" max="10552" width="8.83203125" style="159"/>
    <col min="10553" max="10553" width="11.83203125" style="159" customWidth="1"/>
    <col min="10554" max="10554" width="8.83203125" style="159"/>
    <col min="10555" max="10555" width="12.5" style="159" customWidth="1"/>
    <col min="10556" max="10560" width="8.83203125" style="159"/>
    <col min="10561" max="10561" width="11.83203125" style="159" customWidth="1"/>
    <col min="10562" max="10562" width="8.83203125" style="159"/>
    <col min="10563" max="10563" width="12.5" style="159" customWidth="1"/>
    <col min="10564" max="10568" width="8.83203125" style="159"/>
    <col min="10569" max="10569" width="11.83203125" style="159" customWidth="1"/>
    <col min="10570" max="10570" width="8.83203125" style="159"/>
    <col min="10571" max="10571" width="12.5" style="159" customWidth="1"/>
    <col min="10572" max="10576" width="8.83203125" style="159"/>
    <col min="10577" max="10577" width="11.83203125" style="159" customWidth="1"/>
    <col min="10578" max="10578" width="8.83203125" style="159"/>
    <col min="10579" max="10579" width="12.5" style="159" customWidth="1"/>
    <col min="10580" max="10584" width="8.83203125" style="159"/>
    <col min="10585" max="10585" width="11.83203125" style="159" customWidth="1"/>
    <col min="10586" max="10586" width="8.83203125" style="159"/>
    <col min="10587" max="10587" width="12.5" style="159" customWidth="1"/>
    <col min="10588" max="10592" width="8.83203125" style="159"/>
    <col min="10593" max="10593" width="11.83203125" style="159" customWidth="1"/>
    <col min="10594" max="10594" width="8.83203125" style="159"/>
    <col min="10595" max="10595" width="12.5" style="159" customWidth="1"/>
    <col min="10596" max="10600" width="8.83203125" style="159"/>
    <col min="10601" max="10601" width="11.83203125" style="159" customWidth="1"/>
    <col min="10602" max="10752" width="8.83203125" style="159"/>
    <col min="10753" max="10756" width="8.83203125" style="159" customWidth="1"/>
    <col min="10757" max="10762" width="0" style="159" hidden="1" customWidth="1"/>
    <col min="10763" max="10763" width="11.33203125" style="159" customWidth="1"/>
    <col min="10764" max="10768" width="8.83203125" style="159" customWidth="1"/>
    <col min="10769" max="10769" width="12.5" style="159" customWidth="1"/>
    <col min="10770" max="10770" width="8.83203125" style="159" customWidth="1"/>
    <col min="10771" max="10771" width="12.1640625" style="159" customWidth="1"/>
    <col min="10772" max="10772" width="7.6640625" style="159" bestFit="1" customWidth="1"/>
    <col min="10773" max="10776" width="8.83203125" style="159" customWidth="1"/>
    <col min="10777" max="10777" width="12.33203125" style="159" customWidth="1"/>
    <col min="10778" max="10778" width="8.83203125" style="159" customWidth="1"/>
    <col min="10779" max="10779" width="13.1640625" style="159" customWidth="1"/>
    <col min="10780" max="10784" width="8.83203125" style="159" customWidth="1"/>
    <col min="10785" max="10785" width="13.83203125" style="159" customWidth="1"/>
    <col min="10786" max="10786" width="8.83203125" style="159"/>
    <col min="10787" max="10787" width="13.5" style="159" customWidth="1"/>
    <col min="10788" max="10792" width="8.83203125" style="159"/>
    <col min="10793" max="10793" width="16" style="159" customWidth="1"/>
    <col min="10794" max="10794" width="8.83203125" style="159"/>
    <col min="10795" max="10795" width="12.5" style="159" customWidth="1"/>
    <col min="10796" max="10800" width="8.83203125" style="159"/>
    <col min="10801" max="10801" width="11.83203125" style="159" customWidth="1"/>
    <col min="10802" max="10802" width="8.83203125" style="159"/>
    <col min="10803" max="10803" width="12.5" style="159" customWidth="1"/>
    <col min="10804" max="10808" width="8.83203125" style="159"/>
    <col min="10809" max="10809" width="11.83203125" style="159" customWidth="1"/>
    <col min="10810" max="10810" width="8.83203125" style="159"/>
    <col min="10811" max="10811" width="12.5" style="159" customWidth="1"/>
    <col min="10812" max="10816" width="8.83203125" style="159"/>
    <col min="10817" max="10817" width="11.83203125" style="159" customWidth="1"/>
    <col min="10818" max="10818" width="8.83203125" style="159"/>
    <col min="10819" max="10819" width="12.5" style="159" customWidth="1"/>
    <col min="10820" max="10824" width="8.83203125" style="159"/>
    <col min="10825" max="10825" width="11.83203125" style="159" customWidth="1"/>
    <col min="10826" max="10826" width="8.83203125" style="159"/>
    <col min="10827" max="10827" width="12.5" style="159" customWidth="1"/>
    <col min="10828" max="10832" width="8.83203125" style="159"/>
    <col min="10833" max="10833" width="11.83203125" style="159" customWidth="1"/>
    <col min="10834" max="10834" width="8.83203125" style="159"/>
    <col min="10835" max="10835" width="12.5" style="159" customWidth="1"/>
    <col min="10836" max="10840" width="8.83203125" style="159"/>
    <col min="10841" max="10841" width="11.83203125" style="159" customWidth="1"/>
    <col min="10842" max="10842" width="8.83203125" style="159"/>
    <col min="10843" max="10843" width="12.5" style="159" customWidth="1"/>
    <col min="10844" max="10848" width="8.83203125" style="159"/>
    <col min="10849" max="10849" width="11.83203125" style="159" customWidth="1"/>
    <col min="10850" max="10850" width="8.83203125" style="159"/>
    <col min="10851" max="10851" width="12.5" style="159" customWidth="1"/>
    <col min="10852" max="10856" width="8.83203125" style="159"/>
    <col min="10857" max="10857" width="11.83203125" style="159" customWidth="1"/>
    <col min="10858" max="11008" width="8.83203125" style="159"/>
    <col min="11009" max="11012" width="8.83203125" style="159" customWidth="1"/>
    <col min="11013" max="11018" width="0" style="159" hidden="1" customWidth="1"/>
    <col min="11019" max="11019" width="11.33203125" style="159" customWidth="1"/>
    <col min="11020" max="11024" width="8.83203125" style="159" customWidth="1"/>
    <col min="11025" max="11025" width="12.5" style="159" customWidth="1"/>
    <col min="11026" max="11026" width="8.83203125" style="159" customWidth="1"/>
    <col min="11027" max="11027" width="12.1640625" style="159" customWidth="1"/>
    <col min="11028" max="11028" width="7.6640625" style="159" bestFit="1" customWidth="1"/>
    <col min="11029" max="11032" width="8.83203125" style="159" customWidth="1"/>
    <col min="11033" max="11033" width="12.33203125" style="159" customWidth="1"/>
    <col min="11034" max="11034" width="8.83203125" style="159" customWidth="1"/>
    <col min="11035" max="11035" width="13.1640625" style="159" customWidth="1"/>
    <col min="11036" max="11040" width="8.83203125" style="159" customWidth="1"/>
    <col min="11041" max="11041" width="13.83203125" style="159" customWidth="1"/>
    <col min="11042" max="11042" width="8.83203125" style="159"/>
    <col min="11043" max="11043" width="13.5" style="159" customWidth="1"/>
    <col min="11044" max="11048" width="8.83203125" style="159"/>
    <col min="11049" max="11049" width="16" style="159" customWidth="1"/>
    <col min="11050" max="11050" width="8.83203125" style="159"/>
    <col min="11051" max="11051" width="12.5" style="159" customWidth="1"/>
    <col min="11052" max="11056" width="8.83203125" style="159"/>
    <col min="11057" max="11057" width="11.83203125" style="159" customWidth="1"/>
    <col min="11058" max="11058" width="8.83203125" style="159"/>
    <col min="11059" max="11059" width="12.5" style="159" customWidth="1"/>
    <col min="11060" max="11064" width="8.83203125" style="159"/>
    <col min="11065" max="11065" width="11.83203125" style="159" customWidth="1"/>
    <col min="11066" max="11066" width="8.83203125" style="159"/>
    <col min="11067" max="11067" width="12.5" style="159" customWidth="1"/>
    <col min="11068" max="11072" width="8.83203125" style="159"/>
    <col min="11073" max="11073" width="11.83203125" style="159" customWidth="1"/>
    <col min="11074" max="11074" width="8.83203125" style="159"/>
    <col min="11075" max="11075" width="12.5" style="159" customWidth="1"/>
    <col min="11076" max="11080" width="8.83203125" style="159"/>
    <col min="11081" max="11081" width="11.83203125" style="159" customWidth="1"/>
    <col min="11082" max="11082" width="8.83203125" style="159"/>
    <col min="11083" max="11083" width="12.5" style="159" customWidth="1"/>
    <col min="11084" max="11088" width="8.83203125" style="159"/>
    <col min="11089" max="11089" width="11.83203125" style="159" customWidth="1"/>
    <col min="11090" max="11090" width="8.83203125" style="159"/>
    <col min="11091" max="11091" width="12.5" style="159" customWidth="1"/>
    <col min="11092" max="11096" width="8.83203125" style="159"/>
    <col min="11097" max="11097" width="11.83203125" style="159" customWidth="1"/>
    <col min="11098" max="11098" width="8.83203125" style="159"/>
    <col min="11099" max="11099" width="12.5" style="159" customWidth="1"/>
    <col min="11100" max="11104" width="8.83203125" style="159"/>
    <col min="11105" max="11105" width="11.83203125" style="159" customWidth="1"/>
    <col min="11106" max="11106" width="8.83203125" style="159"/>
    <col min="11107" max="11107" width="12.5" style="159" customWidth="1"/>
    <col min="11108" max="11112" width="8.83203125" style="159"/>
    <col min="11113" max="11113" width="11.83203125" style="159" customWidth="1"/>
    <col min="11114" max="11264" width="8.83203125" style="159"/>
    <col min="11265" max="11268" width="8.83203125" style="159" customWidth="1"/>
    <col min="11269" max="11274" width="0" style="159" hidden="1" customWidth="1"/>
    <col min="11275" max="11275" width="11.33203125" style="159" customWidth="1"/>
    <col min="11276" max="11280" width="8.83203125" style="159" customWidth="1"/>
    <col min="11281" max="11281" width="12.5" style="159" customWidth="1"/>
    <col min="11282" max="11282" width="8.83203125" style="159" customWidth="1"/>
    <col min="11283" max="11283" width="12.1640625" style="159" customWidth="1"/>
    <col min="11284" max="11284" width="7.6640625" style="159" bestFit="1" customWidth="1"/>
    <col min="11285" max="11288" width="8.83203125" style="159" customWidth="1"/>
    <col min="11289" max="11289" width="12.33203125" style="159" customWidth="1"/>
    <col min="11290" max="11290" width="8.83203125" style="159" customWidth="1"/>
    <col min="11291" max="11291" width="13.1640625" style="159" customWidth="1"/>
    <col min="11292" max="11296" width="8.83203125" style="159" customWidth="1"/>
    <col min="11297" max="11297" width="13.83203125" style="159" customWidth="1"/>
    <col min="11298" max="11298" width="8.83203125" style="159"/>
    <col min="11299" max="11299" width="13.5" style="159" customWidth="1"/>
    <col min="11300" max="11304" width="8.83203125" style="159"/>
    <col min="11305" max="11305" width="16" style="159" customWidth="1"/>
    <col min="11306" max="11306" width="8.83203125" style="159"/>
    <col min="11307" max="11307" width="12.5" style="159" customWidth="1"/>
    <col min="11308" max="11312" width="8.83203125" style="159"/>
    <col min="11313" max="11313" width="11.83203125" style="159" customWidth="1"/>
    <col min="11314" max="11314" width="8.83203125" style="159"/>
    <col min="11315" max="11315" width="12.5" style="159" customWidth="1"/>
    <col min="11316" max="11320" width="8.83203125" style="159"/>
    <col min="11321" max="11321" width="11.83203125" style="159" customWidth="1"/>
    <col min="11322" max="11322" width="8.83203125" style="159"/>
    <col min="11323" max="11323" width="12.5" style="159" customWidth="1"/>
    <col min="11324" max="11328" width="8.83203125" style="159"/>
    <col min="11329" max="11329" width="11.83203125" style="159" customWidth="1"/>
    <col min="11330" max="11330" width="8.83203125" style="159"/>
    <col min="11331" max="11331" width="12.5" style="159" customWidth="1"/>
    <col min="11332" max="11336" width="8.83203125" style="159"/>
    <col min="11337" max="11337" width="11.83203125" style="159" customWidth="1"/>
    <col min="11338" max="11338" width="8.83203125" style="159"/>
    <col min="11339" max="11339" width="12.5" style="159" customWidth="1"/>
    <col min="11340" max="11344" width="8.83203125" style="159"/>
    <col min="11345" max="11345" width="11.83203125" style="159" customWidth="1"/>
    <col min="11346" max="11346" width="8.83203125" style="159"/>
    <col min="11347" max="11347" width="12.5" style="159" customWidth="1"/>
    <col min="11348" max="11352" width="8.83203125" style="159"/>
    <col min="11353" max="11353" width="11.83203125" style="159" customWidth="1"/>
    <col min="11354" max="11354" width="8.83203125" style="159"/>
    <col min="11355" max="11355" width="12.5" style="159" customWidth="1"/>
    <col min="11356" max="11360" width="8.83203125" style="159"/>
    <col min="11361" max="11361" width="11.83203125" style="159" customWidth="1"/>
    <col min="11362" max="11362" width="8.83203125" style="159"/>
    <col min="11363" max="11363" width="12.5" style="159" customWidth="1"/>
    <col min="11364" max="11368" width="8.83203125" style="159"/>
    <col min="11369" max="11369" width="11.83203125" style="159" customWidth="1"/>
    <col min="11370" max="11520" width="8.83203125" style="159"/>
    <col min="11521" max="11524" width="8.83203125" style="159" customWidth="1"/>
    <col min="11525" max="11530" width="0" style="159" hidden="1" customWidth="1"/>
    <col min="11531" max="11531" width="11.33203125" style="159" customWidth="1"/>
    <col min="11532" max="11536" width="8.83203125" style="159" customWidth="1"/>
    <col min="11537" max="11537" width="12.5" style="159" customWidth="1"/>
    <col min="11538" max="11538" width="8.83203125" style="159" customWidth="1"/>
    <col min="11539" max="11539" width="12.1640625" style="159" customWidth="1"/>
    <col min="11540" max="11540" width="7.6640625" style="159" bestFit="1" customWidth="1"/>
    <col min="11541" max="11544" width="8.83203125" style="159" customWidth="1"/>
    <col min="11545" max="11545" width="12.33203125" style="159" customWidth="1"/>
    <col min="11546" max="11546" width="8.83203125" style="159" customWidth="1"/>
    <col min="11547" max="11547" width="13.1640625" style="159" customWidth="1"/>
    <col min="11548" max="11552" width="8.83203125" style="159" customWidth="1"/>
    <col min="11553" max="11553" width="13.83203125" style="159" customWidth="1"/>
    <col min="11554" max="11554" width="8.83203125" style="159"/>
    <col min="11555" max="11555" width="13.5" style="159" customWidth="1"/>
    <col min="11556" max="11560" width="8.83203125" style="159"/>
    <col min="11561" max="11561" width="16" style="159" customWidth="1"/>
    <col min="11562" max="11562" width="8.83203125" style="159"/>
    <col min="11563" max="11563" width="12.5" style="159" customWidth="1"/>
    <col min="11564" max="11568" width="8.83203125" style="159"/>
    <col min="11569" max="11569" width="11.83203125" style="159" customWidth="1"/>
    <col min="11570" max="11570" width="8.83203125" style="159"/>
    <col min="11571" max="11571" width="12.5" style="159" customWidth="1"/>
    <col min="11572" max="11576" width="8.83203125" style="159"/>
    <col min="11577" max="11577" width="11.83203125" style="159" customWidth="1"/>
    <col min="11578" max="11578" width="8.83203125" style="159"/>
    <col min="11579" max="11579" width="12.5" style="159" customWidth="1"/>
    <col min="11580" max="11584" width="8.83203125" style="159"/>
    <col min="11585" max="11585" width="11.83203125" style="159" customWidth="1"/>
    <col min="11586" max="11586" width="8.83203125" style="159"/>
    <col min="11587" max="11587" width="12.5" style="159" customWidth="1"/>
    <col min="11588" max="11592" width="8.83203125" style="159"/>
    <col min="11593" max="11593" width="11.83203125" style="159" customWidth="1"/>
    <col min="11594" max="11594" width="8.83203125" style="159"/>
    <col min="11595" max="11595" width="12.5" style="159" customWidth="1"/>
    <col min="11596" max="11600" width="8.83203125" style="159"/>
    <col min="11601" max="11601" width="11.83203125" style="159" customWidth="1"/>
    <col min="11602" max="11602" width="8.83203125" style="159"/>
    <col min="11603" max="11603" width="12.5" style="159" customWidth="1"/>
    <col min="11604" max="11608" width="8.83203125" style="159"/>
    <col min="11609" max="11609" width="11.83203125" style="159" customWidth="1"/>
    <col min="11610" max="11610" width="8.83203125" style="159"/>
    <col min="11611" max="11611" width="12.5" style="159" customWidth="1"/>
    <col min="11612" max="11616" width="8.83203125" style="159"/>
    <col min="11617" max="11617" width="11.83203125" style="159" customWidth="1"/>
    <col min="11618" max="11618" width="8.83203125" style="159"/>
    <col min="11619" max="11619" width="12.5" style="159" customWidth="1"/>
    <col min="11620" max="11624" width="8.83203125" style="159"/>
    <col min="11625" max="11625" width="11.83203125" style="159" customWidth="1"/>
    <col min="11626" max="11776" width="8.83203125" style="159"/>
    <col min="11777" max="11780" width="8.83203125" style="159" customWidth="1"/>
    <col min="11781" max="11786" width="0" style="159" hidden="1" customWidth="1"/>
    <col min="11787" max="11787" width="11.33203125" style="159" customWidth="1"/>
    <col min="11788" max="11792" width="8.83203125" style="159" customWidth="1"/>
    <col min="11793" max="11793" width="12.5" style="159" customWidth="1"/>
    <col min="11794" max="11794" width="8.83203125" style="159" customWidth="1"/>
    <col min="11795" max="11795" width="12.1640625" style="159" customWidth="1"/>
    <col min="11796" max="11796" width="7.6640625" style="159" bestFit="1" customWidth="1"/>
    <col min="11797" max="11800" width="8.83203125" style="159" customWidth="1"/>
    <col min="11801" max="11801" width="12.33203125" style="159" customWidth="1"/>
    <col min="11802" max="11802" width="8.83203125" style="159" customWidth="1"/>
    <col min="11803" max="11803" width="13.1640625" style="159" customWidth="1"/>
    <col min="11804" max="11808" width="8.83203125" style="159" customWidth="1"/>
    <col min="11809" max="11809" width="13.83203125" style="159" customWidth="1"/>
    <col min="11810" max="11810" width="8.83203125" style="159"/>
    <col min="11811" max="11811" width="13.5" style="159" customWidth="1"/>
    <col min="11812" max="11816" width="8.83203125" style="159"/>
    <col min="11817" max="11817" width="16" style="159" customWidth="1"/>
    <col min="11818" max="11818" width="8.83203125" style="159"/>
    <col min="11819" max="11819" width="12.5" style="159" customWidth="1"/>
    <col min="11820" max="11824" width="8.83203125" style="159"/>
    <col min="11825" max="11825" width="11.83203125" style="159" customWidth="1"/>
    <col min="11826" max="11826" width="8.83203125" style="159"/>
    <col min="11827" max="11827" width="12.5" style="159" customWidth="1"/>
    <col min="11828" max="11832" width="8.83203125" style="159"/>
    <col min="11833" max="11833" width="11.83203125" style="159" customWidth="1"/>
    <col min="11834" max="11834" width="8.83203125" style="159"/>
    <col min="11835" max="11835" width="12.5" style="159" customWidth="1"/>
    <col min="11836" max="11840" width="8.83203125" style="159"/>
    <col min="11841" max="11841" width="11.83203125" style="159" customWidth="1"/>
    <col min="11842" max="11842" width="8.83203125" style="159"/>
    <col min="11843" max="11843" width="12.5" style="159" customWidth="1"/>
    <col min="11844" max="11848" width="8.83203125" style="159"/>
    <col min="11849" max="11849" width="11.83203125" style="159" customWidth="1"/>
    <col min="11850" max="11850" width="8.83203125" style="159"/>
    <col min="11851" max="11851" width="12.5" style="159" customWidth="1"/>
    <col min="11852" max="11856" width="8.83203125" style="159"/>
    <col min="11857" max="11857" width="11.83203125" style="159" customWidth="1"/>
    <col min="11858" max="11858" width="8.83203125" style="159"/>
    <col min="11859" max="11859" width="12.5" style="159" customWidth="1"/>
    <col min="11860" max="11864" width="8.83203125" style="159"/>
    <col min="11865" max="11865" width="11.83203125" style="159" customWidth="1"/>
    <col min="11866" max="11866" width="8.83203125" style="159"/>
    <col min="11867" max="11867" width="12.5" style="159" customWidth="1"/>
    <col min="11868" max="11872" width="8.83203125" style="159"/>
    <col min="11873" max="11873" width="11.83203125" style="159" customWidth="1"/>
    <col min="11874" max="11874" width="8.83203125" style="159"/>
    <col min="11875" max="11875" width="12.5" style="159" customWidth="1"/>
    <col min="11876" max="11880" width="8.83203125" style="159"/>
    <col min="11881" max="11881" width="11.83203125" style="159" customWidth="1"/>
    <col min="11882" max="12032" width="8.83203125" style="159"/>
    <col min="12033" max="12036" width="8.83203125" style="159" customWidth="1"/>
    <col min="12037" max="12042" width="0" style="159" hidden="1" customWidth="1"/>
    <col min="12043" max="12043" width="11.33203125" style="159" customWidth="1"/>
    <col min="12044" max="12048" width="8.83203125" style="159" customWidth="1"/>
    <col min="12049" max="12049" width="12.5" style="159" customWidth="1"/>
    <col min="12050" max="12050" width="8.83203125" style="159" customWidth="1"/>
    <col min="12051" max="12051" width="12.1640625" style="159" customWidth="1"/>
    <col min="12052" max="12052" width="7.6640625" style="159" bestFit="1" customWidth="1"/>
    <col min="12053" max="12056" width="8.83203125" style="159" customWidth="1"/>
    <col min="12057" max="12057" width="12.33203125" style="159" customWidth="1"/>
    <col min="12058" max="12058" width="8.83203125" style="159" customWidth="1"/>
    <col min="12059" max="12059" width="13.1640625" style="159" customWidth="1"/>
    <col min="12060" max="12064" width="8.83203125" style="159" customWidth="1"/>
    <col min="12065" max="12065" width="13.83203125" style="159" customWidth="1"/>
    <col min="12066" max="12066" width="8.83203125" style="159"/>
    <col min="12067" max="12067" width="13.5" style="159" customWidth="1"/>
    <col min="12068" max="12072" width="8.83203125" style="159"/>
    <col min="12073" max="12073" width="16" style="159" customWidth="1"/>
    <col min="12074" max="12074" width="8.83203125" style="159"/>
    <col min="12075" max="12075" width="12.5" style="159" customWidth="1"/>
    <col min="12076" max="12080" width="8.83203125" style="159"/>
    <col min="12081" max="12081" width="11.83203125" style="159" customWidth="1"/>
    <col min="12082" max="12082" width="8.83203125" style="159"/>
    <col min="12083" max="12083" width="12.5" style="159" customWidth="1"/>
    <col min="12084" max="12088" width="8.83203125" style="159"/>
    <col min="12089" max="12089" width="11.83203125" style="159" customWidth="1"/>
    <col min="12090" max="12090" width="8.83203125" style="159"/>
    <col min="12091" max="12091" width="12.5" style="159" customWidth="1"/>
    <col min="12092" max="12096" width="8.83203125" style="159"/>
    <col min="12097" max="12097" width="11.83203125" style="159" customWidth="1"/>
    <col min="12098" max="12098" width="8.83203125" style="159"/>
    <col min="12099" max="12099" width="12.5" style="159" customWidth="1"/>
    <col min="12100" max="12104" width="8.83203125" style="159"/>
    <col min="12105" max="12105" width="11.83203125" style="159" customWidth="1"/>
    <col min="12106" max="12106" width="8.83203125" style="159"/>
    <col min="12107" max="12107" width="12.5" style="159" customWidth="1"/>
    <col min="12108" max="12112" width="8.83203125" style="159"/>
    <col min="12113" max="12113" width="11.83203125" style="159" customWidth="1"/>
    <col min="12114" max="12114" width="8.83203125" style="159"/>
    <col min="12115" max="12115" width="12.5" style="159" customWidth="1"/>
    <col min="12116" max="12120" width="8.83203125" style="159"/>
    <col min="12121" max="12121" width="11.83203125" style="159" customWidth="1"/>
    <col min="12122" max="12122" width="8.83203125" style="159"/>
    <col min="12123" max="12123" width="12.5" style="159" customWidth="1"/>
    <col min="12124" max="12128" width="8.83203125" style="159"/>
    <col min="12129" max="12129" width="11.83203125" style="159" customWidth="1"/>
    <col min="12130" max="12130" width="8.83203125" style="159"/>
    <col min="12131" max="12131" width="12.5" style="159" customWidth="1"/>
    <col min="12132" max="12136" width="8.83203125" style="159"/>
    <col min="12137" max="12137" width="11.83203125" style="159" customWidth="1"/>
    <col min="12138" max="12288" width="8.83203125" style="159"/>
    <col min="12289" max="12292" width="8.83203125" style="159" customWidth="1"/>
    <col min="12293" max="12298" width="0" style="159" hidden="1" customWidth="1"/>
    <col min="12299" max="12299" width="11.33203125" style="159" customWidth="1"/>
    <col min="12300" max="12304" width="8.83203125" style="159" customWidth="1"/>
    <col min="12305" max="12305" width="12.5" style="159" customWidth="1"/>
    <col min="12306" max="12306" width="8.83203125" style="159" customWidth="1"/>
    <col min="12307" max="12307" width="12.1640625" style="159" customWidth="1"/>
    <col min="12308" max="12308" width="7.6640625" style="159" bestFit="1" customWidth="1"/>
    <col min="12309" max="12312" width="8.83203125" style="159" customWidth="1"/>
    <col min="12313" max="12313" width="12.33203125" style="159" customWidth="1"/>
    <col min="12314" max="12314" width="8.83203125" style="159" customWidth="1"/>
    <col min="12315" max="12315" width="13.1640625" style="159" customWidth="1"/>
    <col min="12316" max="12320" width="8.83203125" style="159" customWidth="1"/>
    <col min="12321" max="12321" width="13.83203125" style="159" customWidth="1"/>
    <col min="12322" max="12322" width="8.83203125" style="159"/>
    <col min="12323" max="12323" width="13.5" style="159" customWidth="1"/>
    <col min="12324" max="12328" width="8.83203125" style="159"/>
    <col min="12329" max="12329" width="16" style="159" customWidth="1"/>
    <col min="12330" max="12330" width="8.83203125" style="159"/>
    <col min="12331" max="12331" width="12.5" style="159" customWidth="1"/>
    <col min="12332" max="12336" width="8.83203125" style="159"/>
    <col min="12337" max="12337" width="11.83203125" style="159" customWidth="1"/>
    <col min="12338" max="12338" width="8.83203125" style="159"/>
    <col min="12339" max="12339" width="12.5" style="159" customWidth="1"/>
    <col min="12340" max="12344" width="8.83203125" style="159"/>
    <col min="12345" max="12345" width="11.83203125" style="159" customWidth="1"/>
    <col min="12346" max="12346" width="8.83203125" style="159"/>
    <col min="12347" max="12347" width="12.5" style="159" customWidth="1"/>
    <col min="12348" max="12352" width="8.83203125" style="159"/>
    <col min="12353" max="12353" width="11.83203125" style="159" customWidth="1"/>
    <col min="12354" max="12354" width="8.83203125" style="159"/>
    <col min="12355" max="12355" width="12.5" style="159" customWidth="1"/>
    <col min="12356" max="12360" width="8.83203125" style="159"/>
    <col min="12361" max="12361" width="11.83203125" style="159" customWidth="1"/>
    <col min="12362" max="12362" width="8.83203125" style="159"/>
    <col min="12363" max="12363" width="12.5" style="159" customWidth="1"/>
    <col min="12364" max="12368" width="8.83203125" style="159"/>
    <col min="12369" max="12369" width="11.83203125" style="159" customWidth="1"/>
    <col min="12370" max="12370" width="8.83203125" style="159"/>
    <col min="12371" max="12371" width="12.5" style="159" customWidth="1"/>
    <col min="12372" max="12376" width="8.83203125" style="159"/>
    <col min="12377" max="12377" width="11.83203125" style="159" customWidth="1"/>
    <col min="12378" max="12378" width="8.83203125" style="159"/>
    <col min="12379" max="12379" width="12.5" style="159" customWidth="1"/>
    <col min="12380" max="12384" width="8.83203125" style="159"/>
    <col min="12385" max="12385" width="11.83203125" style="159" customWidth="1"/>
    <col min="12386" max="12386" width="8.83203125" style="159"/>
    <col min="12387" max="12387" width="12.5" style="159" customWidth="1"/>
    <col min="12388" max="12392" width="8.83203125" style="159"/>
    <col min="12393" max="12393" width="11.83203125" style="159" customWidth="1"/>
    <col min="12394" max="12544" width="8.83203125" style="159"/>
    <col min="12545" max="12548" width="8.83203125" style="159" customWidth="1"/>
    <col min="12549" max="12554" width="0" style="159" hidden="1" customWidth="1"/>
    <col min="12555" max="12555" width="11.33203125" style="159" customWidth="1"/>
    <col min="12556" max="12560" width="8.83203125" style="159" customWidth="1"/>
    <col min="12561" max="12561" width="12.5" style="159" customWidth="1"/>
    <col min="12562" max="12562" width="8.83203125" style="159" customWidth="1"/>
    <col min="12563" max="12563" width="12.1640625" style="159" customWidth="1"/>
    <col min="12564" max="12564" width="7.6640625" style="159" bestFit="1" customWidth="1"/>
    <col min="12565" max="12568" width="8.83203125" style="159" customWidth="1"/>
    <col min="12569" max="12569" width="12.33203125" style="159" customWidth="1"/>
    <col min="12570" max="12570" width="8.83203125" style="159" customWidth="1"/>
    <col min="12571" max="12571" width="13.1640625" style="159" customWidth="1"/>
    <col min="12572" max="12576" width="8.83203125" style="159" customWidth="1"/>
    <col min="12577" max="12577" width="13.83203125" style="159" customWidth="1"/>
    <col min="12578" max="12578" width="8.83203125" style="159"/>
    <col min="12579" max="12579" width="13.5" style="159" customWidth="1"/>
    <col min="12580" max="12584" width="8.83203125" style="159"/>
    <col min="12585" max="12585" width="16" style="159" customWidth="1"/>
    <col min="12586" max="12586" width="8.83203125" style="159"/>
    <col min="12587" max="12587" width="12.5" style="159" customWidth="1"/>
    <col min="12588" max="12592" width="8.83203125" style="159"/>
    <col min="12593" max="12593" width="11.83203125" style="159" customWidth="1"/>
    <col min="12594" max="12594" width="8.83203125" style="159"/>
    <col min="12595" max="12595" width="12.5" style="159" customWidth="1"/>
    <col min="12596" max="12600" width="8.83203125" style="159"/>
    <col min="12601" max="12601" width="11.83203125" style="159" customWidth="1"/>
    <col min="12602" max="12602" width="8.83203125" style="159"/>
    <col min="12603" max="12603" width="12.5" style="159" customWidth="1"/>
    <col min="12604" max="12608" width="8.83203125" style="159"/>
    <col min="12609" max="12609" width="11.83203125" style="159" customWidth="1"/>
    <col min="12610" max="12610" width="8.83203125" style="159"/>
    <col min="12611" max="12611" width="12.5" style="159" customWidth="1"/>
    <col min="12612" max="12616" width="8.83203125" style="159"/>
    <col min="12617" max="12617" width="11.83203125" style="159" customWidth="1"/>
    <col min="12618" max="12618" width="8.83203125" style="159"/>
    <col min="12619" max="12619" width="12.5" style="159" customWidth="1"/>
    <col min="12620" max="12624" width="8.83203125" style="159"/>
    <col min="12625" max="12625" width="11.83203125" style="159" customWidth="1"/>
    <col min="12626" max="12626" width="8.83203125" style="159"/>
    <col min="12627" max="12627" width="12.5" style="159" customWidth="1"/>
    <col min="12628" max="12632" width="8.83203125" style="159"/>
    <col min="12633" max="12633" width="11.83203125" style="159" customWidth="1"/>
    <col min="12634" max="12634" width="8.83203125" style="159"/>
    <col min="12635" max="12635" width="12.5" style="159" customWidth="1"/>
    <col min="12636" max="12640" width="8.83203125" style="159"/>
    <col min="12641" max="12641" width="11.83203125" style="159" customWidth="1"/>
    <col min="12642" max="12642" width="8.83203125" style="159"/>
    <col min="12643" max="12643" width="12.5" style="159" customWidth="1"/>
    <col min="12644" max="12648" width="8.83203125" style="159"/>
    <col min="12649" max="12649" width="11.83203125" style="159" customWidth="1"/>
    <col min="12650" max="12800" width="8.83203125" style="159"/>
    <col min="12801" max="12804" width="8.83203125" style="159" customWidth="1"/>
    <col min="12805" max="12810" width="0" style="159" hidden="1" customWidth="1"/>
    <col min="12811" max="12811" width="11.33203125" style="159" customWidth="1"/>
    <col min="12812" max="12816" width="8.83203125" style="159" customWidth="1"/>
    <col min="12817" max="12817" width="12.5" style="159" customWidth="1"/>
    <col min="12818" max="12818" width="8.83203125" style="159" customWidth="1"/>
    <col min="12819" max="12819" width="12.1640625" style="159" customWidth="1"/>
    <col min="12820" max="12820" width="7.6640625" style="159" bestFit="1" customWidth="1"/>
    <col min="12821" max="12824" width="8.83203125" style="159" customWidth="1"/>
    <col min="12825" max="12825" width="12.33203125" style="159" customWidth="1"/>
    <col min="12826" max="12826" width="8.83203125" style="159" customWidth="1"/>
    <col min="12827" max="12827" width="13.1640625" style="159" customWidth="1"/>
    <col min="12828" max="12832" width="8.83203125" style="159" customWidth="1"/>
    <col min="12833" max="12833" width="13.83203125" style="159" customWidth="1"/>
    <col min="12834" max="12834" width="8.83203125" style="159"/>
    <col min="12835" max="12835" width="13.5" style="159" customWidth="1"/>
    <col min="12836" max="12840" width="8.83203125" style="159"/>
    <col min="12841" max="12841" width="16" style="159" customWidth="1"/>
    <col min="12842" max="12842" width="8.83203125" style="159"/>
    <col min="12843" max="12843" width="12.5" style="159" customWidth="1"/>
    <col min="12844" max="12848" width="8.83203125" style="159"/>
    <col min="12849" max="12849" width="11.83203125" style="159" customWidth="1"/>
    <col min="12850" max="12850" width="8.83203125" style="159"/>
    <col min="12851" max="12851" width="12.5" style="159" customWidth="1"/>
    <col min="12852" max="12856" width="8.83203125" style="159"/>
    <col min="12857" max="12857" width="11.83203125" style="159" customWidth="1"/>
    <col min="12858" max="12858" width="8.83203125" style="159"/>
    <col min="12859" max="12859" width="12.5" style="159" customWidth="1"/>
    <col min="12860" max="12864" width="8.83203125" style="159"/>
    <col min="12865" max="12865" width="11.83203125" style="159" customWidth="1"/>
    <col min="12866" max="12866" width="8.83203125" style="159"/>
    <col min="12867" max="12867" width="12.5" style="159" customWidth="1"/>
    <col min="12868" max="12872" width="8.83203125" style="159"/>
    <col min="12873" max="12873" width="11.83203125" style="159" customWidth="1"/>
    <col min="12874" max="12874" width="8.83203125" style="159"/>
    <col min="12875" max="12875" width="12.5" style="159" customWidth="1"/>
    <col min="12876" max="12880" width="8.83203125" style="159"/>
    <col min="12881" max="12881" width="11.83203125" style="159" customWidth="1"/>
    <col min="12882" max="12882" width="8.83203125" style="159"/>
    <col min="12883" max="12883" width="12.5" style="159" customWidth="1"/>
    <col min="12884" max="12888" width="8.83203125" style="159"/>
    <col min="12889" max="12889" width="11.83203125" style="159" customWidth="1"/>
    <col min="12890" max="12890" width="8.83203125" style="159"/>
    <col min="12891" max="12891" width="12.5" style="159" customWidth="1"/>
    <col min="12892" max="12896" width="8.83203125" style="159"/>
    <col min="12897" max="12897" width="11.83203125" style="159" customWidth="1"/>
    <col min="12898" max="12898" width="8.83203125" style="159"/>
    <col min="12899" max="12899" width="12.5" style="159" customWidth="1"/>
    <col min="12900" max="12904" width="8.83203125" style="159"/>
    <col min="12905" max="12905" width="11.83203125" style="159" customWidth="1"/>
    <col min="12906" max="13056" width="8.83203125" style="159"/>
    <col min="13057" max="13060" width="8.83203125" style="159" customWidth="1"/>
    <col min="13061" max="13066" width="0" style="159" hidden="1" customWidth="1"/>
    <col min="13067" max="13067" width="11.33203125" style="159" customWidth="1"/>
    <col min="13068" max="13072" width="8.83203125" style="159" customWidth="1"/>
    <col min="13073" max="13073" width="12.5" style="159" customWidth="1"/>
    <col min="13074" max="13074" width="8.83203125" style="159" customWidth="1"/>
    <col min="13075" max="13075" width="12.1640625" style="159" customWidth="1"/>
    <col min="13076" max="13076" width="7.6640625" style="159" bestFit="1" customWidth="1"/>
    <col min="13077" max="13080" width="8.83203125" style="159" customWidth="1"/>
    <col min="13081" max="13081" width="12.33203125" style="159" customWidth="1"/>
    <col min="13082" max="13082" width="8.83203125" style="159" customWidth="1"/>
    <col min="13083" max="13083" width="13.1640625" style="159" customWidth="1"/>
    <col min="13084" max="13088" width="8.83203125" style="159" customWidth="1"/>
    <col min="13089" max="13089" width="13.83203125" style="159" customWidth="1"/>
    <col min="13090" max="13090" width="8.83203125" style="159"/>
    <col min="13091" max="13091" width="13.5" style="159" customWidth="1"/>
    <col min="13092" max="13096" width="8.83203125" style="159"/>
    <col min="13097" max="13097" width="16" style="159" customWidth="1"/>
    <col min="13098" max="13098" width="8.83203125" style="159"/>
    <col min="13099" max="13099" width="12.5" style="159" customWidth="1"/>
    <col min="13100" max="13104" width="8.83203125" style="159"/>
    <col min="13105" max="13105" width="11.83203125" style="159" customWidth="1"/>
    <col min="13106" max="13106" width="8.83203125" style="159"/>
    <col min="13107" max="13107" width="12.5" style="159" customWidth="1"/>
    <col min="13108" max="13112" width="8.83203125" style="159"/>
    <col min="13113" max="13113" width="11.83203125" style="159" customWidth="1"/>
    <col min="13114" max="13114" width="8.83203125" style="159"/>
    <col min="13115" max="13115" width="12.5" style="159" customWidth="1"/>
    <col min="13116" max="13120" width="8.83203125" style="159"/>
    <col min="13121" max="13121" width="11.83203125" style="159" customWidth="1"/>
    <col min="13122" max="13122" width="8.83203125" style="159"/>
    <col min="13123" max="13123" width="12.5" style="159" customWidth="1"/>
    <col min="13124" max="13128" width="8.83203125" style="159"/>
    <col min="13129" max="13129" width="11.83203125" style="159" customWidth="1"/>
    <col min="13130" max="13130" width="8.83203125" style="159"/>
    <col min="13131" max="13131" width="12.5" style="159" customWidth="1"/>
    <col min="13132" max="13136" width="8.83203125" style="159"/>
    <col min="13137" max="13137" width="11.83203125" style="159" customWidth="1"/>
    <col min="13138" max="13138" width="8.83203125" style="159"/>
    <col min="13139" max="13139" width="12.5" style="159" customWidth="1"/>
    <col min="13140" max="13144" width="8.83203125" style="159"/>
    <col min="13145" max="13145" width="11.83203125" style="159" customWidth="1"/>
    <col min="13146" max="13146" width="8.83203125" style="159"/>
    <col min="13147" max="13147" width="12.5" style="159" customWidth="1"/>
    <col min="13148" max="13152" width="8.83203125" style="159"/>
    <col min="13153" max="13153" width="11.83203125" style="159" customWidth="1"/>
    <col min="13154" max="13154" width="8.83203125" style="159"/>
    <col min="13155" max="13155" width="12.5" style="159" customWidth="1"/>
    <col min="13156" max="13160" width="8.83203125" style="159"/>
    <col min="13161" max="13161" width="11.83203125" style="159" customWidth="1"/>
    <col min="13162" max="13312" width="8.83203125" style="159"/>
    <col min="13313" max="13316" width="8.83203125" style="159" customWidth="1"/>
    <col min="13317" max="13322" width="0" style="159" hidden="1" customWidth="1"/>
    <col min="13323" max="13323" width="11.33203125" style="159" customWidth="1"/>
    <col min="13324" max="13328" width="8.83203125" style="159" customWidth="1"/>
    <col min="13329" max="13329" width="12.5" style="159" customWidth="1"/>
    <col min="13330" max="13330" width="8.83203125" style="159" customWidth="1"/>
    <col min="13331" max="13331" width="12.1640625" style="159" customWidth="1"/>
    <col min="13332" max="13332" width="7.6640625" style="159" bestFit="1" customWidth="1"/>
    <col min="13333" max="13336" width="8.83203125" style="159" customWidth="1"/>
    <col min="13337" max="13337" width="12.33203125" style="159" customWidth="1"/>
    <col min="13338" max="13338" width="8.83203125" style="159" customWidth="1"/>
    <col min="13339" max="13339" width="13.1640625" style="159" customWidth="1"/>
    <col min="13340" max="13344" width="8.83203125" style="159" customWidth="1"/>
    <col min="13345" max="13345" width="13.83203125" style="159" customWidth="1"/>
    <col min="13346" max="13346" width="8.83203125" style="159"/>
    <col min="13347" max="13347" width="13.5" style="159" customWidth="1"/>
    <col min="13348" max="13352" width="8.83203125" style="159"/>
    <col min="13353" max="13353" width="16" style="159" customWidth="1"/>
    <col min="13354" max="13354" width="8.83203125" style="159"/>
    <col min="13355" max="13355" width="12.5" style="159" customWidth="1"/>
    <col min="13356" max="13360" width="8.83203125" style="159"/>
    <col min="13361" max="13361" width="11.83203125" style="159" customWidth="1"/>
    <col min="13362" max="13362" width="8.83203125" style="159"/>
    <col min="13363" max="13363" width="12.5" style="159" customWidth="1"/>
    <col min="13364" max="13368" width="8.83203125" style="159"/>
    <col min="13369" max="13369" width="11.83203125" style="159" customWidth="1"/>
    <col min="13370" max="13370" width="8.83203125" style="159"/>
    <col min="13371" max="13371" width="12.5" style="159" customWidth="1"/>
    <col min="13372" max="13376" width="8.83203125" style="159"/>
    <col min="13377" max="13377" width="11.83203125" style="159" customWidth="1"/>
    <col min="13378" max="13378" width="8.83203125" style="159"/>
    <col min="13379" max="13379" width="12.5" style="159" customWidth="1"/>
    <col min="13380" max="13384" width="8.83203125" style="159"/>
    <col min="13385" max="13385" width="11.83203125" style="159" customWidth="1"/>
    <col min="13386" max="13386" width="8.83203125" style="159"/>
    <col min="13387" max="13387" width="12.5" style="159" customWidth="1"/>
    <col min="13388" max="13392" width="8.83203125" style="159"/>
    <col min="13393" max="13393" width="11.83203125" style="159" customWidth="1"/>
    <col min="13394" max="13394" width="8.83203125" style="159"/>
    <col min="13395" max="13395" width="12.5" style="159" customWidth="1"/>
    <col min="13396" max="13400" width="8.83203125" style="159"/>
    <col min="13401" max="13401" width="11.83203125" style="159" customWidth="1"/>
    <col min="13402" max="13402" width="8.83203125" style="159"/>
    <col min="13403" max="13403" width="12.5" style="159" customWidth="1"/>
    <col min="13404" max="13408" width="8.83203125" style="159"/>
    <col min="13409" max="13409" width="11.83203125" style="159" customWidth="1"/>
    <col min="13410" max="13410" width="8.83203125" style="159"/>
    <col min="13411" max="13411" width="12.5" style="159" customWidth="1"/>
    <col min="13412" max="13416" width="8.83203125" style="159"/>
    <col min="13417" max="13417" width="11.83203125" style="159" customWidth="1"/>
    <col min="13418" max="13568" width="8.83203125" style="159"/>
    <col min="13569" max="13572" width="8.83203125" style="159" customWidth="1"/>
    <col min="13573" max="13578" width="0" style="159" hidden="1" customWidth="1"/>
    <col min="13579" max="13579" width="11.33203125" style="159" customWidth="1"/>
    <col min="13580" max="13584" width="8.83203125" style="159" customWidth="1"/>
    <col min="13585" max="13585" width="12.5" style="159" customWidth="1"/>
    <col min="13586" max="13586" width="8.83203125" style="159" customWidth="1"/>
    <col min="13587" max="13587" width="12.1640625" style="159" customWidth="1"/>
    <col min="13588" max="13588" width="7.6640625" style="159" bestFit="1" customWidth="1"/>
    <col min="13589" max="13592" width="8.83203125" style="159" customWidth="1"/>
    <col min="13593" max="13593" width="12.33203125" style="159" customWidth="1"/>
    <col min="13594" max="13594" width="8.83203125" style="159" customWidth="1"/>
    <col min="13595" max="13595" width="13.1640625" style="159" customWidth="1"/>
    <col min="13596" max="13600" width="8.83203125" style="159" customWidth="1"/>
    <col min="13601" max="13601" width="13.83203125" style="159" customWidth="1"/>
    <col min="13602" max="13602" width="8.83203125" style="159"/>
    <col min="13603" max="13603" width="13.5" style="159" customWidth="1"/>
    <col min="13604" max="13608" width="8.83203125" style="159"/>
    <col min="13609" max="13609" width="16" style="159" customWidth="1"/>
    <col min="13610" max="13610" width="8.83203125" style="159"/>
    <col min="13611" max="13611" width="12.5" style="159" customWidth="1"/>
    <col min="13612" max="13616" width="8.83203125" style="159"/>
    <col min="13617" max="13617" width="11.83203125" style="159" customWidth="1"/>
    <col min="13618" max="13618" width="8.83203125" style="159"/>
    <col min="13619" max="13619" width="12.5" style="159" customWidth="1"/>
    <col min="13620" max="13624" width="8.83203125" style="159"/>
    <col min="13625" max="13625" width="11.83203125" style="159" customWidth="1"/>
    <col min="13626" max="13626" width="8.83203125" style="159"/>
    <col min="13627" max="13627" width="12.5" style="159" customWidth="1"/>
    <col min="13628" max="13632" width="8.83203125" style="159"/>
    <col min="13633" max="13633" width="11.83203125" style="159" customWidth="1"/>
    <col min="13634" max="13634" width="8.83203125" style="159"/>
    <col min="13635" max="13635" width="12.5" style="159" customWidth="1"/>
    <col min="13636" max="13640" width="8.83203125" style="159"/>
    <col min="13641" max="13641" width="11.83203125" style="159" customWidth="1"/>
    <col min="13642" max="13642" width="8.83203125" style="159"/>
    <col min="13643" max="13643" width="12.5" style="159" customWidth="1"/>
    <col min="13644" max="13648" width="8.83203125" style="159"/>
    <col min="13649" max="13649" width="11.83203125" style="159" customWidth="1"/>
    <col min="13650" max="13650" width="8.83203125" style="159"/>
    <col min="13651" max="13651" width="12.5" style="159" customWidth="1"/>
    <col min="13652" max="13656" width="8.83203125" style="159"/>
    <col min="13657" max="13657" width="11.83203125" style="159" customWidth="1"/>
    <col min="13658" max="13658" width="8.83203125" style="159"/>
    <col min="13659" max="13659" width="12.5" style="159" customWidth="1"/>
    <col min="13660" max="13664" width="8.83203125" style="159"/>
    <col min="13665" max="13665" width="11.83203125" style="159" customWidth="1"/>
    <col min="13666" max="13666" width="8.83203125" style="159"/>
    <col min="13667" max="13667" width="12.5" style="159" customWidth="1"/>
    <col min="13668" max="13672" width="8.83203125" style="159"/>
    <col min="13673" max="13673" width="11.83203125" style="159" customWidth="1"/>
    <col min="13674" max="13824" width="8.83203125" style="159"/>
    <col min="13825" max="13828" width="8.83203125" style="159" customWidth="1"/>
    <col min="13829" max="13834" width="0" style="159" hidden="1" customWidth="1"/>
    <col min="13835" max="13835" width="11.33203125" style="159" customWidth="1"/>
    <col min="13836" max="13840" width="8.83203125" style="159" customWidth="1"/>
    <col min="13841" max="13841" width="12.5" style="159" customWidth="1"/>
    <col min="13842" max="13842" width="8.83203125" style="159" customWidth="1"/>
    <col min="13843" max="13843" width="12.1640625" style="159" customWidth="1"/>
    <col min="13844" max="13844" width="7.6640625" style="159" bestFit="1" customWidth="1"/>
    <col min="13845" max="13848" width="8.83203125" style="159" customWidth="1"/>
    <col min="13849" max="13849" width="12.33203125" style="159" customWidth="1"/>
    <col min="13850" max="13850" width="8.83203125" style="159" customWidth="1"/>
    <col min="13851" max="13851" width="13.1640625" style="159" customWidth="1"/>
    <col min="13852" max="13856" width="8.83203125" style="159" customWidth="1"/>
    <col min="13857" max="13857" width="13.83203125" style="159" customWidth="1"/>
    <col min="13858" max="13858" width="8.83203125" style="159"/>
    <col min="13859" max="13859" width="13.5" style="159" customWidth="1"/>
    <col min="13860" max="13864" width="8.83203125" style="159"/>
    <col min="13865" max="13865" width="16" style="159" customWidth="1"/>
    <col min="13866" max="13866" width="8.83203125" style="159"/>
    <col min="13867" max="13867" width="12.5" style="159" customWidth="1"/>
    <col min="13868" max="13872" width="8.83203125" style="159"/>
    <col min="13873" max="13873" width="11.83203125" style="159" customWidth="1"/>
    <col min="13874" max="13874" width="8.83203125" style="159"/>
    <col min="13875" max="13875" width="12.5" style="159" customWidth="1"/>
    <col min="13876" max="13880" width="8.83203125" style="159"/>
    <col min="13881" max="13881" width="11.83203125" style="159" customWidth="1"/>
    <col min="13882" max="13882" width="8.83203125" style="159"/>
    <col min="13883" max="13883" width="12.5" style="159" customWidth="1"/>
    <col min="13884" max="13888" width="8.83203125" style="159"/>
    <col min="13889" max="13889" width="11.83203125" style="159" customWidth="1"/>
    <col min="13890" max="13890" width="8.83203125" style="159"/>
    <col min="13891" max="13891" width="12.5" style="159" customWidth="1"/>
    <col min="13892" max="13896" width="8.83203125" style="159"/>
    <col min="13897" max="13897" width="11.83203125" style="159" customWidth="1"/>
    <col min="13898" max="13898" width="8.83203125" style="159"/>
    <col min="13899" max="13899" width="12.5" style="159" customWidth="1"/>
    <col min="13900" max="13904" width="8.83203125" style="159"/>
    <col min="13905" max="13905" width="11.83203125" style="159" customWidth="1"/>
    <col min="13906" max="13906" width="8.83203125" style="159"/>
    <col min="13907" max="13907" width="12.5" style="159" customWidth="1"/>
    <col min="13908" max="13912" width="8.83203125" style="159"/>
    <col min="13913" max="13913" width="11.83203125" style="159" customWidth="1"/>
    <col min="13914" max="13914" width="8.83203125" style="159"/>
    <col min="13915" max="13915" width="12.5" style="159" customWidth="1"/>
    <col min="13916" max="13920" width="8.83203125" style="159"/>
    <col min="13921" max="13921" width="11.83203125" style="159" customWidth="1"/>
    <col min="13922" max="13922" width="8.83203125" style="159"/>
    <col min="13923" max="13923" width="12.5" style="159" customWidth="1"/>
    <col min="13924" max="13928" width="8.83203125" style="159"/>
    <col min="13929" max="13929" width="11.83203125" style="159" customWidth="1"/>
    <col min="13930" max="14080" width="8.83203125" style="159"/>
    <col min="14081" max="14084" width="8.83203125" style="159" customWidth="1"/>
    <col min="14085" max="14090" width="0" style="159" hidden="1" customWidth="1"/>
    <col min="14091" max="14091" width="11.33203125" style="159" customWidth="1"/>
    <col min="14092" max="14096" width="8.83203125" style="159" customWidth="1"/>
    <col min="14097" max="14097" width="12.5" style="159" customWidth="1"/>
    <col min="14098" max="14098" width="8.83203125" style="159" customWidth="1"/>
    <col min="14099" max="14099" width="12.1640625" style="159" customWidth="1"/>
    <col min="14100" max="14100" width="7.6640625" style="159" bestFit="1" customWidth="1"/>
    <col min="14101" max="14104" width="8.83203125" style="159" customWidth="1"/>
    <col min="14105" max="14105" width="12.33203125" style="159" customWidth="1"/>
    <col min="14106" max="14106" width="8.83203125" style="159" customWidth="1"/>
    <col min="14107" max="14107" width="13.1640625" style="159" customWidth="1"/>
    <col min="14108" max="14112" width="8.83203125" style="159" customWidth="1"/>
    <col min="14113" max="14113" width="13.83203125" style="159" customWidth="1"/>
    <col min="14114" max="14114" width="8.83203125" style="159"/>
    <col min="14115" max="14115" width="13.5" style="159" customWidth="1"/>
    <col min="14116" max="14120" width="8.83203125" style="159"/>
    <col min="14121" max="14121" width="16" style="159" customWidth="1"/>
    <col min="14122" max="14122" width="8.83203125" style="159"/>
    <col min="14123" max="14123" width="12.5" style="159" customWidth="1"/>
    <col min="14124" max="14128" width="8.83203125" style="159"/>
    <col min="14129" max="14129" width="11.83203125" style="159" customWidth="1"/>
    <col min="14130" max="14130" width="8.83203125" style="159"/>
    <col min="14131" max="14131" width="12.5" style="159" customWidth="1"/>
    <col min="14132" max="14136" width="8.83203125" style="159"/>
    <col min="14137" max="14137" width="11.83203125" style="159" customWidth="1"/>
    <col min="14138" max="14138" width="8.83203125" style="159"/>
    <col min="14139" max="14139" width="12.5" style="159" customWidth="1"/>
    <col min="14140" max="14144" width="8.83203125" style="159"/>
    <col min="14145" max="14145" width="11.83203125" style="159" customWidth="1"/>
    <col min="14146" max="14146" width="8.83203125" style="159"/>
    <col min="14147" max="14147" width="12.5" style="159" customWidth="1"/>
    <col min="14148" max="14152" width="8.83203125" style="159"/>
    <col min="14153" max="14153" width="11.83203125" style="159" customWidth="1"/>
    <col min="14154" max="14154" width="8.83203125" style="159"/>
    <col min="14155" max="14155" width="12.5" style="159" customWidth="1"/>
    <col min="14156" max="14160" width="8.83203125" style="159"/>
    <col min="14161" max="14161" width="11.83203125" style="159" customWidth="1"/>
    <col min="14162" max="14162" width="8.83203125" style="159"/>
    <col min="14163" max="14163" width="12.5" style="159" customWidth="1"/>
    <col min="14164" max="14168" width="8.83203125" style="159"/>
    <col min="14169" max="14169" width="11.83203125" style="159" customWidth="1"/>
    <col min="14170" max="14170" width="8.83203125" style="159"/>
    <col min="14171" max="14171" width="12.5" style="159" customWidth="1"/>
    <col min="14172" max="14176" width="8.83203125" style="159"/>
    <col min="14177" max="14177" width="11.83203125" style="159" customWidth="1"/>
    <col min="14178" max="14178" width="8.83203125" style="159"/>
    <col min="14179" max="14179" width="12.5" style="159" customWidth="1"/>
    <col min="14180" max="14184" width="8.83203125" style="159"/>
    <col min="14185" max="14185" width="11.83203125" style="159" customWidth="1"/>
    <col min="14186" max="14336" width="8.83203125" style="159"/>
    <col min="14337" max="14340" width="8.83203125" style="159" customWidth="1"/>
    <col min="14341" max="14346" width="0" style="159" hidden="1" customWidth="1"/>
    <col min="14347" max="14347" width="11.33203125" style="159" customWidth="1"/>
    <col min="14348" max="14352" width="8.83203125" style="159" customWidth="1"/>
    <col min="14353" max="14353" width="12.5" style="159" customWidth="1"/>
    <col min="14354" max="14354" width="8.83203125" style="159" customWidth="1"/>
    <col min="14355" max="14355" width="12.1640625" style="159" customWidth="1"/>
    <col min="14356" max="14356" width="7.6640625" style="159" bestFit="1" customWidth="1"/>
    <col min="14357" max="14360" width="8.83203125" style="159" customWidth="1"/>
    <col min="14361" max="14361" width="12.33203125" style="159" customWidth="1"/>
    <col min="14362" max="14362" width="8.83203125" style="159" customWidth="1"/>
    <col min="14363" max="14363" width="13.1640625" style="159" customWidth="1"/>
    <col min="14364" max="14368" width="8.83203125" style="159" customWidth="1"/>
    <col min="14369" max="14369" width="13.83203125" style="159" customWidth="1"/>
    <col min="14370" max="14370" width="8.83203125" style="159"/>
    <col min="14371" max="14371" width="13.5" style="159" customWidth="1"/>
    <col min="14372" max="14376" width="8.83203125" style="159"/>
    <col min="14377" max="14377" width="16" style="159" customWidth="1"/>
    <col min="14378" max="14378" width="8.83203125" style="159"/>
    <col min="14379" max="14379" width="12.5" style="159" customWidth="1"/>
    <col min="14380" max="14384" width="8.83203125" style="159"/>
    <col min="14385" max="14385" width="11.83203125" style="159" customWidth="1"/>
    <col min="14386" max="14386" width="8.83203125" style="159"/>
    <col min="14387" max="14387" width="12.5" style="159" customWidth="1"/>
    <col min="14388" max="14392" width="8.83203125" style="159"/>
    <col min="14393" max="14393" width="11.83203125" style="159" customWidth="1"/>
    <col min="14394" max="14394" width="8.83203125" style="159"/>
    <col min="14395" max="14395" width="12.5" style="159" customWidth="1"/>
    <col min="14396" max="14400" width="8.83203125" style="159"/>
    <col min="14401" max="14401" width="11.83203125" style="159" customWidth="1"/>
    <col min="14402" max="14402" width="8.83203125" style="159"/>
    <col min="14403" max="14403" width="12.5" style="159" customWidth="1"/>
    <col min="14404" max="14408" width="8.83203125" style="159"/>
    <col min="14409" max="14409" width="11.83203125" style="159" customWidth="1"/>
    <col min="14410" max="14410" width="8.83203125" style="159"/>
    <col min="14411" max="14411" width="12.5" style="159" customWidth="1"/>
    <col min="14412" max="14416" width="8.83203125" style="159"/>
    <col min="14417" max="14417" width="11.83203125" style="159" customWidth="1"/>
    <col min="14418" max="14418" width="8.83203125" style="159"/>
    <col min="14419" max="14419" width="12.5" style="159" customWidth="1"/>
    <col min="14420" max="14424" width="8.83203125" style="159"/>
    <col min="14425" max="14425" width="11.83203125" style="159" customWidth="1"/>
    <col min="14426" max="14426" width="8.83203125" style="159"/>
    <col min="14427" max="14427" width="12.5" style="159" customWidth="1"/>
    <col min="14428" max="14432" width="8.83203125" style="159"/>
    <col min="14433" max="14433" width="11.83203125" style="159" customWidth="1"/>
    <col min="14434" max="14434" width="8.83203125" style="159"/>
    <col min="14435" max="14435" width="12.5" style="159" customWidth="1"/>
    <col min="14436" max="14440" width="8.83203125" style="159"/>
    <col min="14441" max="14441" width="11.83203125" style="159" customWidth="1"/>
    <col min="14442" max="14592" width="8.83203125" style="159"/>
    <col min="14593" max="14596" width="8.83203125" style="159" customWidth="1"/>
    <col min="14597" max="14602" width="0" style="159" hidden="1" customWidth="1"/>
    <col min="14603" max="14603" width="11.33203125" style="159" customWidth="1"/>
    <col min="14604" max="14608" width="8.83203125" style="159" customWidth="1"/>
    <col min="14609" max="14609" width="12.5" style="159" customWidth="1"/>
    <col min="14610" max="14610" width="8.83203125" style="159" customWidth="1"/>
    <col min="14611" max="14611" width="12.1640625" style="159" customWidth="1"/>
    <col min="14612" max="14612" width="7.6640625" style="159" bestFit="1" customWidth="1"/>
    <col min="14613" max="14616" width="8.83203125" style="159" customWidth="1"/>
    <col min="14617" max="14617" width="12.33203125" style="159" customWidth="1"/>
    <col min="14618" max="14618" width="8.83203125" style="159" customWidth="1"/>
    <col min="14619" max="14619" width="13.1640625" style="159" customWidth="1"/>
    <col min="14620" max="14624" width="8.83203125" style="159" customWidth="1"/>
    <col min="14625" max="14625" width="13.83203125" style="159" customWidth="1"/>
    <col min="14626" max="14626" width="8.83203125" style="159"/>
    <col min="14627" max="14627" width="13.5" style="159" customWidth="1"/>
    <col min="14628" max="14632" width="8.83203125" style="159"/>
    <col min="14633" max="14633" width="16" style="159" customWidth="1"/>
    <col min="14634" max="14634" width="8.83203125" style="159"/>
    <col min="14635" max="14635" width="12.5" style="159" customWidth="1"/>
    <col min="14636" max="14640" width="8.83203125" style="159"/>
    <col min="14641" max="14641" width="11.83203125" style="159" customWidth="1"/>
    <col min="14642" max="14642" width="8.83203125" style="159"/>
    <col min="14643" max="14643" width="12.5" style="159" customWidth="1"/>
    <col min="14644" max="14648" width="8.83203125" style="159"/>
    <col min="14649" max="14649" width="11.83203125" style="159" customWidth="1"/>
    <col min="14650" max="14650" width="8.83203125" style="159"/>
    <col min="14651" max="14651" width="12.5" style="159" customWidth="1"/>
    <col min="14652" max="14656" width="8.83203125" style="159"/>
    <col min="14657" max="14657" width="11.83203125" style="159" customWidth="1"/>
    <col min="14658" max="14658" width="8.83203125" style="159"/>
    <col min="14659" max="14659" width="12.5" style="159" customWidth="1"/>
    <col min="14660" max="14664" width="8.83203125" style="159"/>
    <col min="14665" max="14665" width="11.83203125" style="159" customWidth="1"/>
    <col min="14666" max="14666" width="8.83203125" style="159"/>
    <col min="14667" max="14667" width="12.5" style="159" customWidth="1"/>
    <col min="14668" max="14672" width="8.83203125" style="159"/>
    <col min="14673" max="14673" width="11.83203125" style="159" customWidth="1"/>
    <col min="14674" max="14674" width="8.83203125" style="159"/>
    <col min="14675" max="14675" width="12.5" style="159" customWidth="1"/>
    <col min="14676" max="14680" width="8.83203125" style="159"/>
    <col min="14681" max="14681" width="11.83203125" style="159" customWidth="1"/>
    <col min="14682" max="14682" width="8.83203125" style="159"/>
    <col min="14683" max="14683" width="12.5" style="159" customWidth="1"/>
    <col min="14684" max="14688" width="8.83203125" style="159"/>
    <col min="14689" max="14689" width="11.83203125" style="159" customWidth="1"/>
    <col min="14690" max="14690" width="8.83203125" style="159"/>
    <col min="14691" max="14691" width="12.5" style="159" customWidth="1"/>
    <col min="14692" max="14696" width="8.83203125" style="159"/>
    <col min="14697" max="14697" width="11.83203125" style="159" customWidth="1"/>
    <col min="14698" max="14848" width="8.83203125" style="159"/>
    <col min="14849" max="14852" width="8.83203125" style="159" customWidth="1"/>
    <col min="14853" max="14858" width="0" style="159" hidden="1" customWidth="1"/>
    <col min="14859" max="14859" width="11.33203125" style="159" customWidth="1"/>
    <col min="14860" max="14864" width="8.83203125" style="159" customWidth="1"/>
    <col min="14865" max="14865" width="12.5" style="159" customWidth="1"/>
    <col min="14866" max="14866" width="8.83203125" style="159" customWidth="1"/>
    <col min="14867" max="14867" width="12.1640625" style="159" customWidth="1"/>
    <col min="14868" max="14868" width="7.6640625" style="159" bestFit="1" customWidth="1"/>
    <col min="14869" max="14872" width="8.83203125" style="159" customWidth="1"/>
    <col min="14873" max="14873" width="12.33203125" style="159" customWidth="1"/>
    <col min="14874" max="14874" width="8.83203125" style="159" customWidth="1"/>
    <col min="14875" max="14875" width="13.1640625" style="159" customWidth="1"/>
    <col min="14876" max="14880" width="8.83203125" style="159" customWidth="1"/>
    <col min="14881" max="14881" width="13.83203125" style="159" customWidth="1"/>
    <col min="14882" max="14882" width="8.83203125" style="159"/>
    <col min="14883" max="14883" width="13.5" style="159" customWidth="1"/>
    <col min="14884" max="14888" width="8.83203125" style="159"/>
    <col min="14889" max="14889" width="16" style="159" customWidth="1"/>
    <col min="14890" max="14890" width="8.83203125" style="159"/>
    <col min="14891" max="14891" width="12.5" style="159" customWidth="1"/>
    <col min="14892" max="14896" width="8.83203125" style="159"/>
    <col min="14897" max="14897" width="11.83203125" style="159" customWidth="1"/>
    <col min="14898" max="14898" width="8.83203125" style="159"/>
    <col min="14899" max="14899" width="12.5" style="159" customWidth="1"/>
    <col min="14900" max="14904" width="8.83203125" style="159"/>
    <col min="14905" max="14905" width="11.83203125" style="159" customWidth="1"/>
    <col min="14906" max="14906" width="8.83203125" style="159"/>
    <col min="14907" max="14907" width="12.5" style="159" customWidth="1"/>
    <col min="14908" max="14912" width="8.83203125" style="159"/>
    <col min="14913" max="14913" width="11.83203125" style="159" customWidth="1"/>
    <col min="14914" max="14914" width="8.83203125" style="159"/>
    <col min="14915" max="14915" width="12.5" style="159" customWidth="1"/>
    <col min="14916" max="14920" width="8.83203125" style="159"/>
    <col min="14921" max="14921" width="11.83203125" style="159" customWidth="1"/>
    <col min="14922" max="14922" width="8.83203125" style="159"/>
    <col min="14923" max="14923" width="12.5" style="159" customWidth="1"/>
    <col min="14924" max="14928" width="8.83203125" style="159"/>
    <col min="14929" max="14929" width="11.83203125" style="159" customWidth="1"/>
    <col min="14930" max="14930" width="8.83203125" style="159"/>
    <col min="14931" max="14931" width="12.5" style="159" customWidth="1"/>
    <col min="14932" max="14936" width="8.83203125" style="159"/>
    <col min="14937" max="14937" width="11.83203125" style="159" customWidth="1"/>
    <col min="14938" max="14938" width="8.83203125" style="159"/>
    <col min="14939" max="14939" width="12.5" style="159" customWidth="1"/>
    <col min="14940" max="14944" width="8.83203125" style="159"/>
    <col min="14945" max="14945" width="11.83203125" style="159" customWidth="1"/>
    <col min="14946" max="14946" width="8.83203125" style="159"/>
    <col min="14947" max="14947" width="12.5" style="159" customWidth="1"/>
    <col min="14948" max="14952" width="8.83203125" style="159"/>
    <col min="14953" max="14953" width="11.83203125" style="159" customWidth="1"/>
    <col min="14954" max="15104" width="8.83203125" style="159"/>
    <col min="15105" max="15108" width="8.83203125" style="159" customWidth="1"/>
    <col min="15109" max="15114" width="0" style="159" hidden="1" customWidth="1"/>
    <col min="15115" max="15115" width="11.33203125" style="159" customWidth="1"/>
    <col min="15116" max="15120" width="8.83203125" style="159" customWidth="1"/>
    <col min="15121" max="15121" width="12.5" style="159" customWidth="1"/>
    <col min="15122" max="15122" width="8.83203125" style="159" customWidth="1"/>
    <col min="15123" max="15123" width="12.1640625" style="159" customWidth="1"/>
    <col min="15124" max="15124" width="7.6640625" style="159" bestFit="1" customWidth="1"/>
    <col min="15125" max="15128" width="8.83203125" style="159" customWidth="1"/>
    <col min="15129" max="15129" width="12.33203125" style="159" customWidth="1"/>
    <col min="15130" max="15130" width="8.83203125" style="159" customWidth="1"/>
    <col min="15131" max="15131" width="13.1640625" style="159" customWidth="1"/>
    <col min="15132" max="15136" width="8.83203125" style="159" customWidth="1"/>
    <col min="15137" max="15137" width="13.83203125" style="159" customWidth="1"/>
    <col min="15138" max="15138" width="8.83203125" style="159"/>
    <col min="15139" max="15139" width="13.5" style="159" customWidth="1"/>
    <col min="15140" max="15144" width="8.83203125" style="159"/>
    <col min="15145" max="15145" width="16" style="159" customWidth="1"/>
    <col min="15146" max="15146" width="8.83203125" style="159"/>
    <col min="15147" max="15147" width="12.5" style="159" customWidth="1"/>
    <col min="15148" max="15152" width="8.83203125" style="159"/>
    <col min="15153" max="15153" width="11.83203125" style="159" customWidth="1"/>
    <col min="15154" max="15154" width="8.83203125" style="159"/>
    <col min="15155" max="15155" width="12.5" style="159" customWidth="1"/>
    <col min="15156" max="15160" width="8.83203125" style="159"/>
    <col min="15161" max="15161" width="11.83203125" style="159" customWidth="1"/>
    <col min="15162" max="15162" width="8.83203125" style="159"/>
    <col min="15163" max="15163" width="12.5" style="159" customWidth="1"/>
    <col min="15164" max="15168" width="8.83203125" style="159"/>
    <col min="15169" max="15169" width="11.83203125" style="159" customWidth="1"/>
    <col min="15170" max="15170" width="8.83203125" style="159"/>
    <col min="15171" max="15171" width="12.5" style="159" customWidth="1"/>
    <col min="15172" max="15176" width="8.83203125" style="159"/>
    <col min="15177" max="15177" width="11.83203125" style="159" customWidth="1"/>
    <col min="15178" max="15178" width="8.83203125" style="159"/>
    <col min="15179" max="15179" width="12.5" style="159" customWidth="1"/>
    <col min="15180" max="15184" width="8.83203125" style="159"/>
    <col min="15185" max="15185" width="11.83203125" style="159" customWidth="1"/>
    <col min="15186" max="15186" width="8.83203125" style="159"/>
    <col min="15187" max="15187" width="12.5" style="159" customWidth="1"/>
    <col min="15188" max="15192" width="8.83203125" style="159"/>
    <col min="15193" max="15193" width="11.83203125" style="159" customWidth="1"/>
    <col min="15194" max="15194" width="8.83203125" style="159"/>
    <col min="15195" max="15195" width="12.5" style="159" customWidth="1"/>
    <col min="15196" max="15200" width="8.83203125" style="159"/>
    <col min="15201" max="15201" width="11.83203125" style="159" customWidth="1"/>
    <col min="15202" max="15202" width="8.83203125" style="159"/>
    <col min="15203" max="15203" width="12.5" style="159" customWidth="1"/>
    <col min="15204" max="15208" width="8.83203125" style="159"/>
    <col min="15209" max="15209" width="11.83203125" style="159" customWidth="1"/>
    <col min="15210" max="15360" width="8.83203125" style="159"/>
    <col min="15361" max="15364" width="8.83203125" style="159" customWidth="1"/>
    <col min="15365" max="15370" width="0" style="159" hidden="1" customWidth="1"/>
    <col min="15371" max="15371" width="11.33203125" style="159" customWidth="1"/>
    <col min="15372" max="15376" width="8.83203125" style="159" customWidth="1"/>
    <col min="15377" max="15377" width="12.5" style="159" customWidth="1"/>
    <col min="15378" max="15378" width="8.83203125" style="159" customWidth="1"/>
    <col min="15379" max="15379" width="12.1640625" style="159" customWidth="1"/>
    <col min="15380" max="15380" width="7.6640625" style="159" bestFit="1" customWidth="1"/>
    <col min="15381" max="15384" width="8.83203125" style="159" customWidth="1"/>
    <col min="15385" max="15385" width="12.33203125" style="159" customWidth="1"/>
    <col min="15386" max="15386" width="8.83203125" style="159" customWidth="1"/>
    <col min="15387" max="15387" width="13.1640625" style="159" customWidth="1"/>
    <col min="15388" max="15392" width="8.83203125" style="159" customWidth="1"/>
    <col min="15393" max="15393" width="13.83203125" style="159" customWidth="1"/>
    <col min="15394" max="15394" width="8.83203125" style="159"/>
    <col min="15395" max="15395" width="13.5" style="159" customWidth="1"/>
    <col min="15396" max="15400" width="8.83203125" style="159"/>
    <col min="15401" max="15401" width="16" style="159" customWidth="1"/>
    <col min="15402" max="15402" width="8.83203125" style="159"/>
    <col min="15403" max="15403" width="12.5" style="159" customWidth="1"/>
    <col min="15404" max="15408" width="8.83203125" style="159"/>
    <col min="15409" max="15409" width="11.83203125" style="159" customWidth="1"/>
    <col min="15410" max="15410" width="8.83203125" style="159"/>
    <col min="15411" max="15411" width="12.5" style="159" customWidth="1"/>
    <col min="15412" max="15416" width="8.83203125" style="159"/>
    <col min="15417" max="15417" width="11.83203125" style="159" customWidth="1"/>
    <col min="15418" max="15418" width="8.83203125" style="159"/>
    <col min="15419" max="15419" width="12.5" style="159" customWidth="1"/>
    <col min="15420" max="15424" width="8.83203125" style="159"/>
    <col min="15425" max="15425" width="11.83203125" style="159" customWidth="1"/>
    <col min="15426" max="15426" width="8.83203125" style="159"/>
    <col min="15427" max="15427" width="12.5" style="159" customWidth="1"/>
    <col min="15428" max="15432" width="8.83203125" style="159"/>
    <col min="15433" max="15433" width="11.83203125" style="159" customWidth="1"/>
    <col min="15434" max="15434" width="8.83203125" style="159"/>
    <col min="15435" max="15435" width="12.5" style="159" customWidth="1"/>
    <col min="15436" max="15440" width="8.83203125" style="159"/>
    <col min="15441" max="15441" width="11.83203125" style="159" customWidth="1"/>
    <col min="15442" max="15442" width="8.83203125" style="159"/>
    <col min="15443" max="15443" width="12.5" style="159" customWidth="1"/>
    <col min="15444" max="15448" width="8.83203125" style="159"/>
    <col min="15449" max="15449" width="11.83203125" style="159" customWidth="1"/>
    <col min="15450" max="15450" width="8.83203125" style="159"/>
    <col min="15451" max="15451" width="12.5" style="159" customWidth="1"/>
    <col min="15452" max="15456" width="8.83203125" style="159"/>
    <col min="15457" max="15457" width="11.83203125" style="159" customWidth="1"/>
    <col min="15458" max="15458" width="8.83203125" style="159"/>
    <col min="15459" max="15459" width="12.5" style="159" customWidth="1"/>
    <col min="15460" max="15464" width="8.83203125" style="159"/>
    <col min="15465" max="15465" width="11.83203125" style="159" customWidth="1"/>
    <col min="15466" max="15616" width="8.83203125" style="159"/>
    <col min="15617" max="15620" width="8.83203125" style="159" customWidth="1"/>
    <col min="15621" max="15626" width="0" style="159" hidden="1" customWidth="1"/>
    <col min="15627" max="15627" width="11.33203125" style="159" customWidth="1"/>
    <col min="15628" max="15632" width="8.83203125" style="159" customWidth="1"/>
    <col min="15633" max="15633" width="12.5" style="159" customWidth="1"/>
    <col min="15634" max="15634" width="8.83203125" style="159" customWidth="1"/>
    <col min="15635" max="15635" width="12.1640625" style="159" customWidth="1"/>
    <col min="15636" max="15636" width="7.6640625" style="159" bestFit="1" customWidth="1"/>
    <col min="15637" max="15640" width="8.83203125" style="159" customWidth="1"/>
    <col min="15641" max="15641" width="12.33203125" style="159" customWidth="1"/>
    <col min="15642" max="15642" width="8.83203125" style="159" customWidth="1"/>
    <col min="15643" max="15643" width="13.1640625" style="159" customWidth="1"/>
    <col min="15644" max="15648" width="8.83203125" style="159" customWidth="1"/>
    <col min="15649" max="15649" width="13.83203125" style="159" customWidth="1"/>
    <col min="15650" max="15650" width="8.83203125" style="159"/>
    <col min="15651" max="15651" width="13.5" style="159" customWidth="1"/>
    <col min="15652" max="15656" width="8.83203125" style="159"/>
    <col min="15657" max="15657" width="16" style="159" customWidth="1"/>
    <col min="15658" max="15658" width="8.83203125" style="159"/>
    <col min="15659" max="15659" width="12.5" style="159" customWidth="1"/>
    <col min="15660" max="15664" width="8.83203125" style="159"/>
    <col min="15665" max="15665" width="11.83203125" style="159" customWidth="1"/>
    <col min="15666" max="15666" width="8.83203125" style="159"/>
    <col min="15667" max="15667" width="12.5" style="159" customWidth="1"/>
    <col min="15668" max="15672" width="8.83203125" style="159"/>
    <col min="15673" max="15673" width="11.83203125" style="159" customWidth="1"/>
    <col min="15674" max="15674" width="8.83203125" style="159"/>
    <col min="15675" max="15675" width="12.5" style="159" customWidth="1"/>
    <col min="15676" max="15680" width="8.83203125" style="159"/>
    <col min="15681" max="15681" width="11.83203125" style="159" customWidth="1"/>
    <col min="15682" max="15682" width="8.83203125" style="159"/>
    <col min="15683" max="15683" width="12.5" style="159" customWidth="1"/>
    <col min="15684" max="15688" width="8.83203125" style="159"/>
    <col min="15689" max="15689" width="11.83203125" style="159" customWidth="1"/>
    <col min="15690" max="15690" width="8.83203125" style="159"/>
    <col min="15691" max="15691" width="12.5" style="159" customWidth="1"/>
    <col min="15692" max="15696" width="8.83203125" style="159"/>
    <col min="15697" max="15697" width="11.83203125" style="159" customWidth="1"/>
    <col min="15698" max="15698" width="8.83203125" style="159"/>
    <col min="15699" max="15699" width="12.5" style="159" customWidth="1"/>
    <col min="15700" max="15704" width="8.83203125" style="159"/>
    <col min="15705" max="15705" width="11.83203125" style="159" customWidth="1"/>
    <col min="15706" max="15706" width="8.83203125" style="159"/>
    <col min="15707" max="15707" width="12.5" style="159" customWidth="1"/>
    <col min="15708" max="15712" width="8.83203125" style="159"/>
    <col min="15713" max="15713" width="11.83203125" style="159" customWidth="1"/>
    <col min="15714" max="15714" width="8.83203125" style="159"/>
    <col min="15715" max="15715" width="12.5" style="159" customWidth="1"/>
    <col min="15716" max="15720" width="8.83203125" style="159"/>
    <col min="15721" max="15721" width="11.83203125" style="159" customWidth="1"/>
    <col min="15722" max="15872" width="8.83203125" style="159"/>
    <col min="15873" max="15876" width="8.83203125" style="159" customWidth="1"/>
    <col min="15877" max="15882" width="0" style="159" hidden="1" customWidth="1"/>
    <col min="15883" max="15883" width="11.33203125" style="159" customWidth="1"/>
    <col min="15884" max="15888" width="8.83203125" style="159" customWidth="1"/>
    <col min="15889" max="15889" width="12.5" style="159" customWidth="1"/>
    <col min="15890" max="15890" width="8.83203125" style="159" customWidth="1"/>
    <col min="15891" max="15891" width="12.1640625" style="159" customWidth="1"/>
    <col min="15892" max="15892" width="7.6640625" style="159" bestFit="1" customWidth="1"/>
    <col min="15893" max="15896" width="8.83203125" style="159" customWidth="1"/>
    <col min="15897" max="15897" width="12.33203125" style="159" customWidth="1"/>
    <col min="15898" max="15898" width="8.83203125" style="159" customWidth="1"/>
    <col min="15899" max="15899" width="13.1640625" style="159" customWidth="1"/>
    <col min="15900" max="15904" width="8.83203125" style="159" customWidth="1"/>
    <col min="15905" max="15905" width="13.83203125" style="159" customWidth="1"/>
    <col min="15906" max="15906" width="8.83203125" style="159"/>
    <col min="15907" max="15907" width="13.5" style="159" customWidth="1"/>
    <col min="15908" max="15912" width="8.83203125" style="159"/>
    <col min="15913" max="15913" width="16" style="159" customWidth="1"/>
    <col min="15914" max="15914" width="8.83203125" style="159"/>
    <col min="15915" max="15915" width="12.5" style="159" customWidth="1"/>
    <col min="15916" max="15920" width="8.83203125" style="159"/>
    <col min="15921" max="15921" width="11.83203125" style="159" customWidth="1"/>
    <col min="15922" max="15922" width="8.83203125" style="159"/>
    <col min="15923" max="15923" width="12.5" style="159" customWidth="1"/>
    <col min="15924" max="15928" width="8.83203125" style="159"/>
    <col min="15929" max="15929" width="11.83203125" style="159" customWidth="1"/>
    <col min="15930" max="15930" width="8.83203125" style="159"/>
    <col min="15931" max="15931" width="12.5" style="159" customWidth="1"/>
    <col min="15932" max="15936" width="8.83203125" style="159"/>
    <col min="15937" max="15937" width="11.83203125" style="159" customWidth="1"/>
    <col min="15938" max="15938" width="8.83203125" style="159"/>
    <col min="15939" max="15939" width="12.5" style="159" customWidth="1"/>
    <col min="15940" max="15944" width="8.83203125" style="159"/>
    <col min="15945" max="15945" width="11.83203125" style="159" customWidth="1"/>
    <col min="15946" max="15946" width="8.83203125" style="159"/>
    <col min="15947" max="15947" width="12.5" style="159" customWidth="1"/>
    <col min="15948" max="15952" width="8.83203125" style="159"/>
    <col min="15953" max="15953" width="11.83203125" style="159" customWidth="1"/>
    <col min="15954" max="15954" width="8.83203125" style="159"/>
    <col min="15955" max="15955" width="12.5" style="159" customWidth="1"/>
    <col min="15956" max="15960" width="8.83203125" style="159"/>
    <col min="15961" max="15961" width="11.83203125" style="159" customWidth="1"/>
    <col min="15962" max="15962" width="8.83203125" style="159"/>
    <col min="15963" max="15963" width="12.5" style="159" customWidth="1"/>
    <col min="15964" max="15968" width="8.83203125" style="159"/>
    <col min="15969" max="15969" width="11.83203125" style="159" customWidth="1"/>
    <col min="15970" max="15970" width="8.83203125" style="159"/>
    <col min="15971" max="15971" width="12.5" style="159" customWidth="1"/>
    <col min="15972" max="15976" width="8.83203125" style="159"/>
    <col min="15977" max="15977" width="11.83203125" style="159" customWidth="1"/>
    <col min="15978" max="16128" width="8.83203125" style="159"/>
    <col min="16129" max="16132" width="8.83203125" style="159" customWidth="1"/>
    <col min="16133" max="16138" width="0" style="159" hidden="1" customWidth="1"/>
    <col min="16139" max="16139" width="11.33203125" style="159" customWidth="1"/>
    <col min="16140" max="16144" width="8.83203125" style="159" customWidth="1"/>
    <col min="16145" max="16145" width="12.5" style="159" customWidth="1"/>
    <col min="16146" max="16146" width="8.83203125" style="159" customWidth="1"/>
    <col min="16147" max="16147" width="12.1640625" style="159" customWidth="1"/>
    <col min="16148" max="16148" width="7.6640625" style="159" bestFit="1" customWidth="1"/>
    <col min="16149" max="16152" width="8.83203125" style="159" customWidth="1"/>
    <col min="16153" max="16153" width="12.33203125" style="159" customWidth="1"/>
    <col min="16154" max="16154" width="8.83203125" style="159" customWidth="1"/>
    <col min="16155" max="16155" width="13.1640625" style="159" customWidth="1"/>
    <col min="16156" max="16160" width="8.83203125" style="159" customWidth="1"/>
    <col min="16161" max="16161" width="13.83203125" style="159" customWidth="1"/>
    <col min="16162" max="16162" width="8.83203125" style="159"/>
    <col min="16163" max="16163" width="13.5" style="159" customWidth="1"/>
    <col min="16164" max="16168" width="8.83203125" style="159"/>
    <col min="16169" max="16169" width="16" style="159" customWidth="1"/>
    <col min="16170" max="16170" width="8.83203125" style="159"/>
    <col min="16171" max="16171" width="12.5" style="159" customWidth="1"/>
    <col min="16172" max="16176" width="8.83203125" style="159"/>
    <col min="16177" max="16177" width="11.83203125" style="159" customWidth="1"/>
    <col min="16178" max="16178" width="8.83203125" style="159"/>
    <col min="16179" max="16179" width="12.5" style="159" customWidth="1"/>
    <col min="16180" max="16184" width="8.83203125" style="159"/>
    <col min="16185" max="16185" width="11.83203125" style="159" customWidth="1"/>
    <col min="16186" max="16186" width="8.83203125" style="159"/>
    <col min="16187" max="16187" width="12.5" style="159" customWidth="1"/>
    <col min="16188" max="16192" width="8.83203125" style="159"/>
    <col min="16193" max="16193" width="11.83203125" style="159" customWidth="1"/>
    <col min="16194" max="16194" width="8.83203125" style="159"/>
    <col min="16195" max="16195" width="12.5" style="159" customWidth="1"/>
    <col min="16196" max="16200" width="8.83203125" style="159"/>
    <col min="16201" max="16201" width="11.83203125" style="159" customWidth="1"/>
    <col min="16202" max="16202" width="8.83203125" style="159"/>
    <col min="16203" max="16203" width="12.5" style="159" customWidth="1"/>
    <col min="16204" max="16208" width="8.83203125" style="159"/>
    <col min="16209" max="16209" width="11.83203125" style="159" customWidth="1"/>
    <col min="16210" max="16210" width="8.83203125" style="159"/>
    <col min="16211" max="16211" width="12.5" style="159" customWidth="1"/>
    <col min="16212" max="16216" width="8.83203125" style="159"/>
    <col min="16217" max="16217" width="11.83203125" style="159" customWidth="1"/>
    <col min="16218" max="16218" width="8.83203125" style="159"/>
    <col min="16219" max="16219" width="12.5" style="159" customWidth="1"/>
    <col min="16220" max="16224" width="8.83203125" style="159"/>
    <col min="16225" max="16225" width="11.83203125" style="159" customWidth="1"/>
    <col min="16226" max="16226" width="8.83203125" style="159"/>
    <col min="16227" max="16227" width="12.5" style="159" customWidth="1"/>
    <col min="16228" max="16232" width="8.83203125" style="159"/>
    <col min="16233" max="16233" width="11.83203125" style="159" customWidth="1"/>
    <col min="16234" max="16384" width="8.83203125" style="159"/>
  </cols>
  <sheetData>
    <row r="1" spans="1:106" ht="15" customHeight="1" x14ac:dyDescent="0.2">
      <c r="A1" s="378" t="s">
        <v>456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8"/>
      <c r="AH1" s="378"/>
    </row>
    <row r="2" spans="1:106" ht="15" customHeight="1" x14ac:dyDescent="0.2">
      <c r="A2" s="378"/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  <c r="P2" s="378"/>
      <c r="Q2" s="378"/>
      <c r="R2" s="378"/>
      <c r="S2" s="378"/>
      <c r="T2" s="378"/>
      <c r="U2" s="378"/>
      <c r="V2" s="378"/>
      <c r="W2" s="378"/>
      <c r="X2" s="378"/>
      <c r="Y2" s="378"/>
      <c r="Z2" s="378"/>
      <c r="AA2" s="378"/>
      <c r="AB2" s="378"/>
      <c r="AC2" s="378"/>
      <c r="AD2" s="378"/>
      <c r="AE2" s="378"/>
      <c r="AF2" s="378"/>
      <c r="AG2" s="378"/>
      <c r="AH2" s="378"/>
    </row>
    <row r="3" spans="1:106" x14ac:dyDescent="0.2">
      <c r="A3" s="160" t="s">
        <v>1</v>
      </c>
      <c r="B3" s="160" t="s">
        <v>689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</row>
    <row r="4" spans="1:106" x14ac:dyDescent="0.2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</row>
    <row r="5" spans="1:106" ht="16.5" customHeight="1" x14ac:dyDescent="0.2">
      <c r="A5" s="379" t="s">
        <v>5</v>
      </c>
      <c r="B5" s="379" t="s">
        <v>616</v>
      </c>
      <c r="C5" s="379" t="s">
        <v>8</v>
      </c>
      <c r="D5" s="381" t="s">
        <v>624</v>
      </c>
      <c r="E5" s="374" t="s">
        <v>459</v>
      </c>
      <c r="F5" s="374" t="s">
        <v>460</v>
      </c>
      <c r="G5" s="374"/>
      <c r="H5" s="374"/>
      <c r="I5" s="374"/>
      <c r="J5" s="374" t="s">
        <v>461</v>
      </c>
      <c r="K5" s="375" t="s">
        <v>13</v>
      </c>
      <c r="L5" s="376"/>
      <c r="M5" s="376"/>
      <c r="N5" s="376"/>
      <c r="O5" s="376"/>
      <c r="P5" s="376"/>
      <c r="Q5" s="376"/>
      <c r="R5" s="377"/>
      <c r="S5" s="375" t="s">
        <v>14</v>
      </c>
      <c r="T5" s="376"/>
      <c r="U5" s="376"/>
      <c r="V5" s="376"/>
      <c r="W5" s="376"/>
      <c r="X5" s="376"/>
      <c r="Y5" s="376"/>
      <c r="Z5" s="377"/>
      <c r="AA5" s="375" t="s">
        <v>15</v>
      </c>
      <c r="AB5" s="376"/>
      <c r="AC5" s="376"/>
      <c r="AD5" s="376"/>
      <c r="AE5" s="376"/>
      <c r="AF5" s="376"/>
      <c r="AG5" s="376"/>
      <c r="AH5" s="377"/>
      <c r="AI5" s="375" t="s">
        <v>16</v>
      </c>
      <c r="AJ5" s="376"/>
      <c r="AK5" s="376"/>
      <c r="AL5" s="376"/>
      <c r="AM5" s="376"/>
      <c r="AN5" s="376"/>
      <c r="AO5" s="376"/>
      <c r="AP5" s="377"/>
      <c r="AQ5" s="375" t="s">
        <v>17</v>
      </c>
      <c r="AR5" s="376"/>
      <c r="AS5" s="376"/>
      <c r="AT5" s="376"/>
      <c r="AU5" s="376"/>
      <c r="AV5" s="376"/>
      <c r="AW5" s="376"/>
      <c r="AX5" s="377"/>
      <c r="AY5" s="375" t="s">
        <v>625</v>
      </c>
      <c r="AZ5" s="376"/>
      <c r="BA5" s="376"/>
      <c r="BB5" s="376"/>
      <c r="BC5" s="376"/>
      <c r="BD5" s="376"/>
      <c r="BE5" s="376"/>
      <c r="BF5" s="377"/>
      <c r="BG5" s="375" t="s">
        <v>626</v>
      </c>
      <c r="BH5" s="376"/>
      <c r="BI5" s="376"/>
      <c r="BJ5" s="376"/>
      <c r="BK5" s="376"/>
      <c r="BL5" s="376"/>
      <c r="BM5" s="376"/>
      <c r="BN5" s="377"/>
      <c r="BO5" s="375" t="s">
        <v>627</v>
      </c>
      <c r="BP5" s="376"/>
      <c r="BQ5" s="376"/>
      <c r="BR5" s="376"/>
      <c r="BS5" s="376"/>
      <c r="BT5" s="376"/>
      <c r="BU5" s="376"/>
      <c r="BV5" s="377"/>
      <c r="BW5" s="375" t="s">
        <v>628</v>
      </c>
      <c r="BX5" s="376"/>
      <c r="BY5" s="376"/>
      <c r="BZ5" s="376"/>
      <c r="CA5" s="376"/>
      <c r="CB5" s="376"/>
      <c r="CC5" s="376"/>
      <c r="CD5" s="377"/>
      <c r="CE5" s="375" t="s">
        <v>629</v>
      </c>
      <c r="CF5" s="376"/>
      <c r="CG5" s="376"/>
      <c r="CH5" s="376"/>
      <c r="CI5" s="376"/>
      <c r="CJ5" s="376"/>
      <c r="CK5" s="376"/>
      <c r="CL5" s="377"/>
      <c r="CM5" s="375" t="s">
        <v>630</v>
      </c>
      <c r="CN5" s="376"/>
      <c r="CO5" s="376"/>
      <c r="CP5" s="376"/>
      <c r="CQ5" s="376"/>
      <c r="CR5" s="376"/>
      <c r="CS5" s="376"/>
      <c r="CT5" s="377"/>
      <c r="CU5" s="375" t="s">
        <v>631</v>
      </c>
      <c r="CV5" s="376"/>
      <c r="CW5" s="376"/>
      <c r="CX5" s="376"/>
      <c r="CY5" s="376"/>
      <c r="CZ5" s="376"/>
      <c r="DA5" s="376"/>
      <c r="DB5" s="377"/>
    </row>
    <row r="6" spans="1:106" s="162" customFormat="1" ht="15.75" customHeight="1" x14ac:dyDescent="0.2">
      <c r="A6" s="379"/>
      <c r="B6" s="379"/>
      <c r="C6" s="379"/>
      <c r="D6" s="381"/>
      <c r="E6" s="374"/>
      <c r="F6" s="374"/>
      <c r="G6" s="374"/>
      <c r="H6" s="374"/>
      <c r="I6" s="374"/>
      <c r="J6" s="374"/>
      <c r="K6" s="373" t="s">
        <v>734</v>
      </c>
      <c r="L6" s="373" t="s">
        <v>733</v>
      </c>
      <c r="M6" s="374" t="s">
        <v>732</v>
      </c>
      <c r="N6" s="374" t="s">
        <v>460</v>
      </c>
      <c r="O6" s="374"/>
      <c r="P6" s="374"/>
      <c r="Q6" s="374"/>
      <c r="R6" s="374" t="s">
        <v>463</v>
      </c>
      <c r="S6" s="373" t="s">
        <v>734</v>
      </c>
      <c r="T6" s="373" t="s">
        <v>733</v>
      </c>
      <c r="U6" s="374" t="s">
        <v>732</v>
      </c>
      <c r="V6" s="374" t="s">
        <v>460</v>
      </c>
      <c r="W6" s="374"/>
      <c r="X6" s="374"/>
      <c r="Y6" s="374"/>
      <c r="Z6" s="374" t="s">
        <v>463</v>
      </c>
      <c r="AA6" s="373" t="s">
        <v>734</v>
      </c>
      <c r="AB6" s="373" t="s">
        <v>733</v>
      </c>
      <c r="AC6" s="374" t="s">
        <v>732</v>
      </c>
      <c r="AD6" s="374" t="s">
        <v>460</v>
      </c>
      <c r="AE6" s="374"/>
      <c r="AF6" s="374"/>
      <c r="AG6" s="374"/>
      <c r="AH6" s="374" t="s">
        <v>463</v>
      </c>
      <c r="AI6" s="373" t="s">
        <v>734</v>
      </c>
      <c r="AJ6" s="373" t="s">
        <v>733</v>
      </c>
      <c r="AK6" s="374" t="s">
        <v>732</v>
      </c>
      <c r="AL6" s="374" t="s">
        <v>460</v>
      </c>
      <c r="AM6" s="374"/>
      <c r="AN6" s="374"/>
      <c r="AO6" s="374"/>
      <c r="AP6" s="374" t="s">
        <v>463</v>
      </c>
      <c r="AQ6" s="373" t="s">
        <v>734</v>
      </c>
      <c r="AR6" s="373" t="s">
        <v>733</v>
      </c>
      <c r="AS6" s="374" t="s">
        <v>732</v>
      </c>
      <c r="AT6" s="374" t="s">
        <v>460</v>
      </c>
      <c r="AU6" s="374"/>
      <c r="AV6" s="374"/>
      <c r="AW6" s="374"/>
      <c r="AX6" s="374" t="s">
        <v>463</v>
      </c>
      <c r="AY6" s="373" t="s">
        <v>734</v>
      </c>
      <c r="AZ6" s="373" t="s">
        <v>733</v>
      </c>
      <c r="BA6" s="374" t="s">
        <v>732</v>
      </c>
      <c r="BB6" s="374" t="s">
        <v>460</v>
      </c>
      <c r="BC6" s="374"/>
      <c r="BD6" s="374"/>
      <c r="BE6" s="374"/>
      <c r="BF6" s="374" t="s">
        <v>463</v>
      </c>
      <c r="BG6" s="373" t="s">
        <v>734</v>
      </c>
      <c r="BH6" s="373" t="s">
        <v>733</v>
      </c>
      <c r="BI6" s="374" t="s">
        <v>732</v>
      </c>
      <c r="BJ6" s="374" t="s">
        <v>460</v>
      </c>
      <c r="BK6" s="374"/>
      <c r="BL6" s="374"/>
      <c r="BM6" s="374"/>
      <c r="BN6" s="374" t="s">
        <v>463</v>
      </c>
      <c r="BO6" s="373" t="s">
        <v>734</v>
      </c>
      <c r="BP6" s="373" t="s">
        <v>733</v>
      </c>
      <c r="BQ6" s="374" t="s">
        <v>732</v>
      </c>
      <c r="BR6" s="374" t="s">
        <v>460</v>
      </c>
      <c r="BS6" s="374"/>
      <c r="BT6" s="374"/>
      <c r="BU6" s="374"/>
      <c r="BV6" s="374" t="s">
        <v>463</v>
      </c>
      <c r="BW6" s="373" t="s">
        <v>734</v>
      </c>
      <c r="BX6" s="373" t="s">
        <v>733</v>
      </c>
      <c r="BY6" s="374" t="s">
        <v>732</v>
      </c>
      <c r="BZ6" s="374" t="s">
        <v>460</v>
      </c>
      <c r="CA6" s="374"/>
      <c r="CB6" s="374"/>
      <c r="CC6" s="374"/>
      <c r="CD6" s="374" t="s">
        <v>463</v>
      </c>
      <c r="CE6" s="373" t="s">
        <v>734</v>
      </c>
      <c r="CF6" s="373" t="s">
        <v>733</v>
      </c>
      <c r="CG6" s="374" t="s">
        <v>732</v>
      </c>
      <c r="CH6" s="374" t="s">
        <v>460</v>
      </c>
      <c r="CI6" s="374"/>
      <c r="CJ6" s="374"/>
      <c r="CK6" s="374"/>
      <c r="CL6" s="374" t="s">
        <v>463</v>
      </c>
      <c r="CM6" s="373" t="s">
        <v>734</v>
      </c>
      <c r="CN6" s="373" t="s">
        <v>733</v>
      </c>
      <c r="CO6" s="374" t="s">
        <v>732</v>
      </c>
      <c r="CP6" s="374" t="s">
        <v>460</v>
      </c>
      <c r="CQ6" s="374"/>
      <c r="CR6" s="374"/>
      <c r="CS6" s="374"/>
      <c r="CT6" s="374" t="s">
        <v>463</v>
      </c>
      <c r="CU6" s="373" t="s">
        <v>734</v>
      </c>
      <c r="CV6" s="373" t="s">
        <v>733</v>
      </c>
      <c r="CW6" s="374" t="s">
        <v>732</v>
      </c>
      <c r="CX6" s="374" t="s">
        <v>460</v>
      </c>
      <c r="CY6" s="374"/>
      <c r="CZ6" s="374"/>
      <c r="DA6" s="374"/>
      <c r="DB6" s="374" t="s">
        <v>463</v>
      </c>
    </row>
    <row r="7" spans="1:106" ht="34.5" customHeight="1" x14ac:dyDescent="0.2">
      <c r="A7" s="380"/>
      <c r="B7" s="380"/>
      <c r="C7" s="380"/>
      <c r="D7" s="382"/>
      <c r="E7" s="374"/>
      <c r="F7" s="163" t="s">
        <v>464</v>
      </c>
      <c r="G7" s="163" t="s">
        <v>465</v>
      </c>
      <c r="H7" s="163" t="s">
        <v>466</v>
      </c>
      <c r="I7" s="163" t="s">
        <v>467</v>
      </c>
      <c r="J7" s="374"/>
      <c r="K7" s="373"/>
      <c r="L7" s="373"/>
      <c r="M7" s="374"/>
      <c r="N7" s="163" t="s">
        <v>464</v>
      </c>
      <c r="O7" s="163" t="s">
        <v>465</v>
      </c>
      <c r="P7" s="163" t="s">
        <v>466</v>
      </c>
      <c r="Q7" s="163" t="s">
        <v>467</v>
      </c>
      <c r="R7" s="374"/>
      <c r="S7" s="373"/>
      <c r="T7" s="373"/>
      <c r="U7" s="374"/>
      <c r="V7" s="163" t="s">
        <v>464</v>
      </c>
      <c r="W7" s="163" t="s">
        <v>465</v>
      </c>
      <c r="X7" s="163" t="s">
        <v>466</v>
      </c>
      <c r="Y7" s="163" t="s">
        <v>467</v>
      </c>
      <c r="Z7" s="374"/>
      <c r="AA7" s="373"/>
      <c r="AB7" s="373"/>
      <c r="AC7" s="374"/>
      <c r="AD7" s="163" t="s">
        <v>464</v>
      </c>
      <c r="AE7" s="163" t="s">
        <v>465</v>
      </c>
      <c r="AF7" s="163" t="s">
        <v>466</v>
      </c>
      <c r="AG7" s="163" t="s">
        <v>467</v>
      </c>
      <c r="AH7" s="374"/>
      <c r="AI7" s="373"/>
      <c r="AJ7" s="373"/>
      <c r="AK7" s="374"/>
      <c r="AL7" s="163" t="s">
        <v>464</v>
      </c>
      <c r="AM7" s="163" t="s">
        <v>465</v>
      </c>
      <c r="AN7" s="163" t="s">
        <v>466</v>
      </c>
      <c r="AO7" s="163" t="s">
        <v>467</v>
      </c>
      <c r="AP7" s="374"/>
      <c r="AQ7" s="373"/>
      <c r="AR7" s="373"/>
      <c r="AS7" s="374"/>
      <c r="AT7" s="163" t="s">
        <v>464</v>
      </c>
      <c r="AU7" s="163" t="s">
        <v>465</v>
      </c>
      <c r="AV7" s="163" t="s">
        <v>466</v>
      </c>
      <c r="AW7" s="163" t="s">
        <v>467</v>
      </c>
      <c r="AX7" s="374"/>
      <c r="AY7" s="373"/>
      <c r="AZ7" s="373"/>
      <c r="BA7" s="374"/>
      <c r="BB7" s="163" t="s">
        <v>464</v>
      </c>
      <c r="BC7" s="163" t="s">
        <v>465</v>
      </c>
      <c r="BD7" s="163" t="s">
        <v>466</v>
      </c>
      <c r="BE7" s="163" t="s">
        <v>467</v>
      </c>
      <c r="BF7" s="374"/>
      <c r="BG7" s="373"/>
      <c r="BH7" s="373"/>
      <c r="BI7" s="374"/>
      <c r="BJ7" s="163" t="s">
        <v>464</v>
      </c>
      <c r="BK7" s="163" t="s">
        <v>465</v>
      </c>
      <c r="BL7" s="163" t="s">
        <v>466</v>
      </c>
      <c r="BM7" s="163" t="s">
        <v>467</v>
      </c>
      <c r="BN7" s="374"/>
      <c r="BO7" s="373"/>
      <c r="BP7" s="373"/>
      <c r="BQ7" s="374"/>
      <c r="BR7" s="163" t="s">
        <v>464</v>
      </c>
      <c r="BS7" s="163" t="s">
        <v>465</v>
      </c>
      <c r="BT7" s="163" t="s">
        <v>466</v>
      </c>
      <c r="BU7" s="163" t="s">
        <v>467</v>
      </c>
      <c r="BV7" s="374"/>
      <c r="BW7" s="373"/>
      <c r="BX7" s="373"/>
      <c r="BY7" s="374"/>
      <c r="BZ7" s="163" t="s">
        <v>464</v>
      </c>
      <c r="CA7" s="163" t="s">
        <v>465</v>
      </c>
      <c r="CB7" s="163" t="s">
        <v>466</v>
      </c>
      <c r="CC7" s="163" t="s">
        <v>467</v>
      </c>
      <c r="CD7" s="374"/>
      <c r="CE7" s="373"/>
      <c r="CF7" s="373"/>
      <c r="CG7" s="374"/>
      <c r="CH7" s="163" t="s">
        <v>464</v>
      </c>
      <c r="CI7" s="163" t="s">
        <v>465</v>
      </c>
      <c r="CJ7" s="163" t="s">
        <v>466</v>
      </c>
      <c r="CK7" s="163" t="s">
        <v>467</v>
      </c>
      <c r="CL7" s="374"/>
      <c r="CM7" s="373"/>
      <c r="CN7" s="373"/>
      <c r="CO7" s="374"/>
      <c r="CP7" s="163" t="s">
        <v>464</v>
      </c>
      <c r="CQ7" s="163" t="s">
        <v>465</v>
      </c>
      <c r="CR7" s="163" t="s">
        <v>466</v>
      </c>
      <c r="CS7" s="163" t="s">
        <v>467</v>
      </c>
      <c r="CT7" s="374"/>
      <c r="CU7" s="373"/>
      <c r="CV7" s="373"/>
      <c r="CW7" s="374"/>
      <c r="CX7" s="163" t="s">
        <v>464</v>
      </c>
      <c r="CY7" s="163" t="s">
        <v>465</v>
      </c>
      <c r="CZ7" s="163" t="s">
        <v>466</v>
      </c>
      <c r="DA7" s="163" t="s">
        <v>467</v>
      </c>
      <c r="DB7" s="374"/>
    </row>
    <row r="8" spans="1:106" x14ac:dyDescent="0.2">
      <c r="A8" s="164"/>
      <c r="B8" s="164"/>
      <c r="C8" s="164"/>
      <c r="D8" s="164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165"/>
      <c r="BD8" s="165"/>
      <c r="BE8" s="165"/>
      <c r="BF8" s="165"/>
      <c r="BG8" s="165"/>
      <c r="BH8" s="165"/>
      <c r="BI8" s="165"/>
      <c r="BJ8" s="165"/>
      <c r="BK8" s="165"/>
      <c r="BL8" s="165"/>
      <c r="BM8" s="165"/>
      <c r="BN8" s="165"/>
      <c r="BO8" s="165"/>
      <c r="BP8" s="165"/>
      <c r="BQ8" s="165"/>
      <c r="BR8" s="165"/>
      <c r="BS8" s="165"/>
      <c r="BT8" s="165"/>
      <c r="BU8" s="165"/>
      <c r="BV8" s="165"/>
      <c r="BW8" s="165"/>
      <c r="BX8" s="165"/>
      <c r="BY8" s="165"/>
      <c r="BZ8" s="165"/>
      <c r="CA8" s="165"/>
      <c r="CB8" s="165"/>
      <c r="CC8" s="165"/>
      <c r="CD8" s="165"/>
      <c r="CE8" s="165"/>
      <c r="CF8" s="165"/>
      <c r="CG8" s="165"/>
      <c r="CH8" s="165"/>
      <c r="CI8" s="165"/>
      <c r="CJ8" s="165"/>
      <c r="CK8" s="165"/>
      <c r="CL8" s="165"/>
      <c r="CM8" s="165"/>
      <c r="CN8" s="165"/>
      <c r="CO8" s="165"/>
      <c r="CP8" s="165"/>
      <c r="CQ8" s="165"/>
      <c r="CR8" s="165"/>
      <c r="CS8" s="165"/>
      <c r="CT8" s="165"/>
      <c r="CU8" s="165"/>
      <c r="CV8" s="165"/>
      <c r="CW8" s="165"/>
      <c r="CX8" s="165"/>
      <c r="CY8" s="165"/>
      <c r="CZ8" s="165"/>
      <c r="DA8" s="165"/>
      <c r="DB8" s="165"/>
    </row>
    <row r="9" spans="1:106" x14ac:dyDescent="0.2">
      <c r="A9" s="164"/>
      <c r="B9" s="164"/>
      <c r="C9" s="164"/>
      <c r="D9" s="164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/>
      <c r="BE9" s="165"/>
      <c r="BF9" s="165"/>
      <c r="BG9" s="165"/>
      <c r="BH9" s="165"/>
      <c r="BI9" s="165"/>
      <c r="BJ9" s="165"/>
      <c r="BK9" s="165"/>
      <c r="BL9" s="165"/>
      <c r="BM9" s="165"/>
      <c r="BN9" s="165"/>
      <c r="BO9" s="165"/>
      <c r="BP9" s="165"/>
      <c r="BQ9" s="165"/>
      <c r="BR9" s="165"/>
      <c r="BS9" s="165"/>
      <c r="BT9" s="165"/>
      <c r="BU9" s="165"/>
      <c r="BV9" s="165"/>
      <c r="BW9" s="165"/>
      <c r="BX9" s="165"/>
      <c r="BY9" s="165"/>
      <c r="BZ9" s="165"/>
      <c r="CA9" s="165"/>
      <c r="CB9" s="165"/>
      <c r="CC9" s="165"/>
      <c r="CD9" s="165"/>
      <c r="CE9" s="165"/>
      <c r="CF9" s="165"/>
      <c r="CG9" s="165"/>
      <c r="CH9" s="165"/>
      <c r="CI9" s="165"/>
      <c r="CJ9" s="165"/>
      <c r="CK9" s="165"/>
      <c r="CL9" s="165"/>
      <c r="CM9" s="165"/>
      <c r="CN9" s="165"/>
      <c r="CO9" s="165"/>
      <c r="CP9" s="165"/>
      <c r="CQ9" s="165"/>
      <c r="CR9" s="165"/>
      <c r="CS9" s="165"/>
      <c r="CT9" s="165"/>
      <c r="CU9" s="165"/>
      <c r="CV9" s="165"/>
      <c r="CW9" s="165"/>
      <c r="CX9" s="165"/>
      <c r="CY9" s="165"/>
      <c r="CZ9" s="165"/>
      <c r="DA9" s="165"/>
      <c r="DB9" s="165"/>
    </row>
    <row r="10" spans="1:106" x14ac:dyDescent="0.2">
      <c r="A10" s="164"/>
      <c r="B10" s="164"/>
      <c r="C10" s="164"/>
      <c r="D10" s="164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65"/>
      <c r="AZ10" s="165"/>
      <c r="BA10" s="165"/>
      <c r="BB10" s="165"/>
      <c r="BC10" s="165"/>
      <c r="BD10" s="165"/>
      <c r="BE10" s="165"/>
      <c r="BF10" s="165"/>
      <c r="BG10" s="165"/>
      <c r="BH10" s="165"/>
      <c r="BI10" s="165"/>
      <c r="BJ10" s="165"/>
      <c r="BK10" s="165"/>
      <c r="BL10" s="165"/>
      <c r="BM10" s="165"/>
      <c r="BN10" s="165"/>
      <c r="BO10" s="165"/>
      <c r="BP10" s="165"/>
      <c r="BQ10" s="165"/>
      <c r="BR10" s="165"/>
      <c r="BS10" s="165"/>
      <c r="BT10" s="165"/>
      <c r="BU10" s="165"/>
      <c r="BV10" s="165"/>
      <c r="BW10" s="165"/>
      <c r="BX10" s="165"/>
      <c r="BY10" s="165"/>
      <c r="BZ10" s="165"/>
      <c r="CA10" s="165"/>
      <c r="CB10" s="165"/>
      <c r="CC10" s="165"/>
      <c r="CD10" s="165"/>
      <c r="CE10" s="165"/>
      <c r="CF10" s="165"/>
      <c r="CG10" s="165"/>
      <c r="CH10" s="165"/>
      <c r="CI10" s="165"/>
      <c r="CJ10" s="165"/>
      <c r="CK10" s="165"/>
      <c r="CL10" s="165"/>
      <c r="CM10" s="165"/>
      <c r="CN10" s="165"/>
      <c r="CO10" s="165"/>
      <c r="CP10" s="165"/>
      <c r="CQ10" s="165"/>
      <c r="CR10" s="165"/>
      <c r="CS10" s="165"/>
      <c r="CT10" s="165"/>
      <c r="CU10" s="165"/>
      <c r="CV10" s="165"/>
      <c r="CW10" s="165"/>
      <c r="CX10" s="165"/>
      <c r="CY10" s="165"/>
      <c r="CZ10" s="165"/>
      <c r="DA10" s="165"/>
      <c r="DB10" s="165"/>
    </row>
    <row r="11" spans="1:106" x14ac:dyDescent="0.2">
      <c r="A11" s="164"/>
      <c r="B11" s="164"/>
      <c r="C11" s="164"/>
      <c r="D11" s="164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65"/>
      <c r="AZ11" s="165"/>
      <c r="BA11" s="165"/>
      <c r="BB11" s="165"/>
      <c r="BC11" s="165"/>
      <c r="BD11" s="165"/>
      <c r="BE11" s="165"/>
      <c r="BF11" s="165"/>
      <c r="BG11" s="165"/>
      <c r="BH11" s="165"/>
      <c r="BI11" s="165"/>
      <c r="BJ11" s="165"/>
      <c r="BK11" s="165"/>
      <c r="BL11" s="165"/>
      <c r="BM11" s="165"/>
      <c r="BN11" s="165"/>
      <c r="BO11" s="165"/>
      <c r="BP11" s="165"/>
      <c r="BQ11" s="165"/>
      <c r="BR11" s="165"/>
      <c r="BS11" s="165"/>
      <c r="BT11" s="165"/>
      <c r="BU11" s="165"/>
      <c r="BV11" s="165"/>
      <c r="BW11" s="165"/>
      <c r="BX11" s="165"/>
      <c r="BY11" s="165"/>
      <c r="BZ11" s="165"/>
      <c r="CA11" s="165"/>
      <c r="CB11" s="165"/>
      <c r="CC11" s="165"/>
      <c r="CD11" s="165"/>
      <c r="CE11" s="165"/>
      <c r="CF11" s="165"/>
      <c r="CG11" s="165"/>
      <c r="CH11" s="165"/>
      <c r="CI11" s="165"/>
      <c r="CJ11" s="165"/>
      <c r="CK11" s="165"/>
      <c r="CL11" s="165"/>
      <c r="CM11" s="165"/>
      <c r="CN11" s="165"/>
      <c r="CO11" s="165"/>
      <c r="CP11" s="165"/>
      <c r="CQ11" s="165"/>
      <c r="CR11" s="165"/>
      <c r="CS11" s="165"/>
      <c r="CT11" s="165"/>
      <c r="CU11" s="165"/>
      <c r="CV11" s="165"/>
      <c r="CW11" s="165"/>
      <c r="CX11" s="165"/>
      <c r="CY11" s="165"/>
      <c r="CZ11" s="165"/>
      <c r="DA11" s="165"/>
      <c r="DB11" s="165"/>
    </row>
    <row r="12" spans="1:106" x14ac:dyDescent="0.2">
      <c r="A12" s="164"/>
      <c r="B12" s="164"/>
      <c r="C12" s="164"/>
      <c r="D12" s="164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65"/>
      <c r="AZ12" s="165"/>
      <c r="BA12" s="165"/>
      <c r="BB12" s="165"/>
      <c r="BC12" s="165"/>
      <c r="BD12" s="165"/>
      <c r="BE12" s="165"/>
      <c r="BF12" s="165"/>
      <c r="BG12" s="165"/>
      <c r="BH12" s="165"/>
      <c r="BI12" s="165"/>
      <c r="BJ12" s="165"/>
      <c r="BK12" s="165"/>
      <c r="BL12" s="165"/>
      <c r="BM12" s="165"/>
      <c r="BN12" s="165"/>
      <c r="BO12" s="165"/>
      <c r="BP12" s="165"/>
      <c r="BQ12" s="165"/>
      <c r="BR12" s="165"/>
      <c r="BS12" s="165"/>
      <c r="BT12" s="165"/>
      <c r="BU12" s="165"/>
      <c r="BV12" s="165"/>
      <c r="BW12" s="165"/>
      <c r="BX12" s="165"/>
      <c r="BY12" s="165"/>
      <c r="BZ12" s="165"/>
      <c r="CA12" s="165"/>
      <c r="CB12" s="165"/>
      <c r="CC12" s="165"/>
      <c r="CD12" s="165"/>
      <c r="CE12" s="165"/>
      <c r="CF12" s="165"/>
      <c r="CG12" s="165"/>
      <c r="CH12" s="165"/>
      <c r="CI12" s="165"/>
      <c r="CJ12" s="165"/>
      <c r="CK12" s="165"/>
      <c r="CL12" s="165"/>
      <c r="CM12" s="165"/>
      <c r="CN12" s="165"/>
      <c r="CO12" s="165"/>
      <c r="CP12" s="165"/>
      <c r="CQ12" s="165"/>
      <c r="CR12" s="165"/>
      <c r="CS12" s="165"/>
      <c r="CT12" s="165"/>
      <c r="CU12" s="165"/>
      <c r="CV12" s="165"/>
      <c r="CW12" s="165"/>
      <c r="CX12" s="165"/>
      <c r="CY12" s="165"/>
      <c r="CZ12" s="165"/>
      <c r="DA12" s="165"/>
      <c r="DB12" s="165"/>
    </row>
    <row r="13" spans="1:106" x14ac:dyDescent="0.2">
      <c r="A13" s="164"/>
      <c r="B13" s="164"/>
      <c r="C13" s="164"/>
      <c r="D13" s="164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65"/>
      <c r="AZ13" s="165"/>
      <c r="BA13" s="165"/>
      <c r="BB13" s="165"/>
      <c r="BC13" s="165"/>
      <c r="BD13" s="165"/>
      <c r="BE13" s="165"/>
      <c r="BF13" s="165"/>
      <c r="BG13" s="165"/>
      <c r="BH13" s="165"/>
      <c r="BI13" s="165"/>
      <c r="BJ13" s="165"/>
      <c r="BK13" s="165"/>
      <c r="BL13" s="165"/>
      <c r="BM13" s="165"/>
      <c r="BN13" s="165"/>
      <c r="BO13" s="165"/>
      <c r="BP13" s="165"/>
      <c r="BQ13" s="165"/>
      <c r="BR13" s="165"/>
      <c r="BS13" s="165"/>
      <c r="BT13" s="165"/>
      <c r="BU13" s="165"/>
      <c r="BV13" s="165"/>
      <c r="BW13" s="165"/>
      <c r="BX13" s="165"/>
      <c r="BY13" s="165"/>
      <c r="BZ13" s="165"/>
      <c r="CA13" s="165"/>
      <c r="CB13" s="165"/>
      <c r="CC13" s="165"/>
      <c r="CD13" s="165"/>
      <c r="CE13" s="165"/>
      <c r="CF13" s="165"/>
      <c r="CG13" s="165"/>
      <c r="CH13" s="165"/>
      <c r="CI13" s="165"/>
      <c r="CJ13" s="165"/>
      <c r="CK13" s="165"/>
      <c r="CL13" s="165"/>
      <c r="CM13" s="165"/>
      <c r="CN13" s="165"/>
      <c r="CO13" s="165"/>
      <c r="CP13" s="165"/>
      <c r="CQ13" s="165"/>
      <c r="CR13" s="165"/>
      <c r="CS13" s="165"/>
      <c r="CT13" s="165"/>
      <c r="CU13" s="165"/>
      <c r="CV13" s="165"/>
      <c r="CW13" s="165"/>
      <c r="CX13" s="165"/>
      <c r="CY13" s="165"/>
      <c r="CZ13" s="165"/>
      <c r="DA13" s="165"/>
      <c r="DB13" s="165"/>
    </row>
    <row r="14" spans="1:106" x14ac:dyDescent="0.2">
      <c r="A14" s="164"/>
      <c r="B14" s="164"/>
      <c r="C14" s="164"/>
      <c r="D14" s="164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  <c r="AY14" s="165"/>
      <c r="AZ14" s="165"/>
      <c r="BA14" s="165"/>
      <c r="BB14" s="165"/>
      <c r="BC14" s="165"/>
      <c r="BD14" s="165"/>
      <c r="BE14" s="165"/>
      <c r="BF14" s="165"/>
      <c r="BG14" s="165"/>
      <c r="BH14" s="165"/>
      <c r="BI14" s="165"/>
      <c r="BJ14" s="165"/>
      <c r="BK14" s="165"/>
      <c r="BL14" s="165"/>
      <c r="BM14" s="165"/>
      <c r="BN14" s="165"/>
      <c r="BO14" s="165"/>
      <c r="BP14" s="165"/>
      <c r="BQ14" s="165"/>
      <c r="BR14" s="165"/>
      <c r="BS14" s="165"/>
      <c r="BT14" s="165"/>
      <c r="BU14" s="165"/>
      <c r="BV14" s="165"/>
      <c r="BW14" s="165"/>
      <c r="BX14" s="165"/>
      <c r="BY14" s="165"/>
      <c r="BZ14" s="165"/>
      <c r="CA14" s="165"/>
      <c r="CB14" s="165"/>
      <c r="CC14" s="165"/>
      <c r="CD14" s="165"/>
      <c r="CE14" s="165"/>
      <c r="CF14" s="165"/>
      <c r="CG14" s="165"/>
      <c r="CH14" s="165"/>
      <c r="CI14" s="165"/>
      <c r="CJ14" s="165"/>
      <c r="CK14" s="165"/>
      <c r="CL14" s="165"/>
      <c r="CM14" s="165"/>
      <c r="CN14" s="165"/>
      <c r="CO14" s="165"/>
      <c r="CP14" s="165"/>
      <c r="CQ14" s="165"/>
      <c r="CR14" s="165"/>
      <c r="CS14" s="165"/>
      <c r="CT14" s="165"/>
      <c r="CU14" s="165"/>
      <c r="CV14" s="165"/>
      <c r="CW14" s="165"/>
      <c r="CX14" s="165"/>
      <c r="CY14" s="165"/>
      <c r="CZ14" s="165"/>
      <c r="DA14" s="165"/>
      <c r="DB14" s="165"/>
    </row>
    <row r="15" spans="1:106" x14ac:dyDescent="0.2">
      <c r="A15" s="164"/>
      <c r="B15" s="164"/>
      <c r="C15" s="164"/>
      <c r="D15" s="164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65"/>
      <c r="BJ15" s="165"/>
      <c r="BK15" s="165"/>
      <c r="BL15" s="165"/>
      <c r="BM15" s="165"/>
      <c r="BN15" s="165"/>
      <c r="BO15" s="165"/>
      <c r="BP15" s="165"/>
      <c r="BQ15" s="165"/>
      <c r="BR15" s="165"/>
      <c r="BS15" s="165"/>
      <c r="BT15" s="165"/>
      <c r="BU15" s="165"/>
      <c r="BV15" s="165"/>
      <c r="BW15" s="165"/>
      <c r="BX15" s="165"/>
      <c r="BY15" s="165"/>
      <c r="BZ15" s="165"/>
      <c r="CA15" s="165"/>
      <c r="CB15" s="165"/>
      <c r="CC15" s="165"/>
      <c r="CD15" s="165"/>
      <c r="CE15" s="165"/>
      <c r="CF15" s="165"/>
      <c r="CG15" s="165"/>
      <c r="CH15" s="165"/>
      <c r="CI15" s="165"/>
      <c r="CJ15" s="165"/>
      <c r="CK15" s="165"/>
      <c r="CL15" s="165"/>
      <c r="CM15" s="165"/>
      <c r="CN15" s="165"/>
      <c r="CO15" s="165"/>
      <c r="CP15" s="165"/>
      <c r="CQ15" s="165"/>
      <c r="CR15" s="165"/>
      <c r="CS15" s="165"/>
      <c r="CT15" s="165"/>
      <c r="CU15" s="165"/>
      <c r="CV15" s="165"/>
      <c r="CW15" s="165"/>
      <c r="CX15" s="165"/>
      <c r="CY15" s="165"/>
      <c r="CZ15" s="165"/>
      <c r="DA15" s="165"/>
      <c r="DB15" s="165"/>
    </row>
    <row r="16" spans="1:106" x14ac:dyDescent="0.2">
      <c r="A16" s="164"/>
      <c r="B16" s="164"/>
      <c r="C16" s="164"/>
      <c r="D16" s="164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65"/>
      <c r="BJ16" s="165"/>
      <c r="BK16" s="165"/>
      <c r="BL16" s="165"/>
      <c r="BM16" s="165"/>
      <c r="BN16" s="165"/>
      <c r="BO16" s="165"/>
      <c r="BP16" s="165"/>
      <c r="BQ16" s="165"/>
      <c r="BR16" s="165"/>
      <c r="BS16" s="165"/>
      <c r="BT16" s="165"/>
      <c r="BU16" s="165"/>
      <c r="BV16" s="165"/>
      <c r="BW16" s="165"/>
      <c r="BX16" s="165"/>
      <c r="BY16" s="165"/>
      <c r="BZ16" s="165"/>
      <c r="CA16" s="165"/>
      <c r="CB16" s="165"/>
      <c r="CC16" s="165"/>
      <c r="CD16" s="165"/>
      <c r="CE16" s="165"/>
      <c r="CF16" s="165"/>
      <c r="CG16" s="165"/>
      <c r="CH16" s="165"/>
      <c r="CI16" s="165"/>
      <c r="CJ16" s="165"/>
      <c r="CK16" s="165"/>
      <c r="CL16" s="165"/>
      <c r="CM16" s="165"/>
      <c r="CN16" s="165"/>
      <c r="CO16" s="165"/>
      <c r="CP16" s="165"/>
      <c r="CQ16" s="165"/>
      <c r="CR16" s="165"/>
      <c r="CS16" s="165"/>
      <c r="CT16" s="165"/>
      <c r="CU16" s="165"/>
      <c r="CV16" s="165"/>
      <c r="CW16" s="165"/>
      <c r="CX16" s="165"/>
      <c r="CY16" s="165"/>
      <c r="CZ16" s="165"/>
      <c r="DA16" s="165"/>
      <c r="DB16" s="165"/>
    </row>
    <row r="17" spans="1:106" x14ac:dyDescent="0.2">
      <c r="A17" s="164"/>
      <c r="B17" s="164"/>
      <c r="C17" s="164"/>
      <c r="D17" s="164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5"/>
      <c r="BE17" s="165"/>
      <c r="BF17" s="165"/>
      <c r="BG17" s="165"/>
      <c r="BH17" s="165"/>
      <c r="BI17" s="165"/>
      <c r="BJ17" s="165"/>
      <c r="BK17" s="165"/>
      <c r="BL17" s="165"/>
      <c r="BM17" s="165"/>
      <c r="BN17" s="165"/>
      <c r="BO17" s="165"/>
      <c r="BP17" s="165"/>
      <c r="BQ17" s="165"/>
      <c r="BR17" s="165"/>
      <c r="BS17" s="165"/>
      <c r="BT17" s="165"/>
      <c r="BU17" s="165"/>
      <c r="BV17" s="165"/>
      <c r="BW17" s="165"/>
      <c r="BX17" s="165"/>
      <c r="BY17" s="165"/>
      <c r="BZ17" s="165"/>
      <c r="CA17" s="165"/>
      <c r="CB17" s="165"/>
      <c r="CC17" s="165"/>
      <c r="CD17" s="165"/>
      <c r="CE17" s="165"/>
      <c r="CF17" s="165"/>
      <c r="CG17" s="165"/>
      <c r="CH17" s="165"/>
      <c r="CI17" s="165"/>
      <c r="CJ17" s="165"/>
      <c r="CK17" s="165"/>
      <c r="CL17" s="165"/>
      <c r="CM17" s="165"/>
      <c r="CN17" s="165"/>
      <c r="CO17" s="165"/>
      <c r="CP17" s="165"/>
      <c r="CQ17" s="165"/>
      <c r="CR17" s="165"/>
      <c r="CS17" s="165"/>
      <c r="CT17" s="165"/>
      <c r="CU17" s="165"/>
      <c r="CV17" s="165"/>
      <c r="CW17" s="165"/>
      <c r="CX17" s="165"/>
      <c r="CY17" s="165"/>
      <c r="CZ17" s="165"/>
      <c r="DA17" s="165"/>
      <c r="DB17" s="165"/>
    </row>
    <row r="18" spans="1:106" x14ac:dyDescent="0.2">
      <c r="A18" s="164"/>
      <c r="B18" s="164"/>
      <c r="C18" s="164"/>
      <c r="D18" s="164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/>
      <c r="AV18" s="165"/>
      <c r="AW18" s="165"/>
      <c r="AX18" s="165"/>
      <c r="AY18" s="165"/>
      <c r="AZ18" s="165"/>
      <c r="BA18" s="165"/>
      <c r="BB18" s="165"/>
      <c r="BC18" s="165"/>
      <c r="BD18" s="165"/>
      <c r="BE18" s="165"/>
      <c r="BF18" s="165"/>
      <c r="BG18" s="165"/>
      <c r="BH18" s="165"/>
      <c r="BI18" s="165"/>
      <c r="BJ18" s="165"/>
      <c r="BK18" s="165"/>
      <c r="BL18" s="165"/>
      <c r="BM18" s="165"/>
      <c r="BN18" s="165"/>
      <c r="BO18" s="165"/>
      <c r="BP18" s="165"/>
      <c r="BQ18" s="165"/>
      <c r="BR18" s="165"/>
      <c r="BS18" s="165"/>
      <c r="BT18" s="165"/>
      <c r="BU18" s="165"/>
      <c r="BV18" s="165"/>
      <c r="BW18" s="165"/>
      <c r="BX18" s="165"/>
      <c r="BY18" s="165"/>
      <c r="BZ18" s="165"/>
      <c r="CA18" s="165"/>
      <c r="CB18" s="165"/>
      <c r="CC18" s="165"/>
      <c r="CD18" s="165"/>
      <c r="CE18" s="165"/>
      <c r="CF18" s="165"/>
      <c r="CG18" s="165"/>
      <c r="CH18" s="165"/>
      <c r="CI18" s="165"/>
      <c r="CJ18" s="165"/>
      <c r="CK18" s="165"/>
      <c r="CL18" s="165"/>
      <c r="CM18" s="165"/>
      <c r="CN18" s="165"/>
      <c r="CO18" s="165"/>
      <c r="CP18" s="165"/>
      <c r="CQ18" s="165"/>
      <c r="CR18" s="165"/>
      <c r="CS18" s="165"/>
      <c r="CT18" s="165"/>
      <c r="CU18" s="165"/>
      <c r="CV18" s="165"/>
      <c r="CW18" s="165"/>
      <c r="CX18" s="165"/>
      <c r="CY18" s="165"/>
      <c r="CZ18" s="165"/>
      <c r="DA18" s="165"/>
      <c r="DB18" s="165"/>
    </row>
    <row r="19" spans="1:106" x14ac:dyDescent="0.2">
      <c r="A19" s="164"/>
      <c r="B19" s="164"/>
      <c r="C19" s="164"/>
      <c r="D19" s="164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5"/>
      <c r="BB19" s="165"/>
      <c r="BC19" s="165"/>
      <c r="BD19" s="165"/>
      <c r="BE19" s="165"/>
      <c r="BF19" s="165"/>
      <c r="BG19" s="165"/>
      <c r="BH19" s="165"/>
      <c r="BI19" s="165"/>
      <c r="BJ19" s="165"/>
      <c r="BK19" s="165"/>
      <c r="BL19" s="165"/>
      <c r="BM19" s="165"/>
      <c r="BN19" s="165"/>
      <c r="BO19" s="165"/>
      <c r="BP19" s="165"/>
      <c r="BQ19" s="165"/>
      <c r="BR19" s="165"/>
      <c r="BS19" s="165"/>
      <c r="BT19" s="165"/>
      <c r="BU19" s="165"/>
      <c r="BV19" s="165"/>
      <c r="BW19" s="165"/>
      <c r="BX19" s="165"/>
      <c r="BY19" s="165"/>
      <c r="BZ19" s="165"/>
      <c r="CA19" s="165"/>
      <c r="CB19" s="165"/>
      <c r="CC19" s="165"/>
      <c r="CD19" s="165"/>
      <c r="CE19" s="165"/>
      <c r="CF19" s="165"/>
      <c r="CG19" s="165"/>
      <c r="CH19" s="165"/>
      <c r="CI19" s="165"/>
      <c r="CJ19" s="165"/>
      <c r="CK19" s="165"/>
      <c r="CL19" s="165"/>
      <c r="CM19" s="165"/>
      <c r="CN19" s="165"/>
      <c r="CO19" s="165"/>
      <c r="CP19" s="165"/>
      <c r="CQ19" s="165"/>
      <c r="CR19" s="165"/>
      <c r="CS19" s="165"/>
      <c r="CT19" s="165"/>
      <c r="CU19" s="165"/>
      <c r="CV19" s="165"/>
      <c r="CW19" s="165"/>
      <c r="CX19" s="165"/>
      <c r="CY19" s="165"/>
      <c r="CZ19" s="165"/>
      <c r="DA19" s="165"/>
      <c r="DB19" s="165"/>
    </row>
    <row r="20" spans="1:106" x14ac:dyDescent="0.2">
      <c r="A20" s="164"/>
      <c r="B20" s="164"/>
      <c r="C20" s="164"/>
      <c r="D20" s="164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65"/>
      <c r="BR20" s="165"/>
      <c r="BS20" s="165"/>
      <c r="BT20" s="165"/>
      <c r="BU20" s="165"/>
      <c r="BV20" s="165"/>
      <c r="BW20" s="165"/>
      <c r="BX20" s="165"/>
      <c r="BY20" s="165"/>
      <c r="BZ20" s="165"/>
      <c r="CA20" s="165"/>
      <c r="CB20" s="165"/>
      <c r="CC20" s="165"/>
      <c r="CD20" s="165"/>
      <c r="CE20" s="165"/>
      <c r="CF20" s="165"/>
      <c r="CG20" s="165"/>
      <c r="CH20" s="165"/>
      <c r="CI20" s="165"/>
      <c r="CJ20" s="165"/>
      <c r="CK20" s="165"/>
      <c r="CL20" s="165"/>
      <c r="CM20" s="165"/>
      <c r="CN20" s="165"/>
      <c r="CO20" s="165"/>
      <c r="CP20" s="165"/>
      <c r="CQ20" s="165"/>
      <c r="CR20" s="165"/>
      <c r="CS20" s="165"/>
      <c r="CT20" s="165"/>
      <c r="CU20" s="165"/>
      <c r="CV20" s="165"/>
      <c r="CW20" s="165"/>
      <c r="CX20" s="165"/>
      <c r="CY20" s="165"/>
      <c r="CZ20" s="165"/>
      <c r="DA20" s="165"/>
      <c r="DB20" s="165"/>
    </row>
    <row r="21" spans="1:106" x14ac:dyDescent="0.2">
      <c r="A21" s="164"/>
      <c r="B21" s="164"/>
      <c r="C21" s="164"/>
      <c r="D21" s="164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/>
      <c r="BB21" s="165"/>
      <c r="BC21" s="165"/>
      <c r="BD21" s="165"/>
      <c r="BE21" s="165"/>
      <c r="BF21" s="165"/>
      <c r="BG21" s="165"/>
      <c r="BH21" s="165"/>
      <c r="BI21" s="165"/>
      <c r="BJ21" s="165"/>
      <c r="BK21" s="165"/>
      <c r="BL21" s="165"/>
      <c r="BM21" s="165"/>
      <c r="BN21" s="165"/>
      <c r="BO21" s="165"/>
      <c r="BP21" s="165"/>
      <c r="BQ21" s="165"/>
      <c r="BR21" s="165"/>
      <c r="BS21" s="165"/>
      <c r="BT21" s="165"/>
      <c r="BU21" s="165"/>
      <c r="BV21" s="165"/>
      <c r="BW21" s="165"/>
      <c r="BX21" s="165"/>
      <c r="BY21" s="165"/>
      <c r="BZ21" s="165"/>
      <c r="CA21" s="165"/>
      <c r="CB21" s="165"/>
      <c r="CC21" s="165"/>
      <c r="CD21" s="165"/>
      <c r="CE21" s="165"/>
      <c r="CF21" s="165"/>
      <c r="CG21" s="165"/>
      <c r="CH21" s="165"/>
      <c r="CI21" s="165"/>
      <c r="CJ21" s="165"/>
      <c r="CK21" s="165"/>
      <c r="CL21" s="165"/>
      <c r="CM21" s="165"/>
      <c r="CN21" s="165"/>
      <c r="CO21" s="165"/>
      <c r="CP21" s="165"/>
      <c r="CQ21" s="165"/>
      <c r="CR21" s="165"/>
      <c r="CS21" s="165"/>
      <c r="CT21" s="165"/>
      <c r="CU21" s="165"/>
      <c r="CV21" s="165"/>
      <c r="CW21" s="165"/>
      <c r="CX21" s="165"/>
      <c r="CY21" s="165"/>
      <c r="CZ21" s="165"/>
      <c r="DA21" s="165"/>
      <c r="DB21" s="165"/>
    </row>
    <row r="22" spans="1:106" x14ac:dyDescent="0.2">
      <c r="A22" s="164"/>
      <c r="B22" s="164"/>
      <c r="C22" s="164"/>
      <c r="D22" s="164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  <c r="AN22" s="165"/>
      <c r="AO22" s="165"/>
      <c r="AP22" s="165"/>
      <c r="AQ22" s="165"/>
      <c r="AR22" s="165"/>
      <c r="AS22" s="165"/>
      <c r="AT22" s="165"/>
      <c r="AU22" s="165"/>
      <c r="AV22" s="165"/>
      <c r="AW22" s="165"/>
      <c r="AX22" s="165"/>
      <c r="AY22" s="165"/>
      <c r="AZ22" s="165"/>
      <c r="BA22" s="165"/>
      <c r="BB22" s="165"/>
      <c r="BC22" s="165"/>
      <c r="BD22" s="165"/>
      <c r="BE22" s="165"/>
      <c r="BF22" s="165"/>
      <c r="BG22" s="165"/>
      <c r="BH22" s="165"/>
      <c r="BI22" s="165"/>
      <c r="BJ22" s="165"/>
      <c r="BK22" s="165"/>
      <c r="BL22" s="165"/>
      <c r="BM22" s="165"/>
      <c r="BN22" s="165"/>
      <c r="BO22" s="165"/>
      <c r="BP22" s="165"/>
      <c r="BQ22" s="165"/>
      <c r="BR22" s="165"/>
      <c r="BS22" s="165"/>
      <c r="BT22" s="165"/>
      <c r="BU22" s="165"/>
      <c r="BV22" s="165"/>
      <c r="BW22" s="165"/>
      <c r="BX22" s="165"/>
      <c r="BY22" s="165"/>
      <c r="BZ22" s="165"/>
      <c r="CA22" s="165"/>
      <c r="CB22" s="165"/>
      <c r="CC22" s="165"/>
      <c r="CD22" s="165"/>
      <c r="CE22" s="165"/>
      <c r="CF22" s="165"/>
      <c r="CG22" s="165"/>
      <c r="CH22" s="165"/>
      <c r="CI22" s="165"/>
      <c r="CJ22" s="165"/>
      <c r="CK22" s="165"/>
      <c r="CL22" s="165"/>
      <c r="CM22" s="165"/>
      <c r="CN22" s="165"/>
      <c r="CO22" s="165"/>
      <c r="CP22" s="165"/>
      <c r="CQ22" s="165"/>
      <c r="CR22" s="165"/>
      <c r="CS22" s="165"/>
      <c r="CT22" s="165"/>
      <c r="CU22" s="165"/>
      <c r="CV22" s="165"/>
      <c r="CW22" s="165"/>
      <c r="CX22" s="165"/>
      <c r="CY22" s="165"/>
      <c r="CZ22" s="165"/>
      <c r="DA22" s="165"/>
      <c r="DB22" s="165"/>
    </row>
    <row r="23" spans="1:106" x14ac:dyDescent="0.2">
      <c r="A23" s="164"/>
      <c r="B23" s="164"/>
      <c r="C23" s="164"/>
      <c r="D23" s="164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65"/>
      <c r="AU23" s="165"/>
      <c r="AV23" s="165"/>
      <c r="AW23" s="165"/>
      <c r="AX23" s="165"/>
      <c r="AY23" s="165"/>
      <c r="AZ23" s="165"/>
      <c r="BA23" s="165"/>
      <c r="BB23" s="165"/>
      <c r="BC23" s="165"/>
      <c r="BD23" s="165"/>
      <c r="BE23" s="165"/>
      <c r="BF23" s="165"/>
      <c r="BG23" s="165"/>
      <c r="BH23" s="165"/>
      <c r="BI23" s="165"/>
      <c r="BJ23" s="165"/>
      <c r="BK23" s="165"/>
      <c r="BL23" s="165"/>
      <c r="BM23" s="165"/>
      <c r="BN23" s="165"/>
      <c r="BO23" s="165"/>
      <c r="BP23" s="165"/>
      <c r="BQ23" s="165"/>
      <c r="BR23" s="165"/>
      <c r="BS23" s="165"/>
      <c r="BT23" s="165"/>
      <c r="BU23" s="165"/>
      <c r="BV23" s="165"/>
      <c r="BW23" s="165"/>
      <c r="BX23" s="165"/>
      <c r="BY23" s="165"/>
      <c r="BZ23" s="165"/>
      <c r="CA23" s="165"/>
      <c r="CB23" s="165"/>
      <c r="CC23" s="165"/>
      <c r="CD23" s="165"/>
      <c r="CE23" s="165"/>
      <c r="CF23" s="165"/>
      <c r="CG23" s="165"/>
      <c r="CH23" s="165"/>
      <c r="CI23" s="165"/>
      <c r="CJ23" s="165"/>
      <c r="CK23" s="165"/>
      <c r="CL23" s="165"/>
      <c r="CM23" s="165"/>
      <c r="CN23" s="165"/>
      <c r="CO23" s="165"/>
      <c r="CP23" s="165"/>
      <c r="CQ23" s="165"/>
      <c r="CR23" s="165"/>
      <c r="CS23" s="165"/>
      <c r="CT23" s="165"/>
      <c r="CU23" s="165"/>
      <c r="CV23" s="165"/>
      <c r="CW23" s="165"/>
      <c r="CX23" s="165"/>
      <c r="CY23" s="165"/>
      <c r="CZ23" s="165"/>
      <c r="DA23" s="165"/>
      <c r="DB23" s="165"/>
    </row>
    <row r="24" spans="1:106" x14ac:dyDescent="0.2">
      <c r="A24" s="164"/>
      <c r="B24" s="164"/>
      <c r="C24" s="164"/>
      <c r="D24" s="164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65"/>
      <c r="BA24" s="165"/>
      <c r="BB24" s="165"/>
      <c r="BC24" s="165"/>
      <c r="BD24" s="165"/>
      <c r="BE24" s="165"/>
      <c r="BF24" s="165"/>
      <c r="BG24" s="165"/>
      <c r="BH24" s="165"/>
      <c r="BI24" s="165"/>
      <c r="BJ24" s="165"/>
      <c r="BK24" s="165"/>
      <c r="BL24" s="165"/>
      <c r="BM24" s="165"/>
      <c r="BN24" s="165"/>
      <c r="BO24" s="165"/>
      <c r="BP24" s="165"/>
      <c r="BQ24" s="165"/>
      <c r="BR24" s="165"/>
      <c r="BS24" s="165"/>
      <c r="BT24" s="165"/>
      <c r="BU24" s="165"/>
      <c r="BV24" s="165"/>
      <c r="BW24" s="165"/>
      <c r="BX24" s="165"/>
      <c r="BY24" s="165"/>
      <c r="BZ24" s="165"/>
      <c r="CA24" s="165"/>
      <c r="CB24" s="165"/>
      <c r="CC24" s="165"/>
      <c r="CD24" s="165"/>
      <c r="CE24" s="165"/>
      <c r="CF24" s="165"/>
      <c r="CG24" s="165"/>
      <c r="CH24" s="165"/>
      <c r="CI24" s="165"/>
      <c r="CJ24" s="165"/>
      <c r="CK24" s="165"/>
      <c r="CL24" s="165"/>
      <c r="CM24" s="165"/>
      <c r="CN24" s="165"/>
      <c r="CO24" s="165"/>
      <c r="CP24" s="165"/>
      <c r="CQ24" s="165"/>
      <c r="CR24" s="165"/>
      <c r="CS24" s="165"/>
      <c r="CT24" s="165"/>
      <c r="CU24" s="165"/>
      <c r="CV24" s="165"/>
      <c r="CW24" s="165"/>
      <c r="CX24" s="165"/>
      <c r="CY24" s="165"/>
      <c r="CZ24" s="165"/>
      <c r="DA24" s="165"/>
      <c r="DB24" s="165"/>
    </row>
    <row r="25" spans="1:106" x14ac:dyDescent="0.2">
      <c r="A25" s="164"/>
      <c r="B25" s="164"/>
      <c r="C25" s="164"/>
      <c r="D25" s="164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5"/>
      <c r="AX25" s="165"/>
      <c r="AY25" s="165"/>
      <c r="AZ25" s="165"/>
      <c r="BA25" s="165"/>
      <c r="BB25" s="165"/>
      <c r="BC25" s="165"/>
      <c r="BD25" s="165"/>
      <c r="BE25" s="165"/>
      <c r="BF25" s="165"/>
      <c r="BG25" s="165"/>
      <c r="BH25" s="165"/>
      <c r="BI25" s="165"/>
      <c r="BJ25" s="165"/>
      <c r="BK25" s="165"/>
      <c r="BL25" s="165"/>
      <c r="BM25" s="165"/>
      <c r="BN25" s="165"/>
      <c r="BO25" s="165"/>
      <c r="BP25" s="165"/>
      <c r="BQ25" s="165"/>
      <c r="BR25" s="165"/>
      <c r="BS25" s="165"/>
      <c r="BT25" s="165"/>
      <c r="BU25" s="165"/>
      <c r="BV25" s="165"/>
      <c r="BW25" s="165"/>
      <c r="BX25" s="165"/>
      <c r="BY25" s="165"/>
      <c r="BZ25" s="165"/>
      <c r="CA25" s="165"/>
      <c r="CB25" s="165"/>
      <c r="CC25" s="165"/>
      <c r="CD25" s="165"/>
      <c r="CE25" s="165"/>
      <c r="CF25" s="165"/>
      <c r="CG25" s="165"/>
      <c r="CH25" s="165"/>
      <c r="CI25" s="165"/>
      <c r="CJ25" s="165"/>
      <c r="CK25" s="165"/>
      <c r="CL25" s="165"/>
      <c r="CM25" s="165"/>
      <c r="CN25" s="165"/>
      <c r="CO25" s="165"/>
      <c r="CP25" s="165"/>
      <c r="CQ25" s="165"/>
      <c r="CR25" s="165"/>
      <c r="CS25" s="165"/>
      <c r="CT25" s="165"/>
      <c r="CU25" s="165"/>
      <c r="CV25" s="165"/>
      <c r="CW25" s="165"/>
      <c r="CX25" s="165"/>
      <c r="CY25" s="165"/>
      <c r="CZ25" s="165"/>
      <c r="DA25" s="165"/>
      <c r="DB25" s="165"/>
    </row>
    <row r="26" spans="1:106" x14ac:dyDescent="0.2">
      <c r="A26" s="164"/>
      <c r="B26" s="164"/>
      <c r="C26" s="164"/>
      <c r="D26" s="164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165"/>
      <c r="BC26" s="165"/>
      <c r="BD26" s="165"/>
      <c r="BE26" s="165"/>
      <c r="BF26" s="165"/>
      <c r="BG26" s="165"/>
      <c r="BH26" s="165"/>
      <c r="BI26" s="165"/>
      <c r="BJ26" s="165"/>
      <c r="BK26" s="165"/>
      <c r="BL26" s="165"/>
      <c r="BM26" s="165"/>
      <c r="BN26" s="165"/>
      <c r="BO26" s="165"/>
      <c r="BP26" s="165"/>
      <c r="BQ26" s="165"/>
      <c r="BR26" s="165"/>
      <c r="BS26" s="165"/>
      <c r="BT26" s="165"/>
      <c r="BU26" s="165"/>
      <c r="BV26" s="165"/>
      <c r="BW26" s="165"/>
      <c r="BX26" s="165"/>
      <c r="BY26" s="165"/>
      <c r="BZ26" s="165"/>
      <c r="CA26" s="165"/>
      <c r="CB26" s="165"/>
      <c r="CC26" s="165"/>
      <c r="CD26" s="165"/>
      <c r="CE26" s="165"/>
      <c r="CF26" s="165"/>
      <c r="CG26" s="165"/>
      <c r="CH26" s="165"/>
      <c r="CI26" s="165"/>
      <c r="CJ26" s="165"/>
      <c r="CK26" s="165"/>
      <c r="CL26" s="165"/>
      <c r="CM26" s="165"/>
      <c r="CN26" s="165"/>
      <c r="CO26" s="165"/>
      <c r="CP26" s="165"/>
      <c r="CQ26" s="165"/>
      <c r="CR26" s="165"/>
      <c r="CS26" s="165"/>
      <c r="CT26" s="165"/>
      <c r="CU26" s="165"/>
      <c r="CV26" s="165"/>
      <c r="CW26" s="165"/>
      <c r="CX26" s="165"/>
      <c r="CY26" s="165"/>
      <c r="CZ26" s="165"/>
      <c r="DA26" s="165"/>
      <c r="DB26" s="165"/>
    </row>
    <row r="27" spans="1:106" x14ac:dyDescent="0.2">
      <c r="A27" s="164"/>
      <c r="B27" s="164"/>
      <c r="C27" s="164"/>
      <c r="D27" s="164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5"/>
      <c r="BB27" s="165"/>
      <c r="BC27" s="165"/>
      <c r="BD27" s="165"/>
      <c r="BE27" s="165"/>
      <c r="BF27" s="165"/>
      <c r="BG27" s="165"/>
      <c r="BH27" s="165"/>
      <c r="BI27" s="165"/>
      <c r="BJ27" s="165"/>
      <c r="BK27" s="165"/>
      <c r="BL27" s="165"/>
      <c r="BM27" s="165"/>
      <c r="BN27" s="165"/>
      <c r="BO27" s="165"/>
      <c r="BP27" s="165"/>
      <c r="BQ27" s="165"/>
      <c r="BR27" s="165"/>
      <c r="BS27" s="165"/>
      <c r="BT27" s="165"/>
      <c r="BU27" s="165"/>
      <c r="BV27" s="165"/>
      <c r="BW27" s="165"/>
      <c r="BX27" s="165"/>
      <c r="BY27" s="165"/>
      <c r="BZ27" s="165"/>
      <c r="CA27" s="165"/>
      <c r="CB27" s="165"/>
      <c r="CC27" s="165"/>
      <c r="CD27" s="165"/>
      <c r="CE27" s="165"/>
      <c r="CF27" s="165"/>
      <c r="CG27" s="165"/>
      <c r="CH27" s="165"/>
      <c r="CI27" s="165"/>
      <c r="CJ27" s="165"/>
      <c r="CK27" s="165"/>
      <c r="CL27" s="165"/>
      <c r="CM27" s="165"/>
      <c r="CN27" s="165"/>
      <c r="CO27" s="165"/>
      <c r="CP27" s="165"/>
      <c r="CQ27" s="165"/>
      <c r="CR27" s="165"/>
      <c r="CS27" s="165"/>
      <c r="CT27" s="165"/>
      <c r="CU27" s="165"/>
      <c r="CV27" s="165"/>
      <c r="CW27" s="165"/>
      <c r="CX27" s="165"/>
      <c r="CY27" s="165"/>
      <c r="CZ27" s="165"/>
      <c r="DA27" s="165"/>
      <c r="DB27" s="165"/>
    </row>
    <row r="28" spans="1:106" x14ac:dyDescent="0.2">
      <c r="A28" s="164"/>
      <c r="B28" s="164"/>
      <c r="C28" s="164"/>
      <c r="D28" s="164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65"/>
      <c r="BC28" s="165"/>
      <c r="BD28" s="165"/>
      <c r="BE28" s="165"/>
      <c r="BF28" s="165"/>
      <c r="BG28" s="165"/>
      <c r="BH28" s="165"/>
      <c r="BI28" s="165"/>
      <c r="BJ28" s="165"/>
      <c r="BK28" s="165"/>
      <c r="BL28" s="165"/>
      <c r="BM28" s="165"/>
      <c r="BN28" s="165"/>
      <c r="BO28" s="165"/>
      <c r="BP28" s="165"/>
      <c r="BQ28" s="165"/>
      <c r="BR28" s="165"/>
      <c r="BS28" s="165"/>
      <c r="BT28" s="165"/>
      <c r="BU28" s="165"/>
      <c r="BV28" s="165"/>
      <c r="BW28" s="165"/>
      <c r="BX28" s="165"/>
      <c r="BY28" s="165"/>
      <c r="BZ28" s="165"/>
      <c r="CA28" s="165"/>
      <c r="CB28" s="165"/>
      <c r="CC28" s="165"/>
      <c r="CD28" s="165"/>
      <c r="CE28" s="165"/>
      <c r="CF28" s="165"/>
      <c r="CG28" s="165"/>
      <c r="CH28" s="165"/>
      <c r="CI28" s="165"/>
      <c r="CJ28" s="165"/>
      <c r="CK28" s="165"/>
      <c r="CL28" s="165"/>
      <c r="CM28" s="165"/>
      <c r="CN28" s="165"/>
      <c r="CO28" s="165"/>
      <c r="CP28" s="165"/>
      <c r="CQ28" s="165"/>
      <c r="CR28" s="165"/>
      <c r="CS28" s="165"/>
      <c r="CT28" s="165"/>
      <c r="CU28" s="165"/>
      <c r="CV28" s="165"/>
      <c r="CW28" s="165"/>
      <c r="CX28" s="165"/>
      <c r="CY28" s="165"/>
      <c r="CZ28" s="165"/>
      <c r="DA28" s="165"/>
      <c r="DB28" s="165"/>
    </row>
    <row r="29" spans="1:106" x14ac:dyDescent="0.2">
      <c r="A29" s="164"/>
      <c r="B29" s="164"/>
      <c r="C29" s="164"/>
      <c r="D29" s="164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5"/>
      <c r="AY29" s="165"/>
      <c r="AZ29" s="165"/>
      <c r="BA29" s="165"/>
      <c r="BB29" s="165"/>
      <c r="BC29" s="165"/>
      <c r="BD29" s="165"/>
      <c r="BE29" s="165"/>
      <c r="BF29" s="165"/>
      <c r="BG29" s="165"/>
      <c r="BH29" s="165"/>
      <c r="BI29" s="165"/>
      <c r="BJ29" s="165"/>
      <c r="BK29" s="165"/>
      <c r="BL29" s="165"/>
      <c r="BM29" s="165"/>
      <c r="BN29" s="165"/>
      <c r="BO29" s="165"/>
      <c r="BP29" s="165"/>
      <c r="BQ29" s="165"/>
      <c r="BR29" s="165"/>
      <c r="BS29" s="165"/>
      <c r="BT29" s="165"/>
      <c r="BU29" s="165"/>
      <c r="BV29" s="165"/>
      <c r="BW29" s="165"/>
      <c r="BX29" s="165"/>
      <c r="BY29" s="165"/>
      <c r="BZ29" s="165"/>
      <c r="CA29" s="165"/>
      <c r="CB29" s="165"/>
      <c r="CC29" s="165"/>
      <c r="CD29" s="165"/>
      <c r="CE29" s="165"/>
      <c r="CF29" s="165"/>
      <c r="CG29" s="165"/>
      <c r="CH29" s="165"/>
      <c r="CI29" s="165"/>
      <c r="CJ29" s="165"/>
      <c r="CK29" s="165"/>
      <c r="CL29" s="165"/>
      <c r="CM29" s="165"/>
      <c r="CN29" s="165"/>
      <c r="CO29" s="165"/>
      <c r="CP29" s="165"/>
      <c r="CQ29" s="165"/>
      <c r="CR29" s="165"/>
      <c r="CS29" s="165"/>
      <c r="CT29" s="165"/>
      <c r="CU29" s="165"/>
      <c r="CV29" s="165"/>
      <c r="CW29" s="165"/>
      <c r="CX29" s="165"/>
      <c r="CY29" s="165"/>
      <c r="CZ29" s="165"/>
      <c r="DA29" s="165"/>
      <c r="DB29" s="165"/>
    </row>
    <row r="30" spans="1:106" x14ac:dyDescent="0.2">
      <c r="A30" s="164"/>
      <c r="B30" s="164"/>
      <c r="C30" s="164"/>
      <c r="D30" s="164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165"/>
      <c r="AZ30" s="165"/>
      <c r="BA30" s="165"/>
      <c r="BB30" s="165"/>
      <c r="BC30" s="165"/>
      <c r="BD30" s="165"/>
      <c r="BE30" s="165"/>
      <c r="BF30" s="165"/>
      <c r="BG30" s="165"/>
      <c r="BH30" s="165"/>
      <c r="BI30" s="165"/>
      <c r="BJ30" s="165"/>
      <c r="BK30" s="165"/>
      <c r="BL30" s="165"/>
      <c r="BM30" s="165"/>
      <c r="BN30" s="165"/>
      <c r="BO30" s="165"/>
      <c r="BP30" s="165"/>
      <c r="BQ30" s="165"/>
      <c r="BR30" s="165"/>
      <c r="BS30" s="165"/>
      <c r="BT30" s="165"/>
      <c r="BU30" s="165"/>
      <c r="BV30" s="165"/>
      <c r="BW30" s="165"/>
      <c r="BX30" s="165"/>
      <c r="BY30" s="165"/>
      <c r="BZ30" s="165"/>
      <c r="CA30" s="165"/>
      <c r="CB30" s="165"/>
      <c r="CC30" s="165"/>
      <c r="CD30" s="165"/>
      <c r="CE30" s="165"/>
      <c r="CF30" s="165"/>
      <c r="CG30" s="165"/>
      <c r="CH30" s="165"/>
      <c r="CI30" s="165"/>
      <c r="CJ30" s="165"/>
      <c r="CK30" s="165"/>
      <c r="CL30" s="165"/>
      <c r="CM30" s="165"/>
      <c r="CN30" s="165"/>
      <c r="CO30" s="165"/>
      <c r="CP30" s="165"/>
      <c r="CQ30" s="165"/>
      <c r="CR30" s="165"/>
      <c r="CS30" s="165"/>
      <c r="CT30" s="165"/>
      <c r="CU30" s="165"/>
      <c r="CV30" s="165"/>
      <c r="CW30" s="165"/>
      <c r="CX30" s="165"/>
      <c r="CY30" s="165"/>
      <c r="CZ30" s="165"/>
      <c r="DA30" s="165"/>
      <c r="DB30" s="165"/>
    </row>
    <row r="31" spans="1:106" x14ac:dyDescent="0.2">
      <c r="A31" s="164"/>
      <c r="B31" s="164"/>
      <c r="C31" s="164"/>
      <c r="D31" s="164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5"/>
      <c r="BB31" s="165"/>
      <c r="BC31" s="165"/>
      <c r="BD31" s="165"/>
      <c r="BE31" s="165"/>
      <c r="BF31" s="165"/>
      <c r="BG31" s="165"/>
      <c r="BH31" s="165"/>
      <c r="BI31" s="165"/>
      <c r="BJ31" s="165"/>
      <c r="BK31" s="165"/>
      <c r="BL31" s="165"/>
      <c r="BM31" s="165"/>
      <c r="BN31" s="165"/>
      <c r="BO31" s="165"/>
      <c r="BP31" s="165"/>
      <c r="BQ31" s="165"/>
      <c r="BR31" s="165"/>
      <c r="BS31" s="165"/>
      <c r="BT31" s="165"/>
      <c r="BU31" s="165"/>
      <c r="BV31" s="165"/>
      <c r="BW31" s="165"/>
      <c r="BX31" s="165"/>
      <c r="BY31" s="165"/>
      <c r="BZ31" s="165"/>
      <c r="CA31" s="165"/>
      <c r="CB31" s="165"/>
      <c r="CC31" s="165"/>
      <c r="CD31" s="165"/>
      <c r="CE31" s="165"/>
      <c r="CF31" s="165"/>
      <c r="CG31" s="165"/>
      <c r="CH31" s="165"/>
      <c r="CI31" s="165"/>
      <c r="CJ31" s="165"/>
      <c r="CK31" s="165"/>
      <c r="CL31" s="165"/>
      <c r="CM31" s="165"/>
      <c r="CN31" s="165"/>
      <c r="CO31" s="165"/>
      <c r="CP31" s="165"/>
      <c r="CQ31" s="165"/>
      <c r="CR31" s="165"/>
      <c r="CS31" s="165"/>
      <c r="CT31" s="165"/>
      <c r="CU31" s="165"/>
      <c r="CV31" s="165"/>
      <c r="CW31" s="165"/>
      <c r="CX31" s="165"/>
      <c r="CY31" s="165"/>
      <c r="CZ31" s="165"/>
      <c r="DA31" s="165"/>
      <c r="DB31" s="165"/>
    </row>
    <row r="32" spans="1:106" x14ac:dyDescent="0.2">
      <c r="A32" s="164"/>
      <c r="B32" s="164"/>
      <c r="C32" s="164"/>
      <c r="D32" s="164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5"/>
      <c r="BD32" s="165"/>
      <c r="BE32" s="165"/>
      <c r="BF32" s="165"/>
      <c r="BG32" s="165"/>
      <c r="BH32" s="165"/>
      <c r="BI32" s="165"/>
      <c r="BJ32" s="165"/>
      <c r="BK32" s="165"/>
      <c r="BL32" s="165"/>
      <c r="BM32" s="165"/>
      <c r="BN32" s="165"/>
      <c r="BO32" s="165"/>
      <c r="BP32" s="165"/>
      <c r="BQ32" s="165"/>
      <c r="BR32" s="165"/>
      <c r="BS32" s="165"/>
      <c r="BT32" s="165"/>
      <c r="BU32" s="165"/>
      <c r="BV32" s="165"/>
      <c r="BW32" s="165"/>
      <c r="BX32" s="165"/>
      <c r="BY32" s="165"/>
      <c r="BZ32" s="165"/>
      <c r="CA32" s="165"/>
      <c r="CB32" s="165"/>
      <c r="CC32" s="165"/>
      <c r="CD32" s="165"/>
      <c r="CE32" s="165"/>
      <c r="CF32" s="165"/>
      <c r="CG32" s="165"/>
      <c r="CH32" s="165"/>
      <c r="CI32" s="165"/>
      <c r="CJ32" s="165"/>
      <c r="CK32" s="165"/>
      <c r="CL32" s="165"/>
      <c r="CM32" s="165"/>
      <c r="CN32" s="165"/>
      <c r="CO32" s="165"/>
      <c r="CP32" s="165"/>
      <c r="CQ32" s="165"/>
      <c r="CR32" s="165"/>
      <c r="CS32" s="165"/>
      <c r="CT32" s="165"/>
      <c r="CU32" s="165"/>
      <c r="CV32" s="165"/>
      <c r="CW32" s="165"/>
      <c r="CX32" s="165"/>
      <c r="CY32" s="165"/>
      <c r="CZ32" s="165"/>
      <c r="DA32" s="165"/>
      <c r="DB32" s="165"/>
    </row>
    <row r="33" spans="1:106" x14ac:dyDescent="0.2">
      <c r="A33" s="164"/>
      <c r="B33" s="164"/>
      <c r="C33" s="164"/>
      <c r="D33" s="164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5"/>
      <c r="AZ33" s="165"/>
      <c r="BA33" s="165"/>
      <c r="BB33" s="165"/>
      <c r="BC33" s="165"/>
      <c r="BD33" s="165"/>
      <c r="BE33" s="165"/>
      <c r="BF33" s="165"/>
      <c r="BG33" s="165"/>
      <c r="BH33" s="165"/>
      <c r="BI33" s="165"/>
      <c r="BJ33" s="165"/>
      <c r="BK33" s="165"/>
      <c r="BL33" s="165"/>
      <c r="BM33" s="165"/>
      <c r="BN33" s="165"/>
      <c r="BO33" s="165"/>
      <c r="BP33" s="165"/>
      <c r="BQ33" s="165"/>
      <c r="BR33" s="165"/>
      <c r="BS33" s="165"/>
      <c r="BT33" s="165"/>
      <c r="BU33" s="165"/>
      <c r="BV33" s="165"/>
      <c r="BW33" s="165"/>
      <c r="BX33" s="165"/>
      <c r="BY33" s="165"/>
      <c r="BZ33" s="165"/>
      <c r="CA33" s="165"/>
      <c r="CB33" s="165"/>
      <c r="CC33" s="165"/>
      <c r="CD33" s="165"/>
      <c r="CE33" s="165"/>
      <c r="CF33" s="165"/>
      <c r="CG33" s="165"/>
      <c r="CH33" s="165"/>
      <c r="CI33" s="165"/>
      <c r="CJ33" s="165"/>
      <c r="CK33" s="165"/>
      <c r="CL33" s="165"/>
      <c r="CM33" s="165"/>
      <c r="CN33" s="165"/>
      <c r="CO33" s="165"/>
      <c r="CP33" s="165"/>
      <c r="CQ33" s="165"/>
      <c r="CR33" s="165"/>
      <c r="CS33" s="165"/>
      <c r="CT33" s="165"/>
      <c r="CU33" s="165"/>
      <c r="CV33" s="165"/>
      <c r="CW33" s="165"/>
      <c r="CX33" s="165"/>
      <c r="CY33" s="165"/>
      <c r="CZ33" s="165"/>
      <c r="DA33" s="165"/>
      <c r="DB33" s="165"/>
    </row>
    <row r="34" spans="1:106" x14ac:dyDescent="0.2">
      <c r="A34" s="164"/>
      <c r="B34" s="164"/>
      <c r="C34" s="164"/>
      <c r="D34" s="164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5"/>
      <c r="AY34" s="165"/>
      <c r="AZ34" s="165"/>
      <c r="BA34" s="165"/>
      <c r="BB34" s="165"/>
      <c r="BC34" s="165"/>
      <c r="BD34" s="165"/>
      <c r="BE34" s="165"/>
      <c r="BF34" s="165"/>
      <c r="BG34" s="165"/>
      <c r="BH34" s="165"/>
      <c r="BI34" s="165"/>
      <c r="BJ34" s="165"/>
      <c r="BK34" s="165"/>
      <c r="BL34" s="165"/>
      <c r="BM34" s="165"/>
      <c r="BN34" s="165"/>
      <c r="BO34" s="165"/>
      <c r="BP34" s="165"/>
      <c r="BQ34" s="165"/>
      <c r="BR34" s="165"/>
      <c r="BS34" s="165"/>
      <c r="BT34" s="165"/>
      <c r="BU34" s="165"/>
      <c r="BV34" s="165"/>
      <c r="BW34" s="165"/>
      <c r="BX34" s="165"/>
      <c r="BY34" s="165"/>
      <c r="BZ34" s="165"/>
      <c r="CA34" s="165"/>
      <c r="CB34" s="165"/>
      <c r="CC34" s="165"/>
      <c r="CD34" s="165"/>
      <c r="CE34" s="165"/>
      <c r="CF34" s="165"/>
      <c r="CG34" s="165"/>
      <c r="CH34" s="165"/>
      <c r="CI34" s="165"/>
      <c r="CJ34" s="165"/>
      <c r="CK34" s="165"/>
      <c r="CL34" s="165"/>
      <c r="CM34" s="165"/>
      <c r="CN34" s="165"/>
      <c r="CO34" s="165"/>
      <c r="CP34" s="165"/>
      <c r="CQ34" s="165"/>
      <c r="CR34" s="165"/>
      <c r="CS34" s="165"/>
      <c r="CT34" s="165"/>
      <c r="CU34" s="165"/>
      <c r="CV34" s="165"/>
      <c r="CW34" s="165"/>
      <c r="CX34" s="165"/>
      <c r="CY34" s="165"/>
      <c r="CZ34" s="165"/>
      <c r="DA34" s="165"/>
      <c r="DB34" s="165"/>
    </row>
    <row r="35" spans="1:106" x14ac:dyDescent="0.2">
      <c r="A35" s="164"/>
      <c r="B35" s="164"/>
      <c r="C35" s="164"/>
      <c r="D35" s="164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65"/>
      <c r="BC35" s="165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65"/>
      <c r="BP35" s="165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65"/>
      <c r="CC35" s="165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65"/>
      <c r="CP35" s="165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65"/>
    </row>
    <row r="36" spans="1:106" x14ac:dyDescent="0.2">
      <c r="A36" s="164"/>
      <c r="B36" s="164"/>
      <c r="C36" s="164"/>
      <c r="D36" s="164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65"/>
      <c r="BA36" s="165"/>
      <c r="BB36" s="165"/>
      <c r="BC36" s="165"/>
      <c r="BD36" s="165"/>
      <c r="BE36" s="165"/>
      <c r="BF36" s="165"/>
      <c r="BG36" s="165"/>
      <c r="BH36" s="165"/>
      <c r="BI36" s="165"/>
      <c r="BJ36" s="165"/>
      <c r="BK36" s="165"/>
      <c r="BL36" s="165"/>
      <c r="BM36" s="165"/>
      <c r="BN36" s="165"/>
      <c r="BO36" s="165"/>
      <c r="BP36" s="165"/>
      <c r="BQ36" s="165"/>
      <c r="BR36" s="165"/>
      <c r="BS36" s="165"/>
      <c r="BT36" s="165"/>
      <c r="BU36" s="165"/>
      <c r="BV36" s="165"/>
      <c r="BW36" s="165"/>
      <c r="BX36" s="165"/>
      <c r="BY36" s="165"/>
      <c r="BZ36" s="165"/>
      <c r="CA36" s="165"/>
      <c r="CB36" s="165"/>
      <c r="CC36" s="165"/>
      <c r="CD36" s="165"/>
      <c r="CE36" s="165"/>
      <c r="CF36" s="165"/>
      <c r="CG36" s="165"/>
      <c r="CH36" s="165"/>
      <c r="CI36" s="165"/>
      <c r="CJ36" s="165"/>
      <c r="CK36" s="165"/>
      <c r="CL36" s="165"/>
      <c r="CM36" s="165"/>
      <c r="CN36" s="165"/>
      <c r="CO36" s="165"/>
      <c r="CP36" s="165"/>
      <c r="CQ36" s="165"/>
      <c r="CR36" s="165"/>
      <c r="CS36" s="165"/>
      <c r="CT36" s="165"/>
      <c r="CU36" s="165"/>
      <c r="CV36" s="165"/>
      <c r="CW36" s="165"/>
      <c r="CX36" s="165"/>
      <c r="CY36" s="165"/>
      <c r="CZ36" s="165"/>
      <c r="DA36" s="165"/>
      <c r="DB36" s="165"/>
    </row>
    <row r="37" spans="1:106" x14ac:dyDescent="0.2">
      <c r="A37" s="164"/>
      <c r="B37" s="164"/>
      <c r="C37" s="164"/>
      <c r="D37" s="164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5"/>
      <c r="AX37" s="165"/>
      <c r="AY37" s="165"/>
      <c r="AZ37" s="165"/>
      <c r="BA37" s="165"/>
      <c r="BB37" s="165"/>
      <c r="BC37" s="165"/>
      <c r="BD37" s="165"/>
      <c r="BE37" s="165"/>
      <c r="BF37" s="165"/>
      <c r="BG37" s="165"/>
      <c r="BH37" s="165"/>
      <c r="BI37" s="165"/>
      <c r="BJ37" s="165"/>
      <c r="BK37" s="165"/>
      <c r="BL37" s="165"/>
      <c r="BM37" s="165"/>
      <c r="BN37" s="165"/>
      <c r="BO37" s="165"/>
      <c r="BP37" s="165"/>
      <c r="BQ37" s="165"/>
      <c r="BR37" s="165"/>
      <c r="BS37" s="165"/>
      <c r="BT37" s="165"/>
      <c r="BU37" s="165"/>
      <c r="BV37" s="165"/>
      <c r="BW37" s="165"/>
      <c r="BX37" s="165"/>
      <c r="BY37" s="165"/>
      <c r="BZ37" s="165"/>
      <c r="CA37" s="165"/>
      <c r="CB37" s="165"/>
      <c r="CC37" s="165"/>
      <c r="CD37" s="165"/>
      <c r="CE37" s="165"/>
      <c r="CF37" s="165"/>
      <c r="CG37" s="165"/>
      <c r="CH37" s="165"/>
      <c r="CI37" s="165"/>
      <c r="CJ37" s="165"/>
      <c r="CK37" s="165"/>
      <c r="CL37" s="165"/>
      <c r="CM37" s="165"/>
      <c r="CN37" s="165"/>
      <c r="CO37" s="165"/>
      <c r="CP37" s="165"/>
      <c r="CQ37" s="165"/>
      <c r="CR37" s="165"/>
      <c r="CS37" s="165"/>
      <c r="CT37" s="165"/>
      <c r="CU37" s="165"/>
      <c r="CV37" s="165"/>
      <c r="CW37" s="165"/>
      <c r="CX37" s="165"/>
      <c r="CY37" s="165"/>
      <c r="CZ37" s="165"/>
      <c r="DA37" s="165"/>
      <c r="DB37" s="165"/>
    </row>
    <row r="38" spans="1:106" x14ac:dyDescent="0.2">
      <c r="A38" s="164"/>
      <c r="B38" s="164"/>
      <c r="C38" s="164"/>
      <c r="D38" s="164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65"/>
      <c r="AU38" s="165"/>
      <c r="AV38" s="165"/>
      <c r="AW38" s="165"/>
      <c r="AX38" s="165"/>
      <c r="AY38" s="165"/>
      <c r="AZ38" s="165"/>
      <c r="BA38" s="165"/>
      <c r="BB38" s="165"/>
      <c r="BC38" s="165"/>
      <c r="BD38" s="165"/>
      <c r="BE38" s="165"/>
      <c r="BF38" s="165"/>
      <c r="BG38" s="165"/>
      <c r="BH38" s="165"/>
      <c r="BI38" s="165"/>
      <c r="BJ38" s="165"/>
      <c r="BK38" s="165"/>
      <c r="BL38" s="165"/>
      <c r="BM38" s="165"/>
      <c r="BN38" s="165"/>
      <c r="BO38" s="165"/>
      <c r="BP38" s="165"/>
      <c r="BQ38" s="165"/>
      <c r="BR38" s="165"/>
      <c r="BS38" s="165"/>
      <c r="BT38" s="165"/>
      <c r="BU38" s="165"/>
      <c r="BV38" s="165"/>
      <c r="BW38" s="165"/>
      <c r="BX38" s="165"/>
      <c r="BY38" s="165"/>
      <c r="BZ38" s="165"/>
      <c r="CA38" s="165"/>
      <c r="CB38" s="165"/>
      <c r="CC38" s="165"/>
      <c r="CD38" s="165"/>
      <c r="CE38" s="165"/>
      <c r="CF38" s="165"/>
      <c r="CG38" s="165"/>
      <c r="CH38" s="165"/>
      <c r="CI38" s="165"/>
      <c r="CJ38" s="165"/>
      <c r="CK38" s="165"/>
      <c r="CL38" s="165"/>
      <c r="CM38" s="165"/>
      <c r="CN38" s="165"/>
      <c r="CO38" s="165"/>
      <c r="CP38" s="165"/>
      <c r="CQ38" s="165"/>
      <c r="CR38" s="165"/>
      <c r="CS38" s="165"/>
      <c r="CT38" s="165"/>
      <c r="CU38" s="165"/>
      <c r="CV38" s="165"/>
      <c r="CW38" s="165"/>
      <c r="CX38" s="165"/>
      <c r="CY38" s="165"/>
      <c r="CZ38" s="165"/>
      <c r="DA38" s="165"/>
      <c r="DB38" s="165"/>
    </row>
    <row r="39" spans="1:106" x14ac:dyDescent="0.2">
      <c r="A39" s="164"/>
      <c r="B39" s="164"/>
      <c r="C39" s="164"/>
      <c r="D39" s="164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  <c r="AS39" s="165"/>
      <c r="AT39" s="165"/>
      <c r="AU39" s="165"/>
      <c r="AV39" s="165"/>
      <c r="AW39" s="165"/>
      <c r="AX39" s="165"/>
      <c r="AY39" s="165"/>
      <c r="AZ39" s="165"/>
      <c r="BA39" s="165"/>
      <c r="BB39" s="165"/>
      <c r="BC39" s="165"/>
      <c r="BD39" s="165"/>
      <c r="BE39" s="165"/>
      <c r="BF39" s="165"/>
      <c r="BG39" s="165"/>
      <c r="BH39" s="165"/>
      <c r="BI39" s="165"/>
      <c r="BJ39" s="165"/>
      <c r="BK39" s="165"/>
      <c r="BL39" s="165"/>
      <c r="BM39" s="165"/>
      <c r="BN39" s="165"/>
      <c r="BO39" s="165"/>
      <c r="BP39" s="165"/>
      <c r="BQ39" s="165"/>
      <c r="BR39" s="165"/>
      <c r="BS39" s="165"/>
      <c r="BT39" s="165"/>
      <c r="BU39" s="165"/>
      <c r="BV39" s="165"/>
      <c r="BW39" s="165"/>
      <c r="BX39" s="165"/>
      <c r="BY39" s="165"/>
      <c r="BZ39" s="165"/>
      <c r="CA39" s="165"/>
      <c r="CB39" s="165"/>
      <c r="CC39" s="165"/>
      <c r="CD39" s="165"/>
      <c r="CE39" s="165"/>
      <c r="CF39" s="165"/>
      <c r="CG39" s="165"/>
      <c r="CH39" s="165"/>
      <c r="CI39" s="165"/>
      <c r="CJ39" s="165"/>
      <c r="CK39" s="165"/>
      <c r="CL39" s="165"/>
      <c r="CM39" s="165"/>
      <c r="CN39" s="165"/>
      <c r="CO39" s="165"/>
      <c r="CP39" s="165"/>
      <c r="CQ39" s="165"/>
      <c r="CR39" s="165"/>
      <c r="CS39" s="165"/>
      <c r="CT39" s="165"/>
      <c r="CU39" s="165"/>
      <c r="CV39" s="165"/>
      <c r="CW39" s="165"/>
      <c r="CX39" s="165"/>
      <c r="CY39" s="165"/>
      <c r="CZ39" s="165"/>
      <c r="DA39" s="165"/>
      <c r="DB39" s="165"/>
    </row>
    <row r="40" spans="1:106" x14ac:dyDescent="0.2">
      <c r="A40" s="164"/>
      <c r="B40" s="164"/>
      <c r="C40" s="164"/>
      <c r="D40" s="164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  <c r="AK40" s="165"/>
      <c r="AL40" s="165"/>
      <c r="AM40" s="165"/>
      <c r="AN40" s="165"/>
      <c r="AO40" s="165"/>
      <c r="AP40" s="165"/>
      <c r="AQ40" s="165"/>
      <c r="AR40" s="165"/>
      <c r="AS40" s="165"/>
      <c r="AT40" s="165"/>
      <c r="AU40" s="165"/>
      <c r="AV40" s="165"/>
      <c r="AW40" s="165"/>
      <c r="AX40" s="165"/>
      <c r="AY40" s="165"/>
      <c r="AZ40" s="165"/>
      <c r="BA40" s="165"/>
      <c r="BB40" s="165"/>
      <c r="BC40" s="165"/>
      <c r="BD40" s="165"/>
      <c r="BE40" s="165"/>
      <c r="BF40" s="165"/>
      <c r="BG40" s="165"/>
      <c r="BH40" s="165"/>
      <c r="BI40" s="165"/>
      <c r="BJ40" s="165"/>
      <c r="BK40" s="165"/>
      <c r="BL40" s="165"/>
      <c r="BM40" s="165"/>
      <c r="BN40" s="165"/>
      <c r="BO40" s="165"/>
      <c r="BP40" s="165"/>
      <c r="BQ40" s="165"/>
      <c r="BR40" s="165"/>
      <c r="BS40" s="165"/>
      <c r="BT40" s="165"/>
      <c r="BU40" s="165"/>
      <c r="BV40" s="165"/>
      <c r="BW40" s="165"/>
      <c r="BX40" s="165"/>
      <c r="BY40" s="165"/>
      <c r="BZ40" s="165"/>
      <c r="CA40" s="165"/>
      <c r="CB40" s="165"/>
      <c r="CC40" s="165"/>
      <c r="CD40" s="165"/>
      <c r="CE40" s="165"/>
      <c r="CF40" s="165"/>
      <c r="CG40" s="165"/>
      <c r="CH40" s="165"/>
      <c r="CI40" s="165"/>
      <c r="CJ40" s="165"/>
      <c r="CK40" s="165"/>
      <c r="CL40" s="165"/>
      <c r="CM40" s="165"/>
      <c r="CN40" s="165"/>
      <c r="CO40" s="165"/>
      <c r="CP40" s="165"/>
      <c r="CQ40" s="165"/>
      <c r="CR40" s="165"/>
      <c r="CS40" s="165"/>
      <c r="CT40" s="165"/>
      <c r="CU40" s="165"/>
      <c r="CV40" s="165"/>
      <c r="CW40" s="165"/>
      <c r="CX40" s="165"/>
      <c r="CY40" s="165"/>
      <c r="CZ40" s="165"/>
      <c r="DA40" s="165"/>
      <c r="DB40" s="165"/>
    </row>
    <row r="41" spans="1:106" x14ac:dyDescent="0.2">
      <c r="A41" s="164"/>
      <c r="B41" s="164"/>
      <c r="C41" s="164"/>
      <c r="D41" s="164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5"/>
      <c r="AO41" s="165"/>
      <c r="AP41" s="165"/>
      <c r="AQ41" s="165"/>
      <c r="AR41" s="165"/>
      <c r="AS41" s="165"/>
      <c r="AT41" s="165"/>
      <c r="AU41" s="165"/>
      <c r="AV41" s="165"/>
      <c r="AW41" s="165"/>
      <c r="AX41" s="165"/>
      <c r="AY41" s="165"/>
      <c r="AZ41" s="165"/>
      <c r="BA41" s="165"/>
      <c r="BB41" s="165"/>
      <c r="BC41" s="165"/>
      <c r="BD41" s="165"/>
      <c r="BE41" s="165"/>
      <c r="BF41" s="165"/>
      <c r="BG41" s="165"/>
      <c r="BH41" s="165"/>
      <c r="BI41" s="165"/>
      <c r="BJ41" s="165"/>
      <c r="BK41" s="165"/>
      <c r="BL41" s="165"/>
      <c r="BM41" s="165"/>
      <c r="BN41" s="165"/>
      <c r="BO41" s="165"/>
      <c r="BP41" s="165"/>
      <c r="BQ41" s="165"/>
      <c r="BR41" s="165"/>
      <c r="BS41" s="165"/>
      <c r="BT41" s="165"/>
      <c r="BU41" s="165"/>
      <c r="BV41" s="165"/>
      <c r="BW41" s="165"/>
      <c r="BX41" s="165"/>
      <c r="BY41" s="165"/>
      <c r="BZ41" s="165"/>
      <c r="CA41" s="165"/>
      <c r="CB41" s="165"/>
      <c r="CC41" s="165"/>
      <c r="CD41" s="165"/>
      <c r="CE41" s="165"/>
      <c r="CF41" s="165"/>
      <c r="CG41" s="165"/>
      <c r="CH41" s="165"/>
      <c r="CI41" s="165"/>
      <c r="CJ41" s="165"/>
      <c r="CK41" s="165"/>
      <c r="CL41" s="165"/>
      <c r="CM41" s="165"/>
      <c r="CN41" s="165"/>
      <c r="CO41" s="165"/>
      <c r="CP41" s="165"/>
      <c r="CQ41" s="165"/>
      <c r="CR41" s="165"/>
      <c r="CS41" s="165"/>
      <c r="CT41" s="165"/>
      <c r="CU41" s="165"/>
      <c r="CV41" s="165"/>
      <c r="CW41" s="165"/>
      <c r="CX41" s="165"/>
      <c r="CY41" s="165"/>
      <c r="CZ41" s="165"/>
      <c r="DA41" s="165"/>
      <c r="DB41" s="165"/>
    </row>
    <row r="42" spans="1:106" x14ac:dyDescent="0.2">
      <c r="A42" s="164"/>
      <c r="B42" s="164"/>
      <c r="C42" s="164"/>
      <c r="D42" s="164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  <c r="AY42" s="165"/>
      <c r="AZ42" s="165"/>
      <c r="BA42" s="165"/>
      <c r="BB42" s="165"/>
      <c r="BC42" s="165"/>
      <c r="BD42" s="165"/>
      <c r="BE42" s="165"/>
      <c r="BF42" s="165"/>
      <c r="BG42" s="165"/>
      <c r="BH42" s="165"/>
      <c r="BI42" s="165"/>
      <c r="BJ42" s="165"/>
      <c r="BK42" s="165"/>
      <c r="BL42" s="165"/>
      <c r="BM42" s="165"/>
      <c r="BN42" s="165"/>
      <c r="BO42" s="165"/>
      <c r="BP42" s="165"/>
      <c r="BQ42" s="165"/>
      <c r="BR42" s="165"/>
      <c r="BS42" s="165"/>
      <c r="BT42" s="165"/>
      <c r="BU42" s="165"/>
      <c r="BV42" s="165"/>
      <c r="BW42" s="165"/>
      <c r="BX42" s="165"/>
      <c r="BY42" s="165"/>
      <c r="BZ42" s="165"/>
      <c r="CA42" s="165"/>
      <c r="CB42" s="165"/>
      <c r="CC42" s="165"/>
      <c r="CD42" s="165"/>
      <c r="CE42" s="165"/>
      <c r="CF42" s="165"/>
      <c r="CG42" s="165"/>
      <c r="CH42" s="165"/>
      <c r="CI42" s="165"/>
      <c r="CJ42" s="165"/>
      <c r="CK42" s="165"/>
      <c r="CL42" s="165"/>
      <c r="CM42" s="165"/>
      <c r="CN42" s="165"/>
      <c r="CO42" s="165"/>
      <c r="CP42" s="165"/>
      <c r="CQ42" s="165"/>
      <c r="CR42" s="165"/>
      <c r="CS42" s="165"/>
      <c r="CT42" s="165"/>
      <c r="CU42" s="165"/>
      <c r="CV42" s="165"/>
      <c r="CW42" s="165"/>
      <c r="CX42" s="165"/>
      <c r="CY42" s="165"/>
      <c r="CZ42" s="165"/>
      <c r="DA42" s="165"/>
      <c r="DB42" s="165"/>
    </row>
    <row r="43" spans="1:106" x14ac:dyDescent="0.2">
      <c r="A43" s="164"/>
      <c r="B43" s="164"/>
      <c r="C43" s="164"/>
      <c r="D43" s="164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  <c r="AK43" s="165"/>
      <c r="AL43" s="165"/>
      <c r="AM43" s="165"/>
      <c r="AN43" s="165"/>
      <c r="AO43" s="165"/>
      <c r="AP43" s="165"/>
      <c r="AQ43" s="165"/>
      <c r="AR43" s="165"/>
      <c r="AS43" s="165"/>
      <c r="AT43" s="165"/>
      <c r="AU43" s="165"/>
      <c r="AV43" s="165"/>
      <c r="AW43" s="165"/>
      <c r="AX43" s="165"/>
      <c r="AY43" s="165"/>
      <c r="AZ43" s="165"/>
      <c r="BA43" s="165"/>
      <c r="BB43" s="165"/>
      <c r="BC43" s="165"/>
      <c r="BD43" s="165"/>
      <c r="BE43" s="165"/>
      <c r="BF43" s="165"/>
      <c r="BG43" s="165"/>
      <c r="BH43" s="165"/>
      <c r="BI43" s="165"/>
      <c r="BJ43" s="165"/>
      <c r="BK43" s="165"/>
      <c r="BL43" s="165"/>
      <c r="BM43" s="165"/>
      <c r="BN43" s="165"/>
      <c r="BO43" s="165"/>
      <c r="BP43" s="165"/>
      <c r="BQ43" s="165"/>
      <c r="BR43" s="165"/>
      <c r="BS43" s="165"/>
      <c r="BT43" s="165"/>
      <c r="BU43" s="165"/>
      <c r="BV43" s="165"/>
      <c r="BW43" s="165"/>
      <c r="BX43" s="165"/>
      <c r="BY43" s="165"/>
      <c r="BZ43" s="165"/>
      <c r="CA43" s="165"/>
      <c r="CB43" s="165"/>
      <c r="CC43" s="165"/>
      <c r="CD43" s="165"/>
      <c r="CE43" s="165"/>
      <c r="CF43" s="165"/>
      <c r="CG43" s="165"/>
      <c r="CH43" s="165"/>
      <c r="CI43" s="165"/>
      <c r="CJ43" s="165"/>
      <c r="CK43" s="165"/>
      <c r="CL43" s="165"/>
      <c r="CM43" s="165"/>
      <c r="CN43" s="165"/>
      <c r="CO43" s="165"/>
      <c r="CP43" s="165"/>
      <c r="CQ43" s="165"/>
      <c r="CR43" s="165"/>
      <c r="CS43" s="165"/>
      <c r="CT43" s="165"/>
      <c r="CU43" s="165"/>
      <c r="CV43" s="165"/>
      <c r="CW43" s="165"/>
      <c r="CX43" s="165"/>
      <c r="CY43" s="165"/>
      <c r="CZ43" s="165"/>
      <c r="DA43" s="165"/>
      <c r="DB43" s="165"/>
    </row>
    <row r="44" spans="1:106" x14ac:dyDescent="0.2">
      <c r="A44" s="164"/>
      <c r="B44" s="164"/>
      <c r="C44" s="164"/>
      <c r="D44" s="164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5"/>
      <c r="AO44" s="165"/>
      <c r="AP44" s="165"/>
      <c r="AQ44" s="165"/>
      <c r="AR44" s="165"/>
      <c r="AS44" s="165"/>
      <c r="AT44" s="165"/>
      <c r="AU44" s="165"/>
      <c r="AV44" s="165"/>
      <c r="AW44" s="165"/>
      <c r="AX44" s="165"/>
      <c r="AY44" s="165"/>
      <c r="AZ44" s="165"/>
      <c r="BA44" s="165"/>
      <c r="BB44" s="165"/>
      <c r="BC44" s="165"/>
      <c r="BD44" s="165"/>
      <c r="BE44" s="165"/>
      <c r="BF44" s="165"/>
      <c r="BG44" s="165"/>
      <c r="BH44" s="165"/>
      <c r="BI44" s="165"/>
      <c r="BJ44" s="165"/>
      <c r="BK44" s="165"/>
      <c r="BL44" s="165"/>
      <c r="BM44" s="165"/>
      <c r="BN44" s="165"/>
      <c r="BO44" s="165"/>
      <c r="BP44" s="165"/>
      <c r="BQ44" s="165"/>
      <c r="BR44" s="165"/>
      <c r="BS44" s="165"/>
      <c r="BT44" s="165"/>
      <c r="BU44" s="165"/>
      <c r="BV44" s="165"/>
      <c r="BW44" s="165"/>
      <c r="BX44" s="165"/>
      <c r="BY44" s="165"/>
      <c r="BZ44" s="165"/>
      <c r="CA44" s="165"/>
      <c r="CB44" s="165"/>
      <c r="CC44" s="165"/>
      <c r="CD44" s="165"/>
      <c r="CE44" s="165"/>
      <c r="CF44" s="165"/>
      <c r="CG44" s="165"/>
      <c r="CH44" s="165"/>
      <c r="CI44" s="165"/>
      <c r="CJ44" s="165"/>
      <c r="CK44" s="165"/>
      <c r="CL44" s="165"/>
      <c r="CM44" s="165"/>
      <c r="CN44" s="165"/>
      <c r="CO44" s="165"/>
      <c r="CP44" s="165"/>
      <c r="CQ44" s="165"/>
      <c r="CR44" s="165"/>
      <c r="CS44" s="165"/>
      <c r="CT44" s="165"/>
      <c r="CU44" s="165"/>
      <c r="CV44" s="165"/>
      <c r="CW44" s="165"/>
      <c r="CX44" s="165"/>
      <c r="CY44" s="165"/>
      <c r="CZ44" s="165"/>
      <c r="DA44" s="165"/>
      <c r="DB44" s="165"/>
    </row>
    <row r="45" spans="1:106" x14ac:dyDescent="0.2">
      <c r="A45" s="164"/>
      <c r="B45" s="164"/>
      <c r="C45" s="164"/>
      <c r="D45" s="164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  <c r="AK45" s="165"/>
      <c r="AL45" s="165"/>
      <c r="AM45" s="165"/>
      <c r="AN45" s="165"/>
      <c r="AO45" s="165"/>
      <c r="AP45" s="165"/>
      <c r="AQ45" s="165"/>
      <c r="AR45" s="165"/>
      <c r="AS45" s="165"/>
      <c r="AT45" s="165"/>
      <c r="AU45" s="165"/>
      <c r="AV45" s="165"/>
      <c r="AW45" s="165"/>
      <c r="AX45" s="165"/>
      <c r="AY45" s="165"/>
      <c r="AZ45" s="165"/>
      <c r="BA45" s="165"/>
      <c r="BB45" s="165"/>
      <c r="BC45" s="165"/>
      <c r="BD45" s="165"/>
      <c r="BE45" s="165"/>
      <c r="BF45" s="165"/>
      <c r="BG45" s="165"/>
      <c r="BH45" s="165"/>
      <c r="BI45" s="165"/>
      <c r="BJ45" s="165"/>
      <c r="BK45" s="165"/>
      <c r="BL45" s="165"/>
      <c r="BM45" s="165"/>
      <c r="BN45" s="165"/>
      <c r="BO45" s="165"/>
      <c r="BP45" s="165"/>
      <c r="BQ45" s="165"/>
      <c r="BR45" s="165"/>
      <c r="BS45" s="165"/>
      <c r="BT45" s="165"/>
      <c r="BU45" s="165"/>
      <c r="BV45" s="165"/>
      <c r="BW45" s="165"/>
      <c r="BX45" s="165"/>
      <c r="BY45" s="165"/>
      <c r="BZ45" s="165"/>
      <c r="CA45" s="165"/>
      <c r="CB45" s="165"/>
      <c r="CC45" s="165"/>
      <c r="CD45" s="165"/>
      <c r="CE45" s="165"/>
      <c r="CF45" s="165"/>
      <c r="CG45" s="165"/>
      <c r="CH45" s="165"/>
      <c r="CI45" s="165"/>
      <c r="CJ45" s="165"/>
      <c r="CK45" s="165"/>
      <c r="CL45" s="165"/>
      <c r="CM45" s="165"/>
      <c r="CN45" s="165"/>
      <c r="CO45" s="165"/>
      <c r="CP45" s="165"/>
      <c r="CQ45" s="165"/>
      <c r="CR45" s="165"/>
      <c r="CS45" s="165"/>
      <c r="CT45" s="165"/>
      <c r="CU45" s="165"/>
      <c r="CV45" s="165"/>
      <c r="CW45" s="165"/>
      <c r="CX45" s="165"/>
      <c r="CY45" s="165"/>
      <c r="CZ45" s="165"/>
      <c r="DA45" s="165"/>
      <c r="DB45" s="165"/>
    </row>
    <row r="46" spans="1:106" x14ac:dyDescent="0.2">
      <c r="A46" s="164"/>
      <c r="B46" s="164"/>
      <c r="C46" s="164"/>
      <c r="D46" s="164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  <c r="AK46" s="165"/>
      <c r="AL46" s="165"/>
      <c r="AM46" s="165"/>
      <c r="AN46" s="165"/>
      <c r="AO46" s="165"/>
      <c r="AP46" s="165"/>
      <c r="AQ46" s="165"/>
      <c r="AR46" s="165"/>
      <c r="AS46" s="165"/>
      <c r="AT46" s="165"/>
      <c r="AU46" s="165"/>
      <c r="AV46" s="165"/>
      <c r="AW46" s="165"/>
      <c r="AX46" s="165"/>
      <c r="AY46" s="165"/>
      <c r="AZ46" s="165"/>
      <c r="BA46" s="165"/>
      <c r="BB46" s="165"/>
      <c r="BC46" s="165"/>
      <c r="BD46" s="165"/>
      <c r="BE46" s="165"/>
      <c r="BF46" s="165"/>
      <c r="BG46" s="165"/>
      <c r="BH46" s="165"/>
      <c r="BI46" s="165"/>
      <c r="BJ46" s="165"/>
      <c r="BK46" s="165"/>
      <c r="BL46" s="165"/>
      <c r="BM46" s="165"/>
      <c r="BN46" s="165"/>
      <c r="BO46" s="165"/>
      <c r="BP46" s="165"/>
      <c r="BQ46" s="165"/>
      <c r="BR46" s="165"/>
      <c r="BS46" s="165"/>
      <c r="BT46" s="165"/>
      <c r="BU46" s="165"/>
      <c r="BV46" s="165"/>
      <c r="BW46" s="165"/>
      <c r="BX46" s="165"/>
      <c r="BY46" s="165"/>
      <c r="BZ46" s="165"/>
      <c r="CA46" s="165"/>
      <c r="CB46" s="165"/>
      <c r="CC46" s="165"/>
      <c r="CD46" s="165"/>
      <c r="CE46" s="165"/>
      <c r="CF46" s="165"/>
      <c r="CG46" s="165"/>
      <c r="CH46" s="165"/>
      <c r="CI46" s="165"/>
      <c r="CJ46" s="165"/>
      <c r="CK46" s="165"/>
      <c r="CL46" s="165"/>
      <c r="CM46" s="165"/>
      <c r="CN46" s="165"/>
      <c r="CO46" s="165"/>
      <c r="CP46" s="165"/>
      <c r="CQ46" s="165"/>
      <c r="CR46" s="165"/>
      <c r="CS46" s="165"/>
      <c r="CT46" s="165"/>
      <c r="CU46" s="165"/>
      <c r="CV46" s="165"/>
      <c r="CW46" s="165"/>
      <c r="CX46" s="165"/>
      <c r="CY46" s="165"/>
      <c r="CZ46" s="165"/>
      <c r="DA46" s="165"/>
      <c r="DB46" s="165"/>
    </row>
    <row r="47" spans="1:106" x14ac:dyDescent="0.2">
      <c r="A47" s="164"/>
      <c r="B47" s="164"/>
      <c r="C47" s="164"/>
      <c r="D47" s="164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5"/>
      <c r="AO47" s="165"/>
      <c r="AP47" s="165"/>
      <c r="AQ47" s="165"/>
      <c r="AR47" s="165"/>
      <c r="AS47" s="165"/>
      <c r="AT47" s="165"/>
      <c r="AU47" s="165"/>
      <c r="AV47" s="165"/>
      <c r="AW47" s="165"/>
      <c r="AX47" s="165"/>
      <c r="AY47" s="165"/>
      <c r="AZ47" s="165"/>
      <c r="BA47" s="165"/>
      <c r="BB47" s="165"/>
      <c r="BC47" s="165"/>
      <c r="BD47" s="165"/>
      <c r="BE47" s="165"/>
      <c r="BF47" s="165"/>
      <c r="BG47" s="165"/>
      <c r="BH47" s="165"/>
      <c r="BI47" s="165"/>
      <c r="BJ47" s="165"/>
      <c r="BK47" s="165"/>
      <c r="BL47" s="165"/>
      <c r="BM47" s="165"/>
      <c r="BN47" s="165"/>
      <c r="BO47" s="165"/>
      <c r="BP47" s="165"/>
      <c r="BQ47" s="165"/>
      <c r="BR47" s="165"/>
      <c r="BS47" s="165"/>
      <c r="BT47" s="165"/>
      <c r="BU47" s="165"/>
      <c r="BV47" s="165"/>
      <c r="BW47" s="165"/>
      <c r="BX47" s="165"/>
      <c r="BY47" s="165"/>
      <c r="BZ47" s="165"/>
      <c r="CA47" s="165"/>
      <c r="CB47" s="165"/>
      <c r="CC47" s="165"/>
      <c r="CD47" s="165"/>
      <c r="CE47" s="165"/>
      <c r="CF47" s="165"/>
      <c r="CG47" s="165"/>
      <c r="CH47" s="165"/>
      <c r="CI47" s="165"/>
      <c r="CJ47" s="165"/>
      <c r="CK47" s="165"/>
      <c r="CL47" s="165"/>
      <c r="CM47" s="165"/>
      <c r="CN47" s="165"/>
      <c r="CO47" s="165"/>
      <c r="CP47" s="165"/>
      <c r="CQ47" s="165"/>
      <c r="CR47" s="165"/>
      <c r="CS47" s="165"/>
      <c r="CT47" s="165"/>
      <c r="CU47" s="165"/>
      <c r="CV47" s="165"/>
      <c r="CW47" s="165"/>
      <c r="CX47" s="165"/>
      <c r="CY47" s="165"/>
      <c r="CZ47" s="165"/>
      <c r="DA47" s="165"/>
      <c r="DB47" s="165"/>
    </row>
    <row r="48" spans="1:106" x14ac:dyDescent="0.2">
      <c r="A48" s="164"/>
      <c r="B48" s="164"/>
      <c r="C48" s="164"/>
      <c r="D48" s="164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65"/>
      <c r="AD48" s="165"/>
      <c r="AE48" s="165"/>
      <c r="AF48" s="165"/>
      <c r="AG48" s="165"/>
      <c r="AH48" s="165"/>
      <c r="AI48" s="165"/>
      <c r="AJ48" s="165"/>
      <c r="AK48" s="165"/>
      <c r="AL48" s="165"/>
      <c r="AM48" s="165"/>
      <c r="AN48" s="165"/>
      <c r="AO48" s="165"/>
      <c r="AP48" s="165"/>
      <c r="AQ48" s="165"/>
      <c r="AR48" s="165"/>
      <c r="AS48" s="165"/>
      <c r="AT48" s="165"/>
      <c r="AU48" s="165"/>
      <c r="AV48" s="165"/>
      <c r="AW48" s="165"/>
      <c r="AX48" s="165"/>
      <c r="AY48" s="165"/>
      <c r="AZ48" s="165"/>
      <c r="BA48" s="165"/>
      <c r="BB48" s="165"/>
      <c r="BC48" s="165"/>
      <c r="BD48" s="165"/>
      <c r="BE48" s="165"/>
      <c r="BF48" s="165"/>
      <c r="BG48" s="165"/>
      <c r="BH48" s="165"/>
      <c r="BI48" s="165"/>
      <c r="BJ48" s="165"/>
      <c r="BK48" s="165"/>
      <c r="BL48" s="165"/>
      <c r="BM48" s="165"/>
      <c r="BN48" s="165"/>
      <c r="BO48" s="165"/>
      <c r="BP48" s="165"/>
      <c r="BQ48" s="165"/>
      <c r="BR48" s="165"/>
      <c r="BS48" s="165"/>
      <c r="BT48" s="165"/>
      <c r="BU48" s="165"/>
      <c r="BV48" s="165"/>
      <c r="BW48" s="165"/>
      <c r="BX48" s="165"/>
      <c r="BY48" s="165"/>
      <c r="BZ48" s="165"/>
      <c r="CA48" s="165"/>
      <c r="CB48" s="165"/>
      <c r="CC48" s="165"/>
      <c r="CD48" s="165"/>
      <c r="CE48" s="165"/>
      <c r="CF48" s="165"/>
      <c r="CG48" s="165"/>
      <c r="CH48" s="165"/>
      <c r="CI48" s="165"/>
      <c r="CJ48" s="165"/>
      <c r="CK48" s="165"/>
      <c r="CL48" s="165"/>
      <c r="CM48" s="165"/>
      <c r="CN48" s="165"/>
      <c r="CO48" s="165"/>
      <c r="CP48" s="165"/>
      <c r="CQ48" s="165"/>
      <c r="CR48" s="165"/>
      <c r="CS48" s="165"/>
      <c r="CT48" s="165"/>
      <c r="CU48" s="165"/>
      <c r="CV48" s="165"/>
      <c r="CW48" s="165"/>
      <c r="CX48" s="165"/>
      <c r="CY48" s="165"/>
      <c r="CZ48" s="165"/>
      <c r="DA48" s="165"/>
      <c r="DB48" s="165"/>
    </row>
    <row r="49" spans="1:106" x14ac:dyDescent="0.2">
      <c r="A49" s="164"/>
      <c r="B49" s="164"/>
      <c r="C49" s="164"/>
      <c r="D49" s="164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5"/>
      <c r="AE49" s="165"/>
      <c r="AF49" s="165"/>
      <c r="AG49" s="165"/>
      <c r="AH49" s="165"/>
      <c r="AI49" s="165"/>
      <c r="AJ49" s="165"/>
      <c r="AK49" s="165"/>
      <c r="AL49" s="165"/>
      <c r="AM49" s="165"/>
      <c r="AN49" s="165"/>
      <c r="AO49" s="165"/>
      <c r="AP49" s="165"/>
      <c r="AQ49" s="165"/>
      <c r="AR49" s="165"/>
      <c r="AS49" s="165"/>
      <c r="AT49" s="165"/>
      <c r="AU49" s="165"/>
      <c r="AV49" s="165"/>
      <c r="AW49" s="165"/>
      <c r="AX49" s="165"/>
      <c r="AY49" s="165"/>
      <c r="AZ49" s="165"/>
      <c r="BA49" s="165"/>
      <c r="BB49" s="165"/>
      <c r="BC49" s="165"/>
      <c r="BD49" s="165"/>
      <c r="BE49" s="165"/>
      <c r="BF49" s="165"/>
      <c r="BG49" s="165"/>
      <c r="BH49" s="165"/>
      <c r="BI49" s="165"/>
      <c r="BJ49" s="165"/>
      <c r="BK49" s="165"/>
      <c r="BL49" s="165"/>
      <c r="BM49" s="165"/>
      <c r="BN49" s="165"/>
      <c r="BO49" s="165"/>
      <c r="BP49" s="165"/>
      <c r="BQ49" s="165"/>
      <c r="BR49" s="165"/>
      <c r="BS49" s="165"/>
      <c r="BT49" s="165"/>
      <c r="BU49" s="165"/>
      <c r="BV49" s="165"/>
      <c r="BW49" s="165"/>
      <c r="BX49" s="165"/>
      <c r="BY49" s="165"/>
      <c r="BZ49" s="165"/>
      <c r="CA49" s="165"/>
      <c r="CB49" s="165"/>
      <c r="CC49" s="165"/>
      <c r="CD49" s="165"/>
      <c r="CE49" s="165"/>
      <c r="CF49" s="165"/>
      <c r="CG49" s="165"/>
      <c r="CH49" s="165"/>
      <c r="CI49" s="165"/>
      <c r="CJ49" s="165"/>
      <c r="CK49" s="165"/>
      <c r="CL49" s="165"/>
      <c r="CM49" s="165"/>
      <c r="CN49" s="165"/>
      <c r="CO49" s="165"/>
      <c r="CP49" s="165"/>
      <c r="CQ49" s="165"/>
      <c r="CR49" s="165"/>
      <c r="CS49" s="165"/>
      <c r="CT49" s="165"/>
      <c r="CU49" s="165"/>
      <c r="CV49" s="165"/>
      <c r="CW49" s="165"/>
      <c r="CX49" s="165"/>
      <c r="CY49" s="165"/>
      <c r="CZ49" s="165"/>
      <c r="DA49" s="165"/>
      <c r="DB49" s="165"/>
    </row>
    <row r="50" spans="1:106" x14ac:dyDescent="0.2">
      <c r="A50" s="164"/>
      <c r="B50" s="164"/>
      <c r="C50" s="164"/>
      <c r="D50" s="164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5"/>
      <c r="AO50" s="165"/>
      <c r="AP50" s="165"/>
      <c r="AQ50" s="165"/>
      <c r="AR50" s="165"/>
      <c r="AS50" s="165"/>
      <c r="AT50" s="165"/>
      <c r="AU50" s="165"/>
      <c r="AV50" s="165"/>
      <c r="AW50" s="165"/>
      <c r="AX50" s="165"/>
      <c r="AY50" s="165"/>
      <c r="AZ50" s="165"/>
      <c r="BA50" s="165"/>
      <c r="BB50" s="165"/>
      <c r="BC50" s="165"/>
      <c r="BD50" s="165"/>
      <c r="BE50" s="165"/>
      <c r="BF50" s="165"/>
      <c r="BG50" s="165"/>
      <c r="BH50" s="165"/>
      <c r="BI50" s="165"/>
      <c r="BJ50" s="165"/>
      <c r="BK50" s="165"/>
      <c r="BL50" s="165"/>
      <c r="BM50" s="165"/>
      <c r="BN50" s="165"/>
      <c r="BO50" s="165"/>
      <c r="BP50" s="165"/>
      <c r="BQ50" s="165"/>
      <c r="BR50" s="165"/>
      <c r="BS50" s="165"/>
      <c r="BT50" s="165"/>
      <c r="BU50" s="165"/>
      <c r="BV50" s="165"/>
      <c r="BW50" s="165"/>
      <c r="BX50" s="165"/>
      <c r="BY50" s="165"/>
      <c r="BZ50" s="165"/>
      <c r="CA50" s="165"/>
      <c r="CB50" s="165"/>
      <c r="CC50" s="165"/>
      <c r="CD50" s="165"/>
      <c r="CE50" s="165"/>
      <c r="CF50" s="165"/>
      <c r="CG50" s="165"/>
      <c r="CH50" s="165"/>
      <c r="CI50" s="165"/>
      <c r="CJ50" s="165"/>
      <c r="CK50" s="165"/>
      <c r="CL50" s="165"/>
      <c r="CM50" s="165"/>
      <c r="CN50" s="165"/>
      <c r="CO50" s="165"/>
      <c r="CP50" s="165"/>
      <c r="CQ50" s="165"/>
      <c r="CR50" s="165"/>
      <c r="CS50" s="165"/>
      <c r="CT50" s="165"/>
      <c r="CU50" s="165"/>
      <c r="CV50" s="165"/>
      <c r="CW50" s="165"/>
      <c r="CX50" s="165"/>
      <c r="CY50" s="165"/>
      <c r="CZ50" s="165"/>
      <c r="DA50" s="165"/>
      <c r="DB50" s="165"/>
    </row>
    <row r="51" spans="1:106" x14ac:dyDescent="0.2">
      <c r="A51" s="164"/>
      <c r="B51" s="164"/>
      <c r="C51" s="164"/>
      <c r="D51" s="164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  <c r="AE51" s="165"/>
      <c r="AF51" s="165"/>
      <c r="AG51" s="165"/>
      <c r="AH51" s="165"/>
      <c r="AI51" s="165"/>
      <c r="AJ51" s="165"/>
      <c r="AK51" s="165"/>
      <c r="AL51" s="165"/>
      <c r="AM51" s="165"/>
      <c r="AN51" s="165"/>
      <c r="AO51" s="165"/>
      <c r="AP51" s="165"/>
      <c r="AQ51" s="165"/>
      <c r="AR51" s="165"/>
      <c r="AS51" s="165"/>
      <c r="AT51" s="165"/>
      <c r="AU51" s="165"/>
      <c r="AV51" s="165"/>
      <c r="AW51" s="165"/>
      <c r="AX51" s="165"/>
      <c r="AY51" s="165"/>
      <c r="AZ51" s="165"/>
      <c r="BA51" s="165"/>
      <c r="BB51" s="165"/>
      <c r="BC51" s="165"/>
      <c r="BD51" s="165"/>
      <c r="BE51" s="165"/>
      <c r="BF51" s="165"/>
      <c r="BG51" s="165"/>
      <c r="BH51" s="165"/>
      <c r="BI51" s="165"/>
      <c r="BJ51" s="165"/>
      <c r="BK51" s="165"/>
      <c r="BL51" s="165"/>
      <c r="BM51" s="165"/>
      <c r="BN51" s="165"/>
      <c r="BO51" s="165"/>
      <c r="BP51" s="165"/>
      <c r="BQ51" s="165"/>
      <c r="BR51" s="165"/>
      <c r="BS51" s="165"/>
      <c r="BT51" s="165"/>
      <c r="BU51" s="165"/>
      <c r="BV51" s="165"/>
      <c r="BW51" s="165"/>
      <c r="BX51" s="165"/>
      <c r="BY51" s="165"/>
      <c r="BZ51" s="165"/>
      <c r="CA51" s="165"/>
      <c r="CB51" s="165"/>
      <c r="CC51" s="165"/>
      <c r="CD51" s="165"/>
      <c r="CE51" s="165"/>
      <c r="CF51" s="165"/>
      <c r="CG51" s="165"/>
      <c r="CH51" s="165"/>
      <c r="CI51" s="165"/>
      <c r="CJ51" s="165"/>
      <c r="CK51" s="165"/>
      <c r="CL51" s="165"/>
      <c r="CM51" s="165"/>
      <c r="CN51" s="165"/>
      <c r="CO51" s="165"/>
      <c r="CP51" s="165"/>
      <c r="CQ51" s="165"/>
      <c r="CR51" s="165"/>
      <c r="CS51" s="165"/>
      <c r="CT51" s="165"/>
      <c r="CU51" s="165"/>
      <c r="CV51" s="165"/>
      <c r="CW51" s="165"/>
      <c r="CX51" s="165"/>
      <c r="CY51" s="165"/>
      <c r="CZ51" s="165"/>
      <c r="DA51" s="165"/>
      <c r="DB51" s="165"/>
    </row>
    <row r="52" spans="1:106" x14ac:dyDescent="0.2">
      <c r="A52" s="164"/>
      <c r="B52" s="164"/>
      <c r="C52" s="266"/>
      <c r="D52" s="164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5"/>
      <c r="AP52" s="165"/>
      <c r="AQ52" s="165"/>
      <c r="AR52" s="165"/>
      <c r="AS52" s="165"/>
      <c r="AT52" s="165"/>
      <c r="AU52" s="165"/>
      <c r="AV52" s="165"/>
      <c r="AW52" s="165"/>
      <c r="AX52" s="165"/>
      <c r="AY52" s="165"/>
      <c r="AZ52" s="165"/>
      <c r="BA52" s="165"/>
      <c r="BB52" s="165"/>
      <c r="BC52" s="165"/>
      <c r="BD52" s="165"/>
      <c r="BE52" s="165"/>
      <c r="BF52" s="165"/>
      <c r="BG52" s="165"/>
      <c r="BH52" s="165"/>
      <c r="BI52" s="165"/>
      <c r="BJ52" s="165"/>
      <c r="BK52" s="165"/>
      <c r="BL52" s="165"/>
      <c r="BM52" s="165"/>
      <c r="BN52" s="165"/>
      <c r="BO52" s="165"/>
      <c r="BP52" s="165"/>
      <c r="BQ52" s="165"/>
      <c r="BR52" s="165"/>
      <c r="BS52" s="165"/>
      <c r="BT52" s="165"/>
      <c r="BU52" s="165"/>
      <c r="BV52" s="165"/>
      <c r="BW52" s="165"/>
      <c r="BX52" s="165"/>
      <c r="BY52" s="165"/>
      <c r="BZ52" s="165"/>
      <c r="CA52" s="165"/>
      <c r="CB52" s="165"/>
      <c r="CC52" s="165"/>
      <c r="CD52" s="165"/>
      <c r="CE52" s="165"/>
      <c r="CF52" s="165"/>
      <c r="CG52" s="165"/>
      <c r="CH52" s="165"/>
      <c r="CI52" s="165"/>
      <c r="CJ52" s="165"/>
      <c r="CK52" s="165"/>
      <c r="CL52" s="165"/>
      <c r="CM52" s="165"/>
      <c r="CN52" s="165"/>
      <c r="CO52" s="165"/>
      <c r="CP52" s="165"/>
      <c r="CQ52" s="165"/>
      <c r="CR52" s="165"/>
      <c r="CS52" s="165"/>
      <c r="CT52" s="165"/>
      <c r="CU52" s="165"/>
      <c r="CV52" s="165"/>
      <c r="CW52" s="165"/>
      <c r="CX52" s="165"/>
      <c r="CY52" s="165"/>
      <c r="CZ52" s="165"/>
      <c r="DA52" s="165"/>
      <c r="DB52" s="165"/>
    </row>
    <row r="53" spans="1:106" x14ac:dyDescent="0.2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6"/>
      <c r="L53" s="166"/>
      <c r="M53" s="166"/>
      <c r="N53" s="164"/>
      <c r="O53" s="164"/>
      <c r="P53" s="164"/>
      <c r="Q53" s="164"/>
      <c r="R53" s="164"/>
      <c r="S53" s="166"/>
      <c r="T53" s="166"/>
      <c r="U53" s="164"/>
      <c r="V53" s="164"/>
      <c r="W53" s="164"/>
      <c r="X53" s="164"/>
      <c r="Y53" s="164"/>
      <c r="Z53" s="164"/>
      <c r="AA53" s="167"/>
      <c r="AB53" s="167"/>
      <c r="AC53" s="164"/>
      <c r="AD53" s="164"/>
      <c r="AE53" s="164"/>
      <c r="AF53" s="164"/>
      <c r="AG53" s="164"/>
      <c r="AH53" s="164"/>
      <c r="AI53" s="167"/>
      <c r="AJ53" s="167"/>
      <c r="AK53" s="164"/>
      <c r="AL53" s="164"/>
      <c r="AM53" s="164"/>
      <c r="AN53" s="164"/>
      <c r="AO53" s="164"/>
      <c r="AP53" s="164"/>
      <c r="AQ53" s="167"/>
      <c r="AR53" s="167"/>
      <c r="AS53" s="164"/>
      <c r="AT53" s="164"/>
      <c r="AU53" s="164"/>
      <c r="AV53" s="164"/>
      <c r="AW53" s="164"/>
      <c r="AX53" s="164"/>
      <c r="AY53" s="167"/>
      <c r="AZ53" s="167"/>
      <c r="BA53" s="164"/>
      <c r="BB53" s="164"/>
      <c r="BC53" s="164"/>
      <c r="BD53" s="164"/>
      <c r="BE53" s="164"/>
      <c r="BF53" s="164"/>
      <c r="BG53" s="167"/>
      <c r="BH53" s="167"/>
      <c r="BI53" s="164"/>
      <c r="BJ53" s="164"/>
      <c r="BK53" s="164"/>
      <c r="BL53" s="164"/>
      <c r="BM53" s="164"/>
      <c r="BN53" s="164"/>
      <c r="BO53" s="167"/>
      <c r="BP53" s="167"/>
      <c r="BQ53" s="164"/>
      <c r="BR53" s="164"/>
      <c r="BS53" s="164"/>
      <c r="BT53" s="164"/>
      <c r="BU53" s="164"/>
      <c r="BV53" s="164"/>
      <c r="BW53" s="167"/>
      <c r="BX53" s="167"/>
      <c r="BY53" s="164"/>
      <c r="BZ53" s="164"/>
      <c r="CA53" s="164"/>
      <c r="CB53" s="164"/>
      <c r="CC53" s="164"/>
      <c r="CD53" s="164"/>
      <c r="CE53" s="167"/>
      <c r="CF53" s="167"/>
      <c r="CG53" s="164"/>
      <c r="CH53" s="164"/>
      <c r="CI53" s="164"/>
      <c r="CJ53" s="164"/>
      <c r="CK53" s="164"/>
      <c r="CL53" s="164"/>
      <c r="CM53" s="167"/>
      <c r="CN53" s="167"/>
      <c r="CO53" s="164"/>
      <c r="CP53" s="164"/>
      <c r="CQ53" s="164"/>
      <c r="CR53" s="164"/>
      <c r="CS53" s="164"/>
      <c r="CT53" s="164"/>
      <c r="CU53" s="167"/>
      <c r="CV53" s="167"/>
      <c r="CW53" s="164"/>
      <c r="CX53" s="164"/>
      <c r="CY53" s="164"/>
      <c r="CZ53" s="164"/>
      <c r="DA53" s="164"/>
      <c r="DB53" s="164"/>
    </row>
    <row r="54" spans="1:106" x14ac:dyDescent="0.2">
      <c r="A54" s="164"/>
      <c r="B54" s="164"/>
      <c r="C54" s="164"/>
      <c r="D54" s="164"/>
      <c r="E54" s="164"/>
      <c r="F54" s="164"/>
      <c r="G54" s="164"/>
      <c r="H54" s="164"/>
      <c r="I54" s="164"/>
      <c r="J54" s="164"/>
      <c r="K54" s="166"/>
      <c r="L54" s="168"/>
      <c r="M54" s="166"/>
      <c r="N54" s="164"/>
      <c r="O54" s="164"/>
      <c r="P54" s="164"/>
      <c r="Q54" s="164"/>
      <c r="R54" s="164"/>
      <c r="S54" s="168"/>
      <c r="T54" s="265"/>
      <c r="U54" s="164"/>
      <c r="V54" s="164"/>
      <c r="W54" s="164"/>
      <c r="X54" s="164"/>
      <c r="Y54" s="164"/>
      <c r="Z54" s="164"/>
      <c r="AA54" s="167"/>
      <c r="AB54" s="167"/>
      <c r="AC54" s="164"/>
      <c r="AD54" s="164"/>
      <c r="AE54" s="164"/>
      <c r="AF54" s="164"/>
      <c r="AG54" s="164"/>
      <c r="AH54" s="164"/>
      <c r="AI54" s="167"/>
      <c r="AJ54" s="167"/>
      <c r="AK54" s="164"/>
      <c r="AL54" s="164"/>
      <c r="AM54" s="164"/>
      <c r="AN54" s="164"/>
      <c r="AO54" s="164"/>
      <c r="AP54" s="164"/>
      <c r="AQ54" s="167"/>
      <c r="AR54" s="167"/>
      <c r="AS54" s="164"/>
      <c r="AT54" s="164"/>
      <c r="AU54" s="164"/>
      <c r="AV54" s="164"/>
      <c r="AW54" s="164"/>
      <c r="AX54" s="164"/>
      <c r="AY54" s="167"/>
      <c r="AZ54" s="167"/>
      <c r="BA54" s="164"/>
      <c r="BB54" s="164"/>
      <c r="BC54" s="164"/>
      <c r="BD54" s="164"/>
      <c r="BE54" s="164"/>
      <c r="BF54" s="164"/>
      <c r="BG54" s="167"/>
      <c r="BH54" s="167"/>
      <c r="BI54" s="164"/>
      <c r="BJ54" s="164"/>
      <c r="BK54" s="164"/>
      <c r="BL54" s="164"/>
      <c r="BM54" s="164"/>
      <c r="BN54" s="164"/>
      <c r="BO54" s="167"/>
      <c r="BP54" s="167"/>
      <c r="BQ54" s="164"/>
      <c r="BR54" s="164"/>
      <c r="BS54" s="164"/>
      <c r="BT54" s="164"/>
      <c r="BU54" s="164"/>
      <c r="BV54" s="164"/>
      <c r="BW54" s="167"/>
      <c r="BX54" s="167"/>
      <c r="BY54" s="164"/>
      <c r="BZ54" s="164"/>
      <c r="CA54" s="164"/>
      <c r="CB54" s="164"/>
      <c r="CC54" s="164"/>
      <c r="CD54" s="164"/>
      <c r="CE54" s="167"/>
      <c r="CF54" s="167"/>
      <c r="CG54" s="164"/>
      <c r="CH54" s="164"/>
      <c r="CI54" s="164"/>
      <c r="CJ54" s="164"/>
      <c r="CK54" s="164"/>
      <c r="CL54" s="164"/>
      <c r="CM54" s="167"/>
      <c r="CN54" s="167"/>
      <c r="CO54" s="164"/>
      <c r="CP54" s="164"/>
      <c r="CQ54" s="164"/>
      <c r="CR54" s="164"/>
      <c r="CS54" s="164"/>
      <c r="CT54" s="164"/>
      <c r="CU54" s="167"/>
      <c r="CV54" s="167"/>
      <c r="CW54" s="164"/>
      <c r="CX54" s="164"/>
      <c r="CY54" s="164"/>
      <c r="CZ54" s="164"/>
      <c r="DA54" s="164"/>
      <c r="DB54" s="164"/>
    </row>
    <row r="55" spans="1:106" x14ac:dyDescent="0.2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6"/>
      <c r="L55" s="168"/>
      <c r="M55" s="166"/>
      <c r="N55" s="164"/>
      <c r="O55" s="164"/>
      <c r="P55" s="164"/>
      <c r="Q55" s="164"/>
      <c r="R55" s="164"/>
      <c r="S55" s="168"/>
      <c r="T55" s="265"/>
      <c r="U55" s="164"/>
      <c r="V55" s="164"/>
      <c r="W55" s="164"/>
      <c r="X55" s="164"/>
      <c r="Y55" s="164"/>
      <c r="Z55" s="164"/>
      <c r="AA55" s="167"/>
      <c r="AB55" s="167"/>
      <c r="AC55" s="164"/>
      <c r="AD55" s="164"/>
      <c r="AE55" s="164"/>
      <c r="AF55" s="164"/>
      <c r="AG55" s="164"/>
      <c r="AH55" s="164"/>
      <c r="AI55" s="167"/>
      <c r="AJ55" s="167"/>
      <c r="AK55" s="164"/>
      <c r="AL55" s="164"/>
      <c r="AM55" s="164"/>
      <c r="AN55" s="164"/>
      <c r="AO55" s="164"/>
      <c r="AP55" s="164"/>
      <c r="AQ55" s="167"/>
      <c r="AR55" s="167"/>
      <c r="AS55" s="164"/>
      <c r="AT55" s="164"/>
      <c r="AU55" s="164"/>
      <c r="AV55" s="164"/>
      <c r="AW55" s="164"/>
      <c r="AX55" s="164"/>
      <c r="AY55" s="167"/>
      <c r="AZ55" s="167"/>
      <c r="BA55" s="164"/>
      <c r="BB55" s="164"/>
      <c r="BC55" s="164"/>
      <c r="BD55" s="164"/>
      <c r="BE55" s="164"/>
      <c r="BF55" s="164"/>
      <c r="BG55" s="167"/>
      <c r="BH55" s="167"/>
      <c r="BI55" s="164"/>
      <c r="BJ55" s="164"/>
      <c r="BK55" s="164"/>
      <c r="BL55" s="164"/>
      <c r="BM55" s="164"/>
      <c r="BN55" s="164"/>
      <c r="BO55" s="167"/>
      <c r="BP55" s="167"/>
      <c r="BQ55" s="164"/>
      <c r="BR55" s="164"/>
      <c r="BS55" s="164"/>
      <c r="BT55" s="164"/>
      <c r="BU55" s="164"/>
      <c r="BV55" s="164"/>
      <c r="BW55" s="167"/>
      <c r="BX55" s="167"/>
      <c r="BY55" s="164"/>
      <c r="BZ55" s="164"/>
      <c r="CA55" s="164"/>
      <c r="CB55" s="164"/>
      <c r="CC55" s="164"/>
      <c r="CD55" s="164"/>
      <c r="CE55" s="167"/>
      <c r="CF55" s="167"/>
      <c r="CG55" s="164"/>
      <c r="CH55" s="164"/>
      <c r="CI55" s="164"/>
      <c r="CJ55" s="164"/>
      <c r="CK55" s="164"/>
      <c r="CL55" s="164"/>
      <c r="CM55" s="167"/>
      <c r="CN55" s="167"/>
      <c r="CO55" s="164"/>
      <c r="CP55" s="164"/>
      <c r="CQ55" s="164"/>
      <c r="CR55" s="164"/>
      <c r="CS55" s="164"/>
      <c r="CT55" s="164"/>
      <c r="CU55" s="167"/>
      <c r="CV55" s="167"/>
      <c r="CW55" s="164"/>
      <c r="CX55" s="164"/>
      <c r="CY55" s="164"/>
      <c r="CZ55" s="164"/>
      <c r="DA55" s="164"/>
      <c r="DB55" s="164"/>
    </row>
    <row r="56" spans="1:106" x14ac:dyDescent="0.2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6"/>
      <c r="L56" s="168"/>
      <c r="M56" s="166"/>
      <c r="N56" s="164"/>
      <c r="O56" s="164"/>
      <c r="P56" s="164"/>
      <c r="Q56" s="164"/>
      <c r="R56" s="164"/>
      <c r="S56" s="168"/>
      <c r="T56" s="265"/>
      <c r="U56" s="164"/>
      <c r="V56" s="164"/>
      <c r="W56" s="164"/>
      <c r="X56" s="164"/>
      <c r="Y56" s="164"/>
      <c r="Z56" s="164"/>
      <c r="AA56" s="167"/>
      <c r="AB56" s="167"/>
      <c r="AC56" s="164"/>
      <c r="AD56" s="164"/>
      <c r="AE56" s="164"/>
      <c r="AF56" s="164"/>
      <c r="AG56" s="164"/>
      <c r="AH56" s="164"/>
      <c r="AI56" s="167"/>
      <c r="AJ56" s="167"/>
      <c r="AK56" s="164"/>
      <c r="AL56" s="164"/>
      <c r="AM56" s="164"/>
      <c r="AN56" s="164"/>
      <c r="AO56" s="164"/>
      <c r="AP56" s="164"/>
      <c r="AQ56" s="167"/>
      <c r="AR56" s="167"/>
      <c r="AS56" s="164"/>
      <c r="AT56" s="164"/>
      <c r="AU56" s="164"/>
      <c r="AV56" s="164"/>
      <c r="AW56" s="164"/>
      <c r="AX56" s="164"/>
      <c r="AY56" s="167"/>
      <c r="AZ56" s="167"/>
      <c r="BA56" s="164"/>
      <c r="BB56" s="164"/>
      <c r="BC56" s="164"/>
      <c r="BD56" s="164"/>
      <c r="BE56" s="164"/>
      <c r="BF56" s="164"/>
      <c r="BG56" s="167"/>
      <c r="BH56" s="167"/>
      <c r="BI56" s="164"/>
      <c r="BJ56" s="164"/>
      <c r="BK56" s="164"/>
      <c r="BL56" s="164"/>
      <c r="BM56" s="164"/>
      <c r="BN56" s="164"/>
      <c r="BO56" s="167"/>
      <c r="BP56" s="167"/>
      <c r="BQ56" s="164"/>
      <c r="BR56" s="164"/>
      <c r="BS56" s="164"/>
      <c r="BT56" s="164"/>
      <c r="BU56" s="164"/>
      <c r="BV56" s="164"/>
      <c r="BW56" s="167"/>
      <c r="BX56" s="167"/>
      <c r="BY56" s="164"/>
      <c r="BZ56" s="164"/>
      <c r="CA56" s="164"/>
      <c r="CB56" s="164"/>
      <c r="CC56" s="164"/>
      <c r="CD56" s="164"/>
      <c r="CE56" s="167"/>
      <c r="CF56" s="167"/>
      <c r="CG56" s="164"/>
      <c r="CH56" s="164"/>
      <c r="CI56" s="164"/>
      <c r="CJ56" s="164"/>
      <c r="CK56" s="164"/>
      <c r="CL56" s="164"/>
      <c r="CM56" s="167"/>
      <c r="CN56" s="167"/>
      <c r="CO56" s="164"/>
      <c r="CP56" s="164"/>
      <c r="CQ56" s="164"/>
      <c r="CR56" s="164"/>
      <c r="CS56" s="164"/>
      <c r="CT56" s="164"/>
      <c r="CU56" s="167"/>
      <c r="CV56" s="167"/>
      <c r="CW56" s="164"/>
      <c r="CX56" s="164"/>
      <c r="CY56" s="164"/>
      <c r="CZ56" s="164"/>
      <c r="DA56" s="164"/>
      <c r="DB56" s="164"/>
    </row>
    <row r="57" spans="1:106" x14ac:dyDescent="0.2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6"/>
      <c r="L57" s="168"/>
      <c r="M57" s="166"/>
      <c r="N57" s="164"/>
      <c r="O57" s="164"/>
      <c r="P57" s="164"/>
      <c r="Q57" s="164"/>
      <c r="R57" s="164"/>
      <c r="S57" s="168"/>
      <c r="T57" s="265"/>
      <c r="U57" s="164"/>
      <c r="V57" s="164"/>
      <c r="W57" s="164"/>
      <c r="X57" s="164"/>
      <c r="Y57" s="164"/>
      <c r="Z57" s="164"/>
      <c r="AA57" s="167"/>
      <c r="AB57" s="167"/>
      <c r="AC57" s="164"/>
      <c r="AD57" s="164"/>
      <c r="AE57" s="164"/>
      <c r="AF57" s="164"/>
      <c r="AG57" s="164"/>
      <c r="AH57" s="164"/>
      <c r="AI57" s="167"/>
      <c r="AJ57" s="167"/>
      <c r="AK57" s="164"/>
      <c r="AL57" s="164"/>
      <c r="AM57" s="164"/>
      <c r="AN57" s="164"/>
      <c r="AO57" s="164"/>
      <c r="AP57" s="164"/>
      <c r="AQ57" s="167"/>
      <c r="AR57" s="167"/>
      <c r="AS57" s="164"/>
      <c r="AT57" s="164"/>
      <c r="AU57" s="164"/>
      <c r="AV57" s="164"/>
      <c r="AW57" s="164"/>
      <c r="AX57" s="164"/>
      <c r="AY57" s="167"/>
      <c r="AZ57" s="167"/>
      <c r="BA57" s="164"/>
      <c r="BB57" s="164"/>
      <c r="BC57" s="164"/>
      <c r="BD57" s="164"/>
      <c r="BE57" s="164"/>
      <c r="BF57" s="164"/>
      <c r="BG57" s="167"/>
      <c r="BH57" s="167"/>
      <c r="BI57" s="164"/>
      <c r="BJ57" s="164"/>
      <c r="BK57" s="164"/>
      <c r="BL57" s="164"/>
      <c r="BM57" s="164"/>
      <c r="BN57" s="164"/>
      <c r="BO57" s="167"/>
      <c r="BP57" s="167"/>
      <c r="BQ57" s="164"/>
      <c r="BR57" s="164"/>
      <c r="BS57" s="164"/>
      <c r="BT57" s="164"/>
      <c r="BU57" s="164"/>
      <c r="BV57" s="164"/>
      <c r="BW57" s="167"/>
      <c r="BX57" s="167"/>
      <c r="BY57" s="164"/>
      <c r="BZ57" s="164"/>
      <c r="CA57" s="164"/>
      <c r="CB57" s="164"/>
      <c r="CC57" s="164"/>
      <c r="CD57" s="164"/>
      <c r="CE57" s="167"/>
      <c r="CF57" s="167"/>
      <c r="CG57" s="164"/>
      <c r="CH57" s="164"/>
      <c r="CI57" s="164"/>
      <c r="CJ57" s="164"/>
      <c r="CK57" s="164"/>
      <c r="CL57" s="164"/>
      <c r="CM57" s="167"/>
      <c r="CN57" s="167"/>
      <c r="CO57" s="164"/>
      <c r="CP57" s="164"/>
      <c r="CQ57" s="164"/>
      <c r="CR57" s="164"/>
      <c r="CS57" s="164"/>
      <c r="CT57" s="164"/>
      <c r="CU57" s="167"/>
      <c r="CV57" s="167"/>
      <c r="CW57" s="164"/>
      <c r="CX57" s="164"/>
      <c r="CY57" s="164"/>
      <c r="CZ57" s="164"/>
      <c r="DA57" s="164"/>
      <c r="DB57" s="164"/>
    </row>
    <row r="58" spans="1:106" x14ac:dyDescent="0.2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6"/>
      <c r="L58" s="168"/>
      <c r="M58" s="166"/>
      <c r="N58" s="164"/>
      <c r="O58" s="164"/>
      <c r="P58" s="164"/>
      <c r="Q58" s="164"/>
      <c r="R58" s="164"/>
      <c r="S58" s="168"/>
      <c r="T58" s="265"/>
      <c r="U58" s="164"/>
      <c r="V58" s="164"/>
      <c r="W58" s="164"/>
      <c r="X58" s="164"/>
      <c r="Y58" s="164"/>
      <c r="Z58" s="164"/>
      <c r="AA58" s="167"/>
      <c r="AB58" s="167"/>
      <c r="AC58" s="164"/>
      <c r="AD58" s="164"/>
      <c r="AE58" s="164"/>
      <c r="AF58" s="164"/>
      <c r="AG58" s="164"/>
      <c r="AH58" s="164"/>
      <c r="AI58" s="167"/>
      <c r="AJ58" s="167"/>
      <c r="AK58" s="164"/>
      <c r="AL58" s="164"/>
      <c r="AM58" s="164"/>
      <c r="AN58" s="164"/>
      <c r="AO58" s="164"/>
      <c r="AP58" s="164"/>
      <c r="AQ58" s="167"/>
      <c r="AR58" s="167"/>
      <c r="AS58" s="164"/>
      <c r="AT58" s="164"/>
      <c r="AU58" s="164"/>
      <c r="AV58" s="164"/>
      <c r="AW58" s="164"/>
      <c r="AX58" s="164"/>
      <c r="AY58" s="167"/>
      <c r="AZ58" s="167"/>
      <c r="BA58" s="164"/>
      <c r="BB58" s="164"/>
      <c r="BC58" s="164"/>
      <c r="BD58" s="164"/>
      <c r="BE58" s="164"/>
      <c r="BF58" s="164"/>
      <c r="BG58" s="167"/>
      <c r="BH58" s="167"/>
      <c r="BI58" s="164"/>
      <c r="BJ58" s="164"/>
      <c r="BK58" s="164"/>
      <c r="BL58" s="164"/>
      <c r="BM58" s="164"/>
      <c r="BN58" s="164"/>
      <c r="BO58" s="167"/>
      <c r="BP58" s="167"/>
      <c r="BQ58" s="164"/>
      <c r="BR58" s="164"/>
      <c r="BS58" s="164"/>
      <c r="BT58" s="164"/>
      <c r="BU58" s="164"/>
      <c r="BV58" s="164"/>
      <c r="BW58" s="167"/>
      <c r="BX58" s="167"/>
      <c r="BY58" s="164"/>
      <c r="BZ58" s="164"/>
      <c r="CA58" s="164"/>
      <c r="CB58" s="164"/>
      <c r="CC58" s="164"/>
      <c r="CD58" s="164"/>
      <c r="CE58" s="167"/>
      <c r="CF58" s="167"/>
      <c r="CG58" s="164"/>
      <c r="CH58" s="164"/>
      <c r="CI58" s="164"/>
      <c r="CJ58" s="164"/>
      <c r="CK58" s="164"/>
      <c r="CL58" s="164"/>
      <c r="CM58" s="167"/>
      <c r="CN58" s="167"/>
      <c r="CO58" s="164"/>
      <c r="CP58" s="164"/>
      <c r="CQ58" s="164"/>
      <c r="CR58" s="164"/>
      <c r="CS58" s="164"/>
      <c r="CT58" s="164"/>
      <c r="CU58" s="167"/>
      <c r="CV58" s="167"/>
      <c r="CW58" s="164"/>
      <c r="CX58" s="164"/>
      <c r="CY58" s="164"/>
      <c r="CZ58" s="164"/>
      <c r="DA58" s="164"/>
      <c r="DB58" s="164"/>
    </row>
    <row r="59" spans="1:106" x14ac:dyDescent="0.2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6"/>
      <c r="L59" s="168"/>
      <c r="M59" s="166"/>
      <c r="N59" s="164"/>
      <c r="O59" s="164"/>
      <c r="P59" s="164"/>
      <c r="Q59" s="164"/>
      <c r="R59" s="164"/>
      <c r="S59" s="168"/>
      <c r="T59" s="265"/>
      <c r="U59" s="164"/>
      <c r="V59" s="164"/>
      <c r="W59" s="164"/>
      <c r="X59" s="164"/>
      <c r="Y59" s="164"/>
      <c r="Z59" s="164"/>
      <c r="AA59" s="167"/>
      <c r="AB59" s="167"/>
      <c r="AC59" s="164"/>
      <c r="AD59" s="164"/>
      <c r="AE59" s="164"/>
      <c r="AF59" s="164"/>
      <c r="AG59" s="164"/>
      <c r="AH59" s="164"/>
      <c r="AI59" s="167"/>
      <c r="AJ59" s="167"/>
      <c r="AK59" s="164"/>
      <c r="AL59" s="164"/>
      <c r="AM59" s="164"/>
      <c r="AN59" s="164"/>
      <c r="AO59" s="164"/>
      <c r="AP59" s="164"/>
      <c r="AQ59" s="167"/>
      <c r="AR59" s="167"/>
      <c r="AS59" s="164"/>
      <c r="AT59" s="164"/>
      <c r="AU59" s="164"/>
      <c r="AV59" s="164"/>
      <c r="AW59" s="164"/>
      <c r="AX59" s="164"/>
      <c r="AY59" s="167"/>
      <c r="AZ59" s="167"/>
      <c r="BA59" s="164"/>
      <c r="BB59" s="164"/>
      <c r="BC59" s="164"/>
      <c r="BD59" s="164"/>
      <c r="BE59" s="164"/>
      <c r="BF59" s="164"/>
      <c r="BG59" s="167"/>
      <c r="BH59" s="167"/>
      <c r="BI59" s="164"/>
      <c r="BJ59" s="164"/>
      <c r="BK59" s="164"/>
      <c r="BL59" s="164"/>
      <c r="BM59" s="164"/>
      <c r="BN59" s="164"/>
      <c r="BO59" s="167"/>
      <c r="BP59" s="167"/>
      <c r="BQ59" s="164"/>
      <c r="BR59" s="164"/>
      <c r="BS59" s="164"/>
      <c r="BT59" s="164"/>
      <c r="BU59" s="164"/>
      <c r="BV59" s="164"/>
      <c r="BW59" s="167"/>
      <c r="BX59" s="167"/>
      <c r="BY59" s="164"/>
      <c r="BZ59" s="164"/>
      <c r="CA59" s="164"/>
      <c r="CB59" s="164"/>
      <c r="CC59" s="164"/>
      <c r="CD59" s="164"/>
      <c r="CE59" s="167"/>
      <c r="CF59" s="167"/>
      <c r="CG59" s="164"/>
      <c r="CH59" s="164"/>
      <c r="CI59" s="164"/>
      <c r="CJ59" s="164"/>
      <c r="CK59" s="164"/>
      <c r="CL59" s="164"/>
      <c r="CM59" s="167"/>
      <c r="CN59" s="167"/>
      <c r="CO59" s="164"/>
      <c r="CP59" s="164"/>
      <c r="CQ59" s="164"/>
      <c r="CR59" s="164"/>
      <c r="CS59" s="164"/>
      <c r="CT59" s="164"/>
      <c r="CU59" s="167"/>
      <c r="CV59" s="167"/>
      <c r="CW59" s="164"/>
      <c r="CX59" s="164"/>
      <c r="CY59" s="164"/>
      <c r="CZ59" s="164"/>
      <c r="DA59" s="164"/>
      <c r="DB59" s="164"/>
    </row>
    <row r="60" spans="1:106" x14ac:dyDescent="0.2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6"/>
      <c r="L60" s="168"/>
      <c r="M60" s="166"/>
      <c r="N60" s="164"/>
      <c r="O60" s="164"/>
      <c r="P60" s="164"/>
      <c r="Q60" s="164"/>
      <c r="R60" s="164"/>
      <c r="S60" s="168"/>
      <c r="T60" s="265"/>
      <c r="U60" s="164"/>
      <c r="V60" s="164"/>
      <c r="W60" s="164"/>
      <c r="X60" s="164"/>
      <c r="Y60" s="164"/>
      <c r="Z60" s="164"/>
      <c r="AA60" s="167"/>
      <c r="AB60" s="167"/>
      <c r="AC60" s="164"/>
      <c r="AD60" s="164"/>
      <c r="AE60" s="164"/>
      <c r="AF60" s="164"/>
      <c r="AG60" s="164"/>
      <c r="AH60" s="164"/>
      <c r="AI60" s="167"/>
      <c r="AJ60" s="167"/>
      <c r="AK60" s="164"/>
      <c r="AL60" s="164"/>
      <c r="AM60" s="164"/>
      <c r="AN60" s="164"/>
      <c r="AO60" s="164"/>
      <c r="AP60" s="164"/>
      <c r="AQ60" s="167"/>
      <c r="AR60" s="167"/>
      <c r="AS60" s="164"/>
      <c r="AT60" s="164"/>
      <c r="AU60" s="164"/>
      <c r="AV60" s="164"/>
      <c r="AW60" s="164"/>
      <c r="AX60" s="164"/>
      <c r="AY60" s="167"/>
      <c r="AZ60" s="167"/>
      <c r="BA60" s="164"/>
      <c r="BB60" s="164"/>
      <c r="BC60" s="164"/>
      <c r="BD60" s="164"/>
      <c r="BE60" s="164"/>
      <c r="BF60" s="164"/>
      <c r="BG60" s="167"/>
      <c r="BH60" s="167"/>
      <c r="BI60" s="164"/>
      <c r="BJ60" s="164"/>
      <c r="BK60" s="164"/>
      <c r="BL60" s="164"/>
      <c r="BM60" s="164"/>
      <c r="BN60" s="164"/>
      <c r="BO60" s="167"/>
      <c r="BP60" s="167"/>
      <c r="BQ60" s="164"/>
      <c r="BR60" s="164"/>
      <c r="BS60" s="164"/>
      <c r="BT60" s="164"/>
      <c r="BU60" s="164"/>
      <c r="BV60" s="164"/>
      <c r="BW60" s="167"/>
      <c r="BX60" s="167"/>
      <c r="BY60" s="164"/>
      <c r="BZ60" s="164"/>
      <c r="CA60" s="164"/>
      <c r="CB60" s="164"/>
      <c r="CC60" s="164"/>
      <c r="CD60" s="164"/>
      <c r="CE60" s="167"/>
      <c r="CF60" s="167"/>
      <c r="CG60" s="164"/>
      <c r="CH60" s="164"/>
      <c r="CI60" s="164"/>
      <c r="CJ60" s="164"/>
      <c r="CK60" s="164"/>
      <c r="CL60" s="164"/>
      <c r="CM60" s="167"/>
      <c r="CN60" s="167"/>
      <c r="CO60" s="164"/>
      <c r="CP60" s="164"/>
      <c r="CQ60" s="164"/>
      <c r="CR60" s="164"/>
      <c r="CS60" s="164"/>
      <c r="CT60" s="164"/>
      <c r="CU60" s="167"/>
      <c r="CV60" s="167"/>
      <c r="CW60" s="164"/>
      <c r="CX60" s="164"/>
      <c r="CY60" s="164"/>
      <c r="CZ60" s="164"/>
      <c r="DA60" s="164"/>
      <c r="DB60" s="164"/>
    </row>
    <row r="61" spans="1:106" x14ac:dyDescent="0.2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6"/>
      <c r="L61" s="168"/>
      <c r="M61" s="166"/>
      <c r="N61" s="164"/>
      <c r="O61" s="164"/>
      <c r="P61" s="164"/>
      <c r="Q61" s="164"/>
      <c r="R61" s="164"/>
      <c r="S61" s="168"/>
      <c r="T61" s="265"/>
      <c r="U61" s="164"/>
      <c r="V61" s="164"/>
      <c r="W61" s="164"/>
      <c r="X61" s="164"/>
      <c r="Y61" s="164"/>
      <c r="Z61" s="164"/>
      <c r="AA61" s="167"/>
      <c r="AB61" s="167"/>
      <c r="AC61" s="164"/>
      <c r="AD61" s="164"/>
      <c r="AE61" s="164"/>
      <c r="AF61" s="164"/>
      <c r="AG61" s="164"/>
      <c r="AH61" s="164"/>
      <c r="AI61" s="167"/>
      <c r="AJ61" s="167"/>
      <c r="AK61" s="164"/>
      <c r="AL61" s="164"/>
      <c r="AM61" s="164"/>
      <c r="AN61" s="164"/>
      <c r="AO61" s="164"/>
      <c r="AP61" s="164"/>
      <c r="AQ61" s="167"/>
      <c r="AR61" s="167"/>
      <c r="AS61" s="164"/>
      <c r="AT61" s="164"/>
      <c r="AU61" s="164"/>
      <c r="AV61" s="164"/>
      <c r="AW61" s="164"/>
      <c r="AX61" s="164"/>
      <c r="AY61" s="167"/>
      <c r="AZ61" s="167"/>
      <c r="BA61" s="164"/>
      <c r="BB61" s="164"/>
      <c r="BC61" s="164"/>
      <c r="BD61" s="164"/>
      <c r="BE61" s="164"/>
      <c r="BF61" s="164"/>
      <c r="BG61" s="167"/>
      <c r="BH61" s="167"/>
      <c r="BI61" s="164"/>
      <c r="BJ61" s="164"/>
      <c r="BK61" s="164"/>
      <c r="BL61" s="164"/>
      <c r="BM61" s="164"/>
      <c r="BN61" s="164"/>
      <c r="BO61" s="167"/>
      <c r="BP61" s="167"/>
      <c r="BQ61" s="164"/>
      <c r="BR61" s="164"/>
      <c r="BS61" s="164"/>
      <c r="BT61" s="164"/>
      <c r="BU61" s="164"/>
      <c r="BV61" s="164"/>
      <c r="BW61" s="167"/>
      <c r="BX61" s="167"/>
      <c r="BY61" s="164"/>
      <c r="BZ61" s="164"/>
      <c r="CA61" s="164"/>
      <c r="CB61" s="164"/>
      <c r="CC61" s="164"/>
      <c r="CD61" s="164"/>
      <c r="CE61" s="167"/>
      <c r="CF61" s="167"/>
      <c r="CG61" s="164"/>
      <c r="CH61" s="164"/>
      <c r="CI61" s="164"/>
      <c r="CJ61" s="164"/>
      <c r="CK61" s="164"/>
      <c r="CL61" s="164"/>
      <c r="CM61" s="167"/>
      <c r="CN61" s="167"/>
      <c r="CO61" s="164"/>
      <c r="CP61" s="164"/>
      <c r="CQ61" s="164"/>
      <c r="CR61" s="164"/>
      <c r="CS61" s="164"/>
      <c r="CT61" s="164"/>
      <c r="CU61" s="167"/>
      <c r="CV61" s="167"/>
      <c r="CW61" s="164"/>
      <c r="CX61" s="164"/>
      <c r="CY61" s="164"/>
      <c r="CZ61" s="164"/>
      <c r="DA61" s="164"/>
      <c r="DB61" s="164"/>
    </row>
    <row r="62" spans="1:106" x14ac:dyDescent="0.2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6"/>
      <c r="L62" s="168"/>
      <c r="M62" s="166"/>
      <c r="N62" s="164"/>
      <c r="O62" s="164"/>
      <c r="P62" s="164"/>
      <c r="Q62" s="164"/>
      <c r="R62" s="164"/>
      <c r="S62" s="168"/>
      <c r="T62" s="265"/>
      <c r="U62" s="164"/>
      <c r="V62" s="164"/>
      <c r="W62" s="164"/>
      <c r="X62" s="164"/>
      <c r="Y62" s="164"/>
      <c r="Z62" s="164"/>
      <c r="AA62" s="167"/>
      <c r="AB62" s="167"/>
      <c r="AC62" s="164"/>
      <c r="AD62" s="164"/>
      <c r="AE62" s="164"/>
      <c r="AF62" s="164"/>
      <c r="AG62" s="164"/>
      <c r="AH62" s="164"/>
      <c r="AI62" s="167"/>
      <c r="AJ62" s="167"/>
      <c r="AK62" s="164"/>
      <c r="AL62" s="164"/>
      <c r="AM62" s="164"/>
      <c r="AN62" s="164"/>
      <c r="AO62" s="164"/>
      <c r="AP62" s="164"/>
      <c r="AQ62" s="167"/>
      <c r="AR62" s="167"/>
      <c r="AS62" s="164"/>
      <c r="AT62" s="164"/>
      <c r="AU62" s="164"/>
      <c r="AV62" s="164"/>
      <c r="AW62" s="164"/>
      <c r="AX62" s="164"/>
      <c r="AY62" s="167"/>
      <c r="AZ62" s="167"/>
      <c r="BA62" s="164"/>
      <c r="BB62" s="164"/>
      <c r="BC62" s="164"/>
      <c r="BD62" s="164"/>
      <c r="BE62" s="164"/>
      <c r="BF62" s="164"/>
      <c r="BG62" s="167"/>
      <c r="BH62" s="167"/>
      <c r="BI62" s="164"/>
      <c r="BJ62" s="164"/>
      <c r="BK62" s="164"/>
      <c r="BL62" s="164"/>
      <c r="BM62" s="164"/>
      <c r="BN62" s="164"/>
      <c r="BO62" s="167"/>
      <c r="BP62" s="167"/>
      <c r="BQ62" s="164"/>
      <c r="BR62" s="164"/>
      <c r="BS62" s="164"/>
      <c r="BT62" s="164"/>
      <c r="BU62" s="164"/>
      <c r="BV62" s="164"/>
      <c r="BW62" s="167"/>
      <c r="BX62" s="167"/>
      <c r="BY62" s="164"/>
      <c r="BZ62" s="164"/>
      <c r="CA62" s="164"/>
      <c r="CB62" s="164"/>
      <c r="CC62" s="164"/>
      <c r="CD62" s="164"/>
      <c r="CE62" s="167"/>
      <c r="CF62" s="167"/>
      <c r="CG62" s="164"/>
      <c r="CH62" s="164"/>
      <c r="CI62" s="164"/>
      <c r="CJ62" s="164"/>
      <c r="CK62" s="164"/>
      <c r="CL62" s="164"/>
      <c r="CM62" s="167"/>
      <c r="CN62" s="167"/>
      <c r="CO62" s="164"/>
      <c r="CP62" s="164"/>
      <c r="CQ62" s="164"/>
      <c r="CR62" s="164"/>
      <c r="CS62" s="164"/>
      <c r="CT62" s="164"/>
      <c r="CU62" s="167"/>
      <c r="CV62" s="167"/>
      <c r="CW62" s="164"/>
      <c r="CX62" s="164"/>
      <c r="CY62" s="164"/>
      <c r="CZ62" s="164"/>
      <c r="DA62" s="164"/>
      <c r="DB62" s="164"/>
    </row>
    <row r="63" spans="1:106" x14ac:dyDescent="0.2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6"/>
      <c r="L63" s="168"/>
      <c r="M63" s="166"/>
      <c r="N63" s="164"/>
      <c r="O63" s="164"/>
      <c r="P63" s="164"/>
      <c r="Q63" s="164"/>
      <c r="R63" s="164"/>
      <c r="S63" s="168"/>
      <c r="T63" s="265"/>
      <c r="U63" s="164"/>
      <c r="V63" s="164"/>
      <c r="W63" s="164"/>
      <c r="X63" s="164"/>
      <c r="Y63" s="164"/>
      <c r="Z63" s="164"/>
      <c r="AA63" s="167"/>
      <c r="AB63" s="167"/>
      <c r="AC63" s="164"/>
      <c r="AD63" s="164"/>
      <c r="AE63" s="164"/>
      <c r="AF63" s="164"/>
      <c r="AG63" s="164"/>
      <c r="AH63" s="164"/>
      <c r="AI63" s="167"/>
      <c r="AJ63" s="167"/>
      <c r="AK63" s="164"/>
      <c r="AL63" s="164"/>
      <c r="AM63" s="164"/>
      <c r="AN63" s="164"/>
      <c r="AO63" s="164"/>
      <c r="AP63" s="164"/>
      <c r="AQ63" s="167"/>
      <c r="AR63" s="167"/>
      <c r="AS63" s="164"/>
      <c r="AT63" s="164"/>
      <c r="AU63" s="164"/>
      <c r="AV63" s="164"/>
      <c r="AW63" s="164"/>
      <c r="AX63" s="164"/>
      <c r="AY63" s="167"/>
      <c r="AZ63" s="167"/>
      <c r="BA63" s="164"/>
      <c r="BB63" s="164"/>
      <c r="BC63" s="164"/>
      <c r="BD63" s="164"/>
      <c r="BE63" s="164"/>
      <c r="BF63" s="164"/>
      <c r="BG63" s="167"/>
      <c r="BH63" s="167"/>
      <c r="BI63" s="164"/>
      <c r="BJ63" s="164"/>
      <c r="BK63" s="164"/>
      <c r="BL63" s="164"/>
      <c r="BM63" s="164"/>
      <c r="BN63" s="164"/>
      <c r="BO63" s="167"/>
      <c r="BP63" s="167"/>
      <c r="BQ63" s="164"/>
      <c r="BR63" s="164"/>
      <c r="BS63" s="164"/>
      <c r="BT63" s="164"/>
      <c r="BU63" s="164"/>
      <c r="BV63" s="164"/>
      <c r="BW63" s="167"/>
      <c r="BX63" s="167"/>
      <c r="BY63" s="164"/>
      <c r="BZ63" s="164"/>
      <c r="CA63" s="164"/>
      <c r="CB63" s="164"/>
      <c r="CC63" s="164"/>
      <c r="CD63" s="164"/>
      <c r="CE63" s="167"/>
      <c r="CF63" s="167"/>
      <c r="CG63" s="164"/>
      <c r="CH63" s="164"/>
      <c r="CI63" s="164"/>
      <c r="CJ63" s="164"/>
      <c r="CK63" s="164"/>
      <c r="CL63" s="164"/>
      <c r="CM63" s="167"/>
      <c r="CN63" s="167"/>
      <c r="CO63" s="164"/>
      <c r="CP63" s="164"/>
      <c r="CQ63" s="164"/>
      <c r="CR63" s="164"/>
      <c r="CS63" s="164"/>
      <c r="CT63" s="164"/>
      <c r="CU63" s="167"/>
      <c r="CV63" s="167"/>
      <c r="CW63" s="164"/>
      <c r="CX63" s="164"/>
      <c r="CY63" s="164"/>
      <c r="CZ63" s="164"/>
      <c r="DA63" s="164"/>
      <c r="DB63" s="164"/>
    </row>
    <row r="64" spans="1:106" x14ac:dyDescent="0.2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6"/>
      <c r="L64" s="168"/>
      <c r="M64" s="166"/>
      <c r="N64" s="164"/>
      <c r="O64" s="164"/>
      <c r="P64" s="164"/>
      <c r="Q64" s="164"/>
      <c r="R64" s="164"/>
      <c r="S64" s="168"/>
      <c r="T64" s="265"/>
      <c r="U64" s="164"/>
      <c r="V64" s="164"/>
      <c r="W64" s="164"/>
      <c r="X64" s="164"/>
      <c r="Y64" s="164"/>
      <c r="Z64" s="164"/>
      <c r="AA64" s="167"/>
      <c r="AB64" s="167"/>
      <c r="AC64" s="164"/>
      <c r="AD64" s="164"/>
      <c r="AE64" s="164"/>
      <c r="AF64" s="164"/>
      <c r="AG64" s="164"/>
      <c r="AH64" s="164"/>
      <c r="AI64" s="167"/>
      <c r="AJ64" s="167"/>
      <c r="AK64" s="164"/>
      <c r="AL64" s="164"/>
      <c r="AM64" s="164"/>
      <c r="AN64" s="164"/>
      <c r="AO64" s="164"/>
      <c r="AP64" s="164"/>
      <c r="AQ64" s="167"/>
      <c r="AR64" s="167"/>
      <c r="AS64" s="164"/>
      <c r="AT64" s="164"/>
      <c r="AU64" s="164"/>
      <c r="AV64" s="164"/>
      <c r="AW64" s="164"/>
      <c r="AX64" s="164"/>
      <c r="AY64" s="167"/>
      <c r="AZ64" s="167"/>
      <c r="BA64" s="164"/>
      <c r="BB64" s="164"/>
      <c r="BC64" s="164"/>
      <c r="BD64" s="164"/>
      <c r="BE64" s="164"/>
      <c r="BF64" s="164"/>
      <c r="BG64" s="167"/>
      <c r="BH64" s="167"/>
      <c r="BI64" s="164"/>
      <c r="BJ64" s="164"/>
      <c r="BK64" s="164"/>
      <c r="BL64" s="164"/>
      <c r="BM64" s="164"/>
      <c r="BN64" s="164"/>
      <c r="BO64" s="167"/>
      <c r="BP64" s="167"/>
      <c r="BQ64" s="164"/>
      <c r="BR64" s="164"/>
      <c r="BS64" s="164"/>
      <c r="BT64" s="164"/>
      <c r="BU64" s="164"/>
      <c r="BV64" s="164"/>
      <c r="BW64" s="167"/>
      <c r="BX64" s="167"/>
      <c r="BY64" s="164"/>
      <c r="BZ64" s="164"/>
      <c r="CA64" s="164"/>
      <c r="CB64" s="164"/>
      <c r="CC64" s="164"/>
      <c r="CD64" s="164"/>
      <c r="CE64" s="167"/>
      <c r="CF64" s="167"/>
      <c r="CG64" s="164"/>
      <c r="CH64" s="164"/>
      <c r="CI64" s="164"/>
      <c r="CJ64" s="164"/>
      <c r="CK64" s="164"/>
      <c r="CL64" s="164"/>
      <c r="CM64" s="167"/>
      <c r="CN64" s="167"/>
      <c r="CO64" s="164"/>
      <c r="CP64" s="164"/>
      <c r="CQ64" s="164"/>
      <c r="CR64" s="164"/>
      <c r="CS64" s="164"/>
      <c r="CT64" s="164"/>
      <c r="CU64" s="167"/>
      <c r="CV64" s="167"/>
      <c r="CW64" s="164"/>
      <c r="CX64" s="164"/>
      <c r="CY64" s="164"/>
      <c r="CZ64" s="164"/>
      <c r="DA64" s="164"/>
      <c r="DB64" s="164"/>
    </row>
    <row r="65" spans="1:106" x14ac:dyDescent="0.2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6"/>
      <c r="L65" s="168"/>
      <c r="M65" s="166"/>
      <c r="N65" s="164"/>
      <c r="O65" s="164"/>
      <c r="P65" s="164"/>
      <c r="Q65" s="164"/>
      <c r="R65" s="164"/>
      <c r="S65" s="168"/>
      <c r="T65" s="265"/>
      <c r="U65" s="164"/>
      <c r="V65" s="164"/>
      <c r="W65" s="164"/>
      <c r="X65" s="164"/>
      <c r="Y65" s="164"/>
      <c r="Z65" s="164"/>
      <c r="AA65" s="167"/>
      <c r="AB65" s="167"/>
      <c r="AC65" s="164"/>
      <c r="AD65" s="164"/>
      <c r="AE65" s="164"/>
      <c r="AF65" s="164"/>
      <c r="AG65" s="164"/>
      <c r="AH65" s="164"/>
      <c r="AI65" s="167"/>
      <c r="AJ65" s="167"/>
      <c r="AK65" s="164"/>
      <c r="AL65" s="164"/>
      <c r="AM65" s="164"/>
      <c r="AN65" s="164"/>
      <c r="AO65" s="164"/>
      <c r="AP65" s="164"/>
      <c r="AQ65" s="167"/>
      <c r="AR65" s="167"/>
      <c r="AS65" s="164"/>
      <c r="AT65" s="164"/>
      <c r="AU65" s="164"/>
      <c r="AV65" s="164"/>
      <c r="AW65" s="164"/>
      <c r="AX65" s="164"/>
      <c r="AY65" s="167"/>
      <c r="AZ65" s="167"/>
      <c r="BA65" s="164"/>
      <c r="BB65" s="164"/>
      <c r="BC65" s="164"/>
      <c r="BD65" s="164"/>
      <c r="BE65" s="164"/>
      <c r="BF65" s="164"/>
      <c r="BG65" s="167"/>
      <c r="BH65" s="167"/>
      <c r="BI65" s="164"/>
      <c r="BJ65" s="164"/>
      <c r="BK65" s="164"/>
      <c r="BL65" s="164"/>
      <c r="BM65" s="164"/>
      <c r="BN65" s="164"/>
      <c r="BO65" s="167"/>
      <c r="BP65" s="167"/>
      <c r="BQ65" s="164"/>
      <c r="BR65" s="164"/>
      <c r="BS65" s="164"/>
      <c r="BT65" s="164"/>
      <c r="BU65" s="164"/>
      <c r="BV65" s="164"/>
      <c r="BW65" s="167"/>
      <c r="BX65" s="167"/>
      <c r="BY65" s="164"/>
      <c r="BZ65" s="164"/>
      <c r="CA65" s="164"/>
      <c r="CB65" s="164"/>
      <c r="CC65" s="164"/>
      <c r="CD65" s="164"/>
      <c r="CE65" s="167"/>
      <c r="CF65" s="167"/>
      <c r="CG65" s="164"/>
      <c r="CH65" s="164"/>
      <c r="CI65" s="164"/>
      <c r="CJ65" s="164"/>
      <c r="CK65" s="164"/>
      <c r="CL65" s="164"/>
      <c r="CM65" s="167"/>
      <c r="CN65" s="167"/>
      <c r="CO65" s="164"/>
      <c r="CP65" s="164"/>
      <c r="CQ65" s="164"/>
      <c r="CR65" s="164"/>
      <c r="CS65" s="164"/>
      <c r="CT65" s="164"/>
      <c r="CU65" s="167"/>
      <c r="CV65" s="167"/>
      <c r="CW65" s="164"/>
      <c r="CX65" s="164"/>
      <c r="CY65" s="164"/>
      <c r="CZ65" s="164"/>
      <c r="DA65" s="164"/>
      <c r="DB65" s="164"/>
    </row>
    <row r="66" spans="1:106" x14ac:dyDescent="0.2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6"/>
      <c r="L66" s="168"/>
      <c r="M66" s="166"/>
      <c r="N66" s="164"/>
      <c r="O66" s="164"/>
      <c r="P66" s="164"/>
      <c r="Q66" s="164"/>
      <c r="R66" s="164"/>
      <c r="S66" s="168"/>
      <c r="T66" s="265"/>
      <c r="U66" s="164"/>
      <c r="V66" s="164"/>
      <c r="W66" s="164"/>
      <c r="X66" s="164"/>
      <c r="Y66" s="164"/>
      <c r="Z66" s="164"/>
      <c r="AA66" s="167"/>
      <c r="AB66" s="167"/>
      <c r="AC66" s="164"/>
      <c r="AD66" s="164"/>
      <c r="AE66" s="164"/>
      <c r="AF66" s="164"/>
      <c r="AG66" s="164"/>
      <c r="AH66" s="164"/>
      <c r="AI66" s="167"/>
      <c r="AJ66" s="167"/>
      <c r="AK66" s="164"/>
      <c r="AL66" s="164"/>
      <c r="AM66" s="164"/>
      <c r="AN66" s="164"/>
      <c r="AO66" s="164"/>
      <c r="AP66" s="164"/>
      <c r="AQ66" s="167"/>
      <c r="AR66" s="167"/>
      <c r="AS66" s="164"/>
      <c r="AT66" s="164"/>
      <c r="AU66" s="164"/>
      <c r="AV66" s="164"/>
      <c r="AW66" s="164"/>
      <c r="AX66" s="164"/>
      <c r="AY66" s="167"/>
      <c r="AZ66" s="167"/>
      <c r="BA66" s="164"/>
      <c r="BB66" s="164"/>
      <c r="BC66" s="164"/>
      <c r="BD66" s="164"/>
      <c r="BE66" s="164"/>
      <c r="BF66" s="164"/>
      <c r="BG66" s="167"/>
      <c r="BH66" s="167"/>
      <c r="BI66" s="164"/>
      <c r="BJ66" s="164"/>
      <c r="BK66" s="164"/>
      <c r="BL66" s="164"/>
      <c r="BM66" s="164"/>
      <c r="BN66" s="164"/>
      <c r="BO66" s="167"/>
      <c r="BP66" s="167"/>
      <c r="BQ66" s="164"/>
      <c r="BR66" s="164"/>
      <c r="BS66" s="164"/>
      <c r="BT66" s="164"/>
      <c r="BU66" s="164"/>
      <c r="BV66" s="164"/>
      <c r="BW66" s="167"/>
      <c r="BX66" s="167"/>
      <c r="BY66" s="164"/>
      <c r="BZ66" s="164"/>
      <c r="CA66" s="164"/>
      <c r="CB66" s="164"/>
      <c r="CC66" s="164"/>
      <c r="CD66" s="164"/>
      <c r="CE66" s="167"/>
      <c r="CF66" s="167"/>
      <c r="CG66" s="164"/>
      <c r="CH66" s="164"/>
      <c r="CI66" s="164"/>
      <c r="CJ66" s="164"/>
      <c r="CK66" s="164"/>
      <c r="CL66" s="164"/>
      <c r="CM66" s="167"/>
      <c r="CN66" s="167"/>
      <c r="CO66" s="164"/>
      <c r="CP66" s="164"/>
      <c r="CQ66" s="164"/>
      <c r="CR66" s="164"/>
      <c r="CS66" s="164"/>
      <c r="CT66" s="164"/>
      <c r="CU66" s="167"/>
      <c r="CV66" s="167"/>
      <c r="CW66" s="164"/>
      <c r="CX66" s="164"/>
      <c r="CY66" s="164"/>
      <c r="CZ66" s="164"/>
      <c r="DA66" s="164"/>
      <c r="DB66" s="164"/>
    </row>
    <row r="67" spans="1:106" x14ac:dyDescent="0.2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6"/>
      <c r="L67" s="168"/>
      <c r="M67" s="166"/>
      <c r="N67" s="164"/>
      <c r="O67" s="164"/>
      <c r="P67" s="164"/>
      <c r="Q67" s="164"/>
      <c r="R67" s="164"/>
      <c r="S67" s="168"/>
      <c r="T67" s="265"/>
      <c r="U67" s="164"/>
      <c r="V67" s="164"/>
      <c r="W67" s="164"/>
      <c r="X67" s="164"/>
      <c r="Y67" s="164"/>
      <c r="Z67" s="164"/>
      <c r="AA67" s="167"/>
      <c r="AB67" s="167"/>
      <c r="AC67" s="164"/>
      <c r="AD67" s="164"/>
      <c r="AE67" s="164"/>
      <c r="AF67" s="164"/>
      <c r="AG67" s="164"/>
      <c r="AH67" s="164"/>
      <c r="AI67" s="167"/>
      <c r="AJ67" s="167"/>
      <c r="AK67" s="164"/>
      <c r="AL67" s="164"/>
      <c r="AM67" s="164"/>
      <c r="AN67" s="164"/>
      <c r="AO67" s="164"/>
      <c r="AP67" s="164"/>
      <c r="AQ67" s="167"/>
      <c r="AR67" s="167"/>
      <c r="AS67" s="164"/>
      <c r="AT67" s="164"/>
      <c r="AU67" s="164"/>
      <c r="AV67" s="164"/>
      <c r="AW67" s="164"/>
      <c r="AX67" s="164"/>
      <c r="AY67" s="167"/>
      <c r="AZ67" s="167"/>
      <c r="BA67" s="164"/>
      <c r="BB67" s="164"/>
      <c r="BC67" s="164"/>
      <c r="BD67" s="164"/>
      <c r="BE67" s="164"/>
      <c r="BF67" s="164"/>
      <c r="BG67" s="167"/>
      <c r="BH67" s="167"/>
      <c r="BI67" s="164"/>
      <c r="BJ67" s="164"/>
      <c r="BK67" s="164"/>
      <c r="BL67" s="164"/>
      <c r="BM67" s="164"/>
      <c r="BN67" s="164"/>
      <c r="BO67" s="167"/>
      <c r="BP67" s="167"/>
      <c r="BQ67" s="164"/>
      <c r="BR67" s="164"/>
      <c r="BS67" s="164"/>
      <c r="BT67" s="164"/>
      <c r="BU67" s="164"/>
      <c r="BV67" s="164"/>
      <c r="BW67" s="167"/>
      <c r="BX67" s="167"/>
      <c r="BY67" s="164"/>
      <c r="BZ67" s="164"/>
      <c r="CA67" s="164"/>
      <c r="CB67" s="164"/>
      <c r="CC67" s="164"/>
      <c r="CD67" s="164"/>
      <c r="CE67" s="167"/>
      <c r="CF67" s="167"/>
      <c r="CG67" s="164"/>
      <c r="CH67" s="164"/>
      <c r="CI67" s="164"/>
      <c r="CJ67" s="164"/>
      <c r="CK67" s="164"/>
      <c r="CL67" s="164"/>
      <c r="CM67" s="167"/>
      <c r="CN67" s="167"/>
      <c r="CO67" s="164"/>
      <c r="CP67" s="164"/>
      <c r="CQ67" s="164"/>
      <c r="CR67" s="164"/>
      <c r="CS67" s="164"/>
      <c r="CT67" s="164"/>
      <c r="CU67" s="167"/>
      <c r="CV67" s="167"/>
      <c r="CW67" s="164"/>
      <c r="CX67" s="164"/>
      <c r="CY67" s="164"/>
      <c r="CZ67" s="164"/>
      <c r="DA67" s="164"/>
      <c r="DB67" s="164"/>
    </row>
    <row r="68" spans="1:106" x14ac:dyDescent="0.2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6"/>
      <c r="L68" s="168"/>
      <c r="M68" s="166"/>
      <c r="N68" s="164"/>
      <c r="O68" s="164"/>
      <c r="P68" s="164"/>
      <c r="Q68" s="164"/>
      <c r="R68" s="164"/>
      <c r="S68" s="168"/>
      <c r="T68" s="265"/>
      <c r="U68" s="164"/>
      <c r="V68" s="164"/>
      <c r="W68" s="164"/>
      <c r="X68" s="164"/>
      <c r="Y68" s="164"/>
      <c r="Z68" s="164"/>
      <c r="AA68" s="167"/>
      <c r="AB68" s="167"/>
      <c r="AC68" s="164"/>
      <c r="AD68" s="164"/>
      <c r="AE68" s="164"/>
      <c r="AF68" s="164"/>
      <c r="AG68" s="164"/>
      <c r="AH68" s="164"/>
      <c r="AI68" s="167"/>
      <c r="AJ68" s="167"/>
      <c r="AK68" s="164"/>
      <c r="AL68" s="164"/>
      <c r="AM68" s="164"/>
      <c r="AN68" s="164"/>
      <c r="AO68" s="164"/>
      <c r="AP68" s="164"/>
      <c r="AQ68" s="167"/>
      <c r="AR68" s="167"/>
      <c r="AS68" s="164"/>
      <c r="AT68" s="164"/>
      <c r="AU68" s="164"/>
      <c r="AV68" s="164"/>
      <c r="AW68" s="164"/>
      <c r="AX68" s="164"/>
      <c r="AY68" s="167"/>
      <c r="AZ68" s="167"/>
      <c r="BA68" s="164"/>
      <c r="BB68" s="164"/>
      <c r="BC68" s="164"/>
      <c r="BD68" s="164"/>
      <c r="BE68" s="164"/>
      <c r="BF68" s="164"/>
      <c r="BG68" s="167"/>
      <c r="BH68" s="167"/>
      <c r="BI68" s="164"/>
      <c r="BJ68" s="164"/>
      <c r="BK68" s="164"/>
      <c r="BL68" s="164"/>
      <c r="BM68" s="164"/>
      <c r="BN68" s="164"/>
      <c r="BO68" s="167"/>
      <c r="BP68" s="167"/>
      <c r="BQ68" s="164"/>
      <c r="BR68" s="164"/>
      <c r="BS68" s="164"/>
      <c r="BT68" s="164"/>
      <c r="BU68" s="164"/>
      <c r="BV68" s="164"/>
      <c r="BW68" s="167"/>
      <c r="BX68" s="167"/>
      <c r="BY68" s="164"/>
      <c r="BZ68" s="164"/>
      <c r="CA68" s="164"/>
      <c r="CB68" s="164"/>
      <c r="CC68" s="164"/>
      <c r="CD68" s="164"/>
      <c r="CE68" s="167"/>
      <c r="CF68" s="167"/>
      <c r="CG68" s="164"/>
      <c r="CH68" s="164"/>
      <c r="CI68" s="164"/>
      <c r="CJ68" s="164"/>
      <c r="CK68" s="164"/>
      <c r="CL68" s="164"/>
      <c r="CM68" s="167"/>
      <c r="CN68" s="167"/>
      <c r="CO68" s="164"/>
      <c r="CP68" s="164"/>
      <c r="CQ68" s="164"/>
      <c r="CR68" s="164"/>
      <c r="CS68" s="164"/>
      <c r="CT68" s="164"/>
      <c r="CU68" s="167"/>
      <c r="CV68" s="167"/>
      <c r="CW68" s="164"/>
      <c r="CX68" s="164"/>
      <c r="CY68" s="164"/>
      <c r="CZ68" s="164"/>
      <c r="DA68" s="164"/>
      <c r="DB68" s="164"/>
    </row>
    <row r="69" spans="1:106" x14ac:dyDescent="0.2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6"/>
      <c r="L69" s="168"/>
      <c r="M69" s="166"/>
      <c r="N69" s="164"/>
      <c r="O69" s="164"/>
      <c r="P69" s="164"/>
      <c r="Q69" s="164"/>
      <c r="R69" s="164"/>
      <c r="S69" s="168"/>
      <c r="T69" s="265"/>
      <c r="U69" s="164"/>
      <c r="V69" s="164"/>
      <c r="W69" s="164"/>
      <c r="X69" s="164"/>
      <c r="Y69" s="164"/>
      <c r="Z69" s="164"/>
      <c r="AA69" s="167"/>
      <c r="AB69" s="167"/>
      <c r="AC69" s="164"/>
      <c r="AD69" s="164"/>
      <c r="AE69" s="164"/>
      <c r="AF69" s="164"/>
      <c r="AG69" s="164"/>
      <c r="AH69" s="164"/>
      <c r="AI69" s="167"/>
      <c r="AJ69" s="167"/>
      <c r="AK69" s="164"/>
      <c r="AL69" s="164"/>
      <c r="AM69" s="164"/>
      <c r="AN69" s="164"/>
      <c r="AO69" s="164"/>
      <c r="AP69" s="164"/>
      <c r="AQ69" s="167"/>
      <c r="AR69" s="167"/>
      <c r="AS69" s="164"/>
      <c r="AT69" s="164"/>
      <c r="AU69" s="164"/>
      <c r="AV69" s="164"/>
      <c r="AW69" s="164"/>
      <c r="AX69" s="164"/>
      <c r="AY69" s="167"/>
      <c r="AZ69" s="167"/>
      <c r="BA69" s="164"/>
      <c r="BB69" s="164"/>
      <c r="BC69" s="164"/>
      <c r="BD69" s="164"/>
      <c r="BE69" s="164"/>
      <c r="BF69" s="164"/>
      <c r="BG69" s="167"/>
      <c r="BH69" s="167"/>
      <c r="BI69" s="164"/>
      <c r="BJ69" s="164"/>
      <c r="BK69" s="164"/>
      <c r="BL69" s="164"/>
      <c r="BM69" s="164"/>
      <c r="BN69" s="164"/>
      <c r="BO69" s="167"/>
      <c r="BP69" s="167"/>
      <c r="BQ69" s="164"/>
      <c r="BR69" s="164"/>
      <c r="BS69" s="164"/>
      <c r="BT69" s="164"/>
      <c r="BU69" s="164"/>
      <c r="BV69" s="164"/>
      <c r="BW69" s="167"/>
      <c r="BX69" s="167"/>
      <c r="BY69" s="164"/>
      <c r="BZ69" s="164"/>
      <c r="CA69" s="164"/>
      <c r="CB69" s="164"/>
      <c r="CC69" s="164"/>
      <c r="CD69" s="164"/>
      <c r="CE69" s="167"/>
      <c r="CF69" s="167"/>
      <c r="CG69" s="164"/>
      <c r="CH69" s="164"/>
      <c r="CI69" s="164"/>
      <c r="CJ69" s="164"/>
      <c r="CK69" s="164"/>
      <c r="CL69" s="164"/>
      <c r="CM69" s="167"/>
      <c r="CN69" s="167"/>
      <c r="CO69" s="164"/>
      <c r="CP69" s="164"/>
      <c r="CQ69" s="164"/>
      <c r="CR69" s="164"/>
      <c r="CS69" s="164"/>
      <c r="CT69" s="164"/>
      <c r="CU69" s="167"/>
      <c r="CV69" s="167"/>
      <c r="CW69" s="164"/>
      <c r="CX69" s="164"/>
      <c r="CY69" s="164"/>
      <c r="CZ69" s="164"/>
      <c r="DA69" s="164"/>
      <c r="DB69" s="164"/>
    </row>
    <row r="70" spans="1:106" x14ac:dyDescent="0.2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6"/>
      <c r="L70" s="168"/>
      <c r="M70" s="166"/>
      <c r="N70" s="164"/>
      <c r="O70" s="164"/>
      <c r="P70" s="164"/>
      <c r="Q70" s="164"/>
      <c r="R70" s="164"/>
      <c r="S70" s="168"/>
      <c r="T70" s="265"/>
      <c r="U70" s="164"/>
      <c r="V70" s="164"/>
      <c r="W70" s="164"/>
      <c r="X70" s="164"/>
      <c r="Y70" s="164"/>
      <c r="Z70" s="164"/>
      <c r="AA70" s="167"/>
      <c r="AB70" s="167"/>
      <c r="AC70" s="164"/>
      <c r="AD70" s="164"/>
      <c r="AE70" s="164"/>
      <c r="AF70" s="164"/>
      <c r="AG70" s="164"/>
      <c r="AH70" s="164"/>
      <c r="AI70" s="167"/>
      <c r="AJ70" s="167"/>
      <c r="AK70" s="164"/>
      <c r="AL70" s="164"/>
      <c r="AM70" s="164"/>
      <c r="AN70" s="164"/>
      <c r="AO70" s="164"/>
      <c r="AP70" s="164"/>
      <c r="AQ70" s="167"/>
      <c r="AR70" s="167"/>
      <c r="AS70" s="164"/>
      <c r="AT70" s="164"/>
      <c r="AU70" s="164"/>
      <c r="AV70" s="164"/>
      <c r="AW70" s="164"/>
      <c r="AX70" s="164"/>
      <c r="AY70" s="167"/>
      <c r="AZ70" s="167"/>
      <c r="BA70" s="164"/>
      <c r="BB70" s="164"/>
      <c r="BC70" s="164"/>
      <c r="BD70" s="164"/>
      <c r="BE70" s="164"/>
      <c r="BF70" s="164"/>
      <c r="BG70" s="167"/>
      <c r="BH70" s="167"/>
      <c r="BI70" s="164"/>
      <c r="BJ70" s="164"/>
      <c r="BK70" s="164"/>
      <c r="BL70" s="164"/>
      <c r="BM70" s="164"/>
      <c r="BN70" s="164"/>
      <c r="BO70" s="167"/>
      <c r="BP70" s="167"/>
      <c r="BQ70" s="164"/>
      <c r="BR70" s="164"/>
      <c r="BS70" s="164"/>
      <c r="BT70" s="164"/>
      <c r="BU70" s="164"/>
      <c r="BV70" s="164"/>
      <c r="BW70" s="167"/>
      <c r="BX70" s="167"/>
      <c r="BY70" s="164"/>
      <c r="BZ70" s="164"/>
      <c r="CA70" s="164"/>
      <c r="CB70" s="164"/>
      <c r="CC70" s="164"/>
      <c r="CD70" s="164"/>
      <c r="CE70" s="167"/>
      <c r="CF70" s="167"/>
      <c r="CG70" s="164"/>
      <c r="CH70" s="164"/>
      <c r="CI70" s="164"/>
      <c r="CJ70" s="164"/>
      <c r="CK70" s="164"/>
      <c r="CL70" s="164"/>
      <c r="CM70" s="167"/>
      <c r="CN70" s="167"/>
      <c r="CO70" s="164"/>
      <c r="CP70" s="164"/>
      <c r="CQ70" s="164"/>
      <c r="CR70" s="164"/>
      <c r="CS70" s="164"/>
      <c r="CT70" s="164"/>
      <c r="CU70" s="167"/>
      <c r="CV70" s="167"/>
      <c r="CW70" s="164"/>
      <c r="CX70" s="164"/>
      <c r="CY70" s="164"/>
      <c r="CZ70" s="164"/>
      <c r="DA70" s="164"/>
      <c r="DB70" s="164"/>
    </row>
    <row r="71" spans="1:106" x14ac:dyDescent="0.2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6"/>
      <c r="L71" s="168"/>
      <c r="M71" s="166"/>
      <c r="N71" s="164"/>
      <c r="O71" s="164"/>
      <c r="P71" s="164"/>
      <c r="Q71" s="164"/>
      <c r="R71" s="164"/>
      <c r="S71" s="168"/>
      <c r="T71" s="265"/>
      <c r="U71" s="164"/>
      <c r="V71" s="164"/>
      <c r="W71" s="164"/>
      <c r="X71" s="164"/>
      <c r="Y71" s="164"/>
      <c r="Z71" s="164"/>
      <c r="AA71" s="167"/>
      <c r="AB71" s="167"/>
      <c r="AC71" s="164"/>
      <c r="AD71" s="164"/>
      <c r="AE71" s="164"/>
      <c r="AF71" s="164"/>
      <c r="AG71" s="164"/>
      <c r="AH71" s="164"/>
      <c r="AI71" s="167"/>
      <c r="AJ71" s="167"/>
      <c r="AK71" s="164"/>
      <c r="AL71" s="164"/>
      <c r="AM71" s="164"/>
      <c r="AN71" s="164"/>
      <c r="AO71" s="164"/>
      <c r="AP71" s="164"/>
      <c r="AQ71" s="167"/>
      <c r="AR71" s="167"/>
      <c r="AS71" s="164"/>
      <c r="AT71" s="164"/>
      <c r="AU71" s="164"/>
      <c r="AV71" s="164"/>
      <c r="AW71" s="164"/>
      <c r="AX71" s="164"/>
      <c r="AY71" s="167"/>
      <c r="AZ71" s="167"/>
      <c r="BA71" s="164"/>
      <c r="BB71" s="164"/>
      <c r="BC71" s="164"/>
      <c r="BD71" s="164"/>
      <c r="BE71" s="164"/>
      <c r="BF71" s="164"/>
      <c r="BG71" s="167"/>
      <c r="BH71" s="167"/>
      <c r="BI71" s="164"/>
      <c r="BJ71" s="164"/>
      <c r="BK71" s="164"/>
      <c r="BL71" s="164"/>
      <c r="BM71" s="164"/>
      <c r="BN71" s="164"/>
      <c r="BO71" s="167"/>
      <c r="BP71" s="167"/>
      <c r="BQ71" s="164"/>
      <c r="BR71" s="164"/>
      <c r="BS71" s="164"/>
      <c r="BT71" s="164"/>
      <c r="BU71" s="164"/>
      <c r="BV71" s="164"/>
      <c r="BW71" s="167"/>
      <c r="BX71" s="167"/>
      <c r="BY71" s="164"/>
      <c r="BZ71" s="164"/>
      <c r="CA71" s="164"/>
      <c r="CB71" s="164"/>
      <c r="CC71" s="164"/>
      <c r="CD71" s="164"/>
      <c r="CE71" s="167"/>
      <c r="CF71" s="167"/>
      <c r="CG71" s="164"/>
      <c r="CH71" s="164"/>
      <c r="CI71" s="164"/>
      <c r="CJ71" s="164"/>
      <c r="CK71" s="164"/>
      <c r="CL71" s="164"/>
      <c r="CM71" s="167"/>
      <c r="CN71" s="167"/>
      <c r="CO71" s="164"/>
      <c r="CP71" s="164"/>
      <c r="CQ71" s="164"/>
      <c r="CR71" s="164"/>
      <c r="CS71" s="164"/>
      <c r="CT71" s="164"/>
      <c r="CU71" s="167"/>
      <c r="CV71" s="167"/>
      <c r="CW71" s="164"/>
      <c r="CX71" s="164"/>
      <c r="CY71" s="164"/>
      <c r="CZ71" s="164"/>
      <c r="DA71" s="164"/>
      <c r="DB71" s="164"/>
    </row>
    <row r="72" spans="1:106" x14ac:dyDescent="0.2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6"/>
      <c r="L72" s="168"/>
      <c r="M72" s="166"/>
      <c r="N72" s="164"/>
      <c r="O72" s="164"/>
      <c r="P72" s="164"/>
      <c r="Q72" s="164"/>
      <c r="R72" s="164"/>
      <c r="S72" s="168"/>
      <c r="T72" s="265"/>
      <c r="U72" s="164"/>
      <c r="V72" s="164"/>
      <c r="W72" s="164"/>
      <c r="X72" s="164"/>
      <c r="Y72" s="164"/>
      <c r="Z72" s="164"/>
      <c r="AA72" s="167"/>
      <c r="AB72" s="167"/>
      <c r="AC72" s="164"/>
      <c r="AD72" s="164"/>
      <c r="AE72" s="164"/>
      <c r="AF72" s="164"/>
      <c r="AG72" s="164"/>
      <c r="AH72" s="164"/>
      <c r="AI72" s="167"/>
      <c r="AJ72" s="167"/>
      <c r="AK72" s="164"/>
      <c r="AL72" s="164"/>
      <c r="AM72" s="164"/>
      <c r="AN72" s="164"/>
      <c r="AO72" s="164"/>
      <c r="AP72" s="164"/>
      <c r="AQ72" s="167"/>
      <c r="AR72" s="167"/>
      <c r="AS72" s="164"/>
      <c r="AT72" s="164"/>
      <c r="AU72" s="164"/>
      <c r="AV72" s="164"/>
      <c r="AW72" s="164"/>
      <c r="AX72" s="164"/>
      <c r="AY72" s="167"/>
      <c r="AZ72" s="167"/>
      <c r="BA72" s="164"/>
      <c r="BB72" s="164"/>
      <c r="BC72" s="164"/>
      <c r="BD72" s="164"/>
      <c r="BE72" s="164"/>
      <c r="BF72" s="164"/>
      <c r="BG72" s="167"/>
      <c r="BH72" s="167"/>
      <c r="BI72" s="164"/>
      <c r="BJ72" s="164"/>
      <c r="BK72" s="164"/>
      <c r="BL72" s="164"/>
      <c r="BM72" s="164"/>
      <c r="BN72" s="164"/>
      <c r="BO72" s="167"/>
      <c r="BP72" s="167"/>
      <c r="BQ72" s="164"/>
      <c r="BR72" s="164"/>
      <c r="BS72" s="164"/>
      <c r="BT72" s="164"/>
      <c r="BU72" s="164"/>
      <c r="BV72" s="164"/>
      <c r="BW72" s="167"/>
      <c r="BX72" s="167"/>
      <c r="BY72" s="164"/>
      <c r="BZ72" s="164"/>
      <c r="CA72" s="164"/>
      <c r="CB72" s="164"/>
      <c r="CC72" s="164"/>
      <c r="CD72" s="164"/>
      <c r="CE72" s="167"/>
      <c r="CF72" s="167"/>
      <c r="CG72" s="164"/>
      <c r="CH72" s="164"/>
      <c r="CI72" s="164"/>
      <c r="CJ72" s="164"/>
      <c r="CK72" s="164"/>
      <c r="CL72" s="164"/>
      <c r="CM72" s="167"/>
      <c r="CN72" s="167"/>
      <c r="CO72" s="164"/>
      <c r="CP72" s="164"/>
      <c r="CQ72" s="164"/>
      <c r="CR72" s="164"/>
      <c r="CS72" s="164"/>
      <c r="CT72" s="164"/>
      <c r="CU72" s="167"/>
      <c r="CV72" s="167"/>
      <c r="CW72" s="164"/>
      <c r="CX72" s="164"/>
      <c r="CY72" s="164"/>
      <c r="CZ72" s="164"/>
      <c r="DA72" s="164"/>
      <c r="DB72" s="164"/>
    </row>
    <row r="73" spans="1:106" x14ac:dyDescent="0.2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8"/>
      <c r="L73" s="168"/>
      <c r="M73" s="166"/>
      <c r="N73" s="164"/>
      <c r="O73" s="164"/>
      <c r="P73" s="164"/>
      <c r="Q73" s="164"/>
      <c r="R73" s="164"/>
      <c r="S73" s="168"/>
      <c r="T73" s="265"/>
      <c r="U73" s="164"/>
      <c r="V73" s="164"/>
      <c r="W73" s="164"/>
      <c r="X73" s="164"/>
      <c r="Y73" s="164"/>
      <c r="Z73" s="164"/>
      <c r="AA73" s="167"/>
      <c r="AB73" s="167"/>
      <c r="AC73" s="164"/>
      <c r="AD73" s="164"/>
      <c r="AE73" s="164"/>
      <c r="AF73" s="164"/>
      <c r="AG73" s="164"/>
      <c r="AH73" s="164"/>
      <c r="AI73" s="167"/>
      <c r="AJ73" s="167"/>
      <c r="AK73" s="164"/>
      <c r="AL73" s="164"/>
      <c r="AM73" s="164"/>
      <c r="AN73" s="164"/>
      <c r="AO73" s="164"/>
      <c r="AP73" s="164"/>
      <c r="AQ73" s="167"/>
      <c r="AR73" s="167"/>
      <c r="AS73" s="164"/>
      <c r="AT73" s="164"/>
      <c r="AU73" s="164"/>
      <c r="AV73" s="164"/>
      <c r="AW73" s="164"/>
      <c r="AX73" s="164"/>
      <c r="AY73" s="167"/>
      <c r="AZ73" s="167"/>
      <c r="BA73" s="164"/>
      <c r="BB73" s="164"/>
      <c r="BC73" s="164"/>
      <c r="BD73" s="164"/>
      <c r="BE73" s="164"/>
      <c r="BF73" s="164"/>
      <c r="BG73" s="167"/>
      <c r="BH73" s="167"/>
      <c r="BI73" s="164"/>
      <c r="BJ73" s="164"/>
      <c r="BK73" s="164"/>
      <c r="BL73" s="164"/>
      <c r="BM73" s="164"/>
      <c r="BN73" s="164"/>
      <c r="BO73" s="167"/>
      <c r="BP73" s="167"/>
      <c r="BQ73" s="164"/>
      <c r="BR73" s="164"/>
      <c r="BS73" s="164"/>
      <c r="BT73" s="164"/>
      <c r="BU73" s="164"/>
      <c r="BV73" s="164"/>
      <c r="BW73" s="167"/>
      <c r="BX73" s="167"/>
      <c r="BY73" s="164"/>
      <c r="BZ73" s="164"/>
      <c r="CA73" s="164"/>
      <c r="CB73" s="164"/>
      <c r="CC73" s="164"/>
      <c r="CD73" s="164"/>
      <c r="CE73" s="167"/>
      <c r="CF73" s="167"/>
      <c r="CG73" s="164"/>
      <c r="CH73" s="164"/>
      <c r="CI73" s="164"/>
      <c r="CJ73" s="164"/>
      <c r="CK73" s="164"/>
      <c r="CL73" s="164"/>
      <c r="CM73" s="167"/>
      <c r="CN73" s="167"/>
      <c r="CO73" s="164"/>
      <c r="CP73" s="164"/>
      <c r="CQ73" s="164"/>
      <c r="CR73" s="164"/>
      <c r="CS73" s="164"/>
      <c r="CT73" s="164"/>
      <c r="CU73" s="167"/>
      <c r="CV73" s="167"/>
      <c r="CW73" s="164"/>
      <c r="CX73" s="164"/>
      <c r="CY73" s="164"/>
      <c r="CZ73" s="164"/>
      <c r="DA73" s="164"/>
      <c r="DB73" s="164"/>
    </row>
    <row r="74" spans="1:106" x14ac:dyDescent="0.2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8"/>
      <c r="L74" s="168"/>
      <c r="M74" s="166"/>
      <c r="N74" s="164"/>
      <c r="O74" s="164"/>
      <c r="P74" s="164"/>
      <c r="Q74" s="164"/>
      <c r="R74" s="164"/>
      <c r="S74" s="168"/>
      <c r="T74" s="265"/>
      <c r="U74" s="164"/>
      <c r="V74" s="164"/>
      <c r="W74" s="164"/>
      <c r="X74" s="164"/>
      <c r="Y74" s="164"/>
      <c r="Z74" s="164"/>
      <c r="AA74" s="167"/>
      <c r="AB74" s="167"/>
      <c r="AC74" s="164"/>
      <c r="AD74" s="164"/>
      <c r="AE74" s="164"/>
      <c r="AF74" s="164"/>
      <c r="AG74" s="164"/>
      <c r="AH74" s="164"/>
      <c r="AI74" s="167"/>
      <c r="AJ74" s="167"/>
      <c r="AK74" s="164"/>
      <c r="AL74" s="164"/>
      <c r="AM74" s="164"/>
      <c r="AN74" s="164"/>
      <c r="AO74" s="164"/>
      <c r="AP74" s="164"/>
      <c r="AQ74" s="167"/>
      <c r="AR74" s="167"/>
      <c r="AS74" s="164"/>
      <c r="AT74" s="164"/>
      <c r="AU74" s="164"/>
      <c r="AV74" s="164"/>
      <c r="AW74" s="164"/>
      <c r="AX74" s="164"/>
      <c r="AY74" s="167"/>
      <c r="AZ74" s="167"/>
      <c r="BA74" s="164"/>
      <c r="BB74" s="164"/>
      <c r="BC74" s="164"/>
      <c r="BD74" s="164"/>
      <c r="BE74" s="164"/>
      <c r="BF74" s="164"/>
      <c r="BG74" s="167"/>
      <c r="BH74" s="167"/>
      <c r="BI74" s="164"/>
      <c r="BJ74" s="164"/>
      <c r="BK74" s="164"/>
      <c r="BL74" s="164"/>
      <c r="BM74" s="164"/>
      <c r="BN74" s="164"/>
      <c r="BO74" s="167"/>
      <c r="BP74" s="167"/>
      <c r="BQ74" s="164"/>
      <c r="BR74" s="164"/>
      <c r="BS74" s="164"/>
      <c r="BT74" s="164"/>
      <c r="BU74" s="164"/>
      <c r="BV74" s="164"/>
      <c r="BW74" s="167"/>
      <c r="BX74" s="167"/>
      <c r="BY74" s="164"/>
      <c r="BZ74" s="164"/>
      <c r="CA74" s="164"/>
      <c r="CB74" s="164"/>
      <c r="CC74" s="164"/>
      <c r="CD74" s="164"/>
      <c r="CE74" s="167"/>
      <c r="CF74" s="167"/>
      <c r="CG74" s="164"/>
      <c r="CH74" s="164"/>
      <c r="CI74" s="164"/>
      <c r="CJ74" s="164"/>
      <c r="CK74" s="164"/>
      <c r="CL74" s="164"/>
      <c r="CM74" s="167"/>
      <c r="CN74" s="167"/>
      <c r="CO74" s="164"/>
      <c r="CP74" s="164"/>
      <c r="CQ74" s="164"/>
      <c r="CR74" s="164"/>
      <c r="CS74" s="164"/>
      <c r="CT74" s="164"/>
      <c r="CU74" s="167"/>
      <c r="CV74" s="167"/>
      <c r="CW74" s="164"/>
      <c r="CX74" s="164"/>
      <c r="CY74" s="164"/>
      <c r="CZ74" s="164"/>
      <c r="DA74" s="164"/>
      <c r="DB74" s="164"/>
    </row>
    <row r="75" spans="1:106" x14ac:dyDescent="0.2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8"/>
      <c r="L75" s="168"/>
      <c r="M75" s="166"/>
      <c r="N75" s="164"/>
      <c r="O75" s="164"/>
      <c r="P75" s="164"/>
      <c r="Q75" s="164"/>
      <c r="R75" s="164"/>
      <c r="S75" s="168"/>
      <c r="T75" s="265"/>
      <c r="U75" s="164"/>
      <c r="V75" s="164"/>
      <c r="W75" s="164"/>
      <c r="X75" s="164"/>
      <c r="Y75" s="164"/>
      <c r="Z75" s="164"/>
      <c r="AA75" s="167"/>
      <c r="AB75" s="167"/>
      <c r="AC75" s="164"/>
      <c r="AD75" s="164"/>
      <c r="AE75" s="164"/>
      <c r="AF75" s="164"/>
      <c r="AG75" s="164"/>
      <c r="AH75" s="164"/>
      <c r="AI75" s="167"/>
      <c r="AJ75" s="167"/>
      <c r="AK75" s="164"/>
      <c r="AL75" s="164"/>
      <c r="AM75" s="164"/>
      <c r="AN75" s="164"/>
      <c r="AO75" s="164"/>
      <c r="AP75" s="164"/>
      <c r="AQ75" s="167"/>
      <c r="AR75" s="167"/>
      <c r="AS75" s="164"/>
      <c r="AT75" s="164"/>
      <c r="AU75" s="164"/>
      <c r="AV75" s="164"/>
      <c r="AW75" s="164"/>
      <c r="AX75" s="164"/>
      <c r="AY75" s="167"/>
      <c r="AZ75" s="167"/>
      <c r="BA75" s="164"/>
      <c r="BB75" s="164"/>
      <c r="BC75" s="164"/>
      <c r="BD75" s="164"/>
      <c r="BE75" s="164"/>
      <c r="BF75" s="164"/>
      <c r="BG75" s="167"/>
      <c r="BH75" s="167"/>
      <c r="BI75" s="164"/>
      <c r="BJ75" s="164"/>
      <c r="BK75" s="164"/>
      <c r="BL75" s="164"/>
      <c r="BM75" s="164"/>
      <c r="BN75" s="164"/>
      <c r="BO75" s="167"/>
      <c r="BP75" s="167"/>
      <c r="BQ75" s="164"/>
      <c r="BR75" s="164"/>
      <c r="BS75" s="164"/>
      <c r="BT75" s="164"/>
      <c r="BU75" s="164"/>
      <c r="BV75" s="164"/>
      <c r="BW75" s="167"/>
      <c r="BX75" s="167"/>
      <c r="BY75" s="164"/>
      <c r="BZ75" s="164"/>
      <c r="CA75" s="164"/>
      <c r="CB75" s="164"/>
      <c r="CC75" s="164"/>
      <c r="CD75" s="164"/>
      <c r="CE75" s="167"/>
      <c r="CF75" s="167"/>
      <c r="CG75" s="164"/>
      <c r="CH75" s="164"/>
      <c r="CI75" s="164"/>
      <c r="CJ75" s="164"/>
      <c r="CK75" s="164"/>
      <c r="CL75" s="164"/>
      <c r="CM75" s="167"/>
      <c r="CN75" s="167"/>
      <c r="CO75" s="164"/>
      <c r="CP75" s="164"/>
      <c r="CQ75" s="164"/>
      <c r="CR75" s="164"/>
      <c r="CS75" s="164"/>
      <c r="CT75" s="164"/>
      <c r="CU75" s="167"/>
      <c r="CV75" s="167"/>
      <c r="CW75" s="164"/>
      <c r="CX75" s="164"/>
      <c r="CY75" s="164"/>
      <c r="CZ75" s="164"/>
      <c r="DA75" s="164"/>
      <c r="DB75" s="164"/>
    </row>
    <row r="76" spans="1:106" x14ac:dyDescent="0.2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8"/>
      <c r="L76" s="168"/>
      <c r="M76" s="166"/>
      <c r="N76" s="164"/>
      <c r="O76" s="164"/>
      <c r="P76" s="164"/>
      <c r="Q76" s="164"/>
      <c r="R76" s="164"/>
      <c r="S76" s="168"/>
      <c r="T76" s="265"/>
      <c r="U76" s="164"/>
      <c r="V76" s="164"/>
      <c r="W76" s="164"/>
      <c r="X76" s="164"/>
      <c r="Y76" s="164"/>
      <c r="Z76" s="164"/>
      <c r="AA76" s="167"/>
      <c r="AB76" s="167"/>
      <c r="AC76" s="164"/>
      <c r="AD76" s="164"/>
      <c r="AE76" s="164"/>
      <c r="AF76" s="164"/>
      <c r="AG76" s="164"/>
      <c r="AH76" s="164"/>
      <c r="AI76" s="167"/>
      <c r="AJ76" s="167"/>
      <c r="AK76" s="164"/>
      <c r="AL76" s="164"/>
      <c r="AM76" s="164"/>
      <c r="AN76" s="164"/>
      <c r="AO76" s="164"/>
      <c r="AP76" s="164"/>
      <c r="AQ76" s="167"/>
      <c r="AR76" s="167"/>
      <c r="AS76" s="164"/>
      <c r="AT76" s="164"/>
      <c r="AU76" s="164"/>
      <c r="AV76" s="164"/>
      <c r="AW76" s="164"/>
      <c r="AX76" s="164"/>
      <c r="AY76" s="167"/>
      <c r="AZ76" s="167"/>
      <c r="BA76" s="164"/>
      <c r="BB76" s="164"/>
      <c r="BC76" s="164"/>
      <c r="BD76" s="164"/>
      <c r="BE76" s="164"/>
      <c r="BF76" s="164"/>
      <c r="BG76" s="167"/>
      <c r="BH76" s="167"/>
      <c r="BI76" s="164"/>
      <c r="BJ76" s="164"/>
      <c r="BK76" s="164"/>
      <c r="BL76" s="164"/>
      <c r="BM76" s="164"/>
      <c r="BN76" s="164"/>
      <c r="BO76" s="167"/>
      <c r="BP76" s="167"/>
      <c r="BQ76" s="164"/>
      <c r="BR76" s="164"/>
      <c r="BS76" s="164"/>
      <c r="BT76" s="164"/>
      <c r="BU76" s="164"/>
      <c r="BV76" s="164"/>
      <c r="BW76" s="167"/>
      <c r="BX76" s="167"/>
      <c r="BY76" s="164"/>
      <c r="BZ76" s="164"/>
      <c r="CA76" s="164"/>
      <c r="CB76" s="164"/>
      <c r="CC76" s="164"/>
      <c r="CD76" s="164"/>
      <c r="CE76" s="167"/>
      <c r="CF76" s="167"/>
      <c r="CG76" s="164"/>
      <c r="CH76" s="164"/>
      <c r="CI76" s="164"/>
      <c r="CJ76" s="164"/>
      <c r="CK76" s="164"/>
      <c r="CL76" s="164"/>
      <c r="CM76" s="167"/>
      <c r="CN76" s="167"/>
      <c r="CO76" s="164"/>
      <c r="CP76" s="164"/>
      <c r="CQ76" s="164"/>
      <c r="CR76" s="164"/>
      <c r="CS76" s="164"/>
      <c r="CT76" s="164"/>
      <c r="CU76" s="167"/>
      <c r="CV76" s="167"/>
      <c r="CW76" s="164"/>
      <c r="CX76" s="164"/>
      <c r="CY76" s="164"/>
      <c r="CZ76" s="164"/>
      <c r="DA76" s="164"/>
      <c r="DB76" s="164"/>
    </row>
    <row r="77" spans="1:106" x14ac:dyDescent="0.2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8"/>
      <c r="L77" s="168"/>
      <c r="M77" s="166"/>
      <c r="N77" s="164"/>
      <c r="O77" s="164"/>
      <c r="P77" s="164"/>
      <c r="Q77" s="164"/>
      <c r="R77" s="164"/>
      <c r="S77" s="168"/>
      <c r="T77" s="265"/>
      <c r="U77" s="164"/>
      <c r="V77" s="164"/>
      <c r="W77" s="164"/>
      <c r="X77" s="164"/>
      <c r="Y77" s="164"/>
      <c r="Z77" s="164"/>
      <c r="AA77" s="167"/>
      <c r="AB77" s="167"/>
      <c r="AC77" s="164"/>
      <c r="AD77" s="164"/>
      <c r="AE77" s="164"/>
      <c r="AF77" s="164"/>
      <c r="AG77" s="164"/>
      <c r="AH77" s="164"/>
      <c r="AI77" s="167"/>
      <c r="AJ77" s="167"/>
      <c r="AK77" s="164"/>
      <c r="AL77" s="164"/>
      <c r="AM77" s="164"/>
      <c r="AN77" s="164"/>
      <c r="AO77" s="164"/>
      <c r="AP77" s="164"/>
      <c r="AQ77" s="167"/>
      <c r="AR77" s="167"/>
      <c r="AS77" s="164"/>
      <c r="AT77" s="164"/>
      <c r="AU77" s="164"/>
      <c r="AV77" s="164"/>
      <c r="AW77" s="164"/>
      <c r="AX77" s="164"/>
      <c r="AY77" s="167"/>
      <c r="AZ77" s="167"/>
      <c r="BA77" s="164"/>
      <c r="BB77" s="164"/>
      <c r="BC77" s="164"/>
      <c r="BD77" s="164"/>
      <c r="BE77" s="164"/>
      <c r="BF77" s="164"/>
      <c r="BG77" s="167"/>
      <c r="BH77" s="167"/>
      <c r="BI77" s="164"/>
      <c r="BJ77" s="164"/>
      <c r="BK77" s="164"/>
      <c r="BL77" s="164"/>
      <c r="BM77" s="164"/>
      <c r="BN77" s="164"/>
      <c r="BO77" s="167"/>
      <c r="BP77" s="167"/>
      <c r="BQ77" s="164"/>
      <c r="BR77" s="164"/>
      <c r="BS77" s="164"/>
      <c r="BT77" s="164"/>
      <c r="BU77" s="164"/>
      <c r="BV77" s="164"/>
      <c r="BW77" s="167"/>
      <c r="BX77" s="167"/>
      <c r="BY77" s="164"/>
      <c r="BZ77" s="164"/>
      <c r="CA77" s="164"/>
      <c r="CB77" s="164"/>
      <c r="CC77" s="164"/>
      <c r="CD77" s="164"/>
      <c r="CE77" s="167"/>
      <c r="CF77" s="167"/>
      <c r="CG77" s="164"/>
      <c r="CH77" s="164"/>
      <c r="CI77" s="164"/>
      <c r="CJ77" s="164"/>
      <c r="CK77" s="164"/>
      <c r="CL77" s="164"/>
      <c r="CM77" s="167"/>
      <c r="CN77" s="167"/>
      <c r="CO77" s="164"/>
      <c r="CP77" s="164"/>
      <c r="CQ77" s="164"/>
      <c r="CR77" s="164"/>
      <c r="CS77" s="164"/>
      <c r="CT77" s="164"/>
      <c r="CU77" s="167"/>
      <c r="CV77" s="167"/>
      <c r="CW77" s="164"/>
      <c r="CX77" s="164"/>
      <c r="CY77" s="164"/>
      <c r="CZ77" s="164"/>
      <c r="DA77" s="164"/>
      <c r="DB77" s="164"/>
    </row>
    <row r="78" spans="1:106" x14ac:dyDescent="0.2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8"/>
      <c r="L78" s="168"/>
      <c r="M78" s="166"/>
      <c r="N78" s="164"/>
      <c r="O78" s="164"/>
      <c r="P78" s="164"/>
      <c r="Q78" s="164"/>
      <c r="R78" s="164"/>
      <c r="S78" s="168"/>
      <c r="T78" s="265"/>
      <c r="U78" s="164"/>
      <c r="V78" s="164"/>
      <c r="W78" s="164"/>
      <c r="X78" s="164"/>
      <c r="Y78" s="164"/>
      <c r="Z78" s="164"/>
      <c r="AA78" s="167"/>
      <c r="AB78" s="167"/>
      <c r="AC78" s="164"/>
      <c r="AD78" s="164"/>
      <c r="AE78" s="164"/>
      <c r="AF78" s="164"/>
      <c r="AG78" s="164"/>
      <c r="AH78" s="164"/>
      <c r="AI78" s="167"/>
      <c r="AJ78" s="167"/>
      <c r="AK78" s="164"/>
      <c r="AL78" s="164"/>
      <c r="AM78" s="164"/>
      <c r="AN78" s="164"/>
      <c r="AO78" s="164"/>
      <c r="AP78" s="164"/>
      <c r="AQ78" s="167"/>
      <c r="AR78" s="167"/>
      <c r="AS78" s="164"/>
      <c r="AT78" s="164"/>
      <c r="AU78" s="164"/>
      <c r="AV78" s="164"/>
      <c r="AW78" s="164"/>
      <c r="AX78" s="164"/>
      <c r="AY78" s="167"/>
      <c r="AZ78" s="167"/>
      <c r="BA78" s="164"/>
      <c r="BB78" s="164"/>
      <c r="BC78" s="164"/>
      <c r="BD78" s="164"/>
      <c r="BE78" s="164"/>
      <c r="BF78" s="164"/>
      <c r="BG78" s="167"/>
      <c r="BH78" s="167"/>
      <c r="BI78" s="164"/>
      <c r="BJ78" s="164"/>
      <c r="BK78" s="164"/>
      <c r="BL78" s="164"/>
      <c r="BM78" s="164"/>
      <c r="BN78" s="164"/>
      <c r="BO78" s="167"/>
      <c r="BP78" s="167"/>
      <c r="BQ78" s="164"/>
      <c r="BR78" s="164"/>
      <c r="BS78" s="164"/>
      <c r="BT78" s="164"/>
      <c r="BU78" s="164"/>
      <c r="BV78" s="164"/>
      <c r="BW78" s="167"/>
      <c r="BX78" s="167"/>
      <c r="BY78" s="164"/>
      <c r="BZ78" s="164"/>
      <c r="CA78" s="164"/>
      <c r="CB78" s="164"/>
      <c r="CC78" s="164"/>
      <c r="CD78" s="164"/>
      <c r="CE78" s="167"/>
      <c r="CF78" s="167"/>
      <c r="CG78" s="164"/>
      <c r="CH78" s="164"/>
      <c r="CI78" s="164"/>
      <c r="CJ78" s="164"/>
      <c r="CK78" s="164"/>
      <c r="CL78" s="164"/>
      <c r="CM78" s="167"/>
      <c r="CN78" s="167"/>
      <c r="CO78" s="164"/>
      <c r="CP78" s="164"/>
      <c r="CQ78" s="164"/>
      <c r="CR78" s="164"/>
      <c r="CS78" s="164"/>
      <c r="CT78" s="164"/>
      <c r="CU78" s="167"/>
      <c r="CV78" s="167"/>
      <c r="CW78" s="164"/>
      <c r="CX78" s="164"/>
      <c r="CY78" s="164"/>
      <c r="CZ78" s="164"/>
      <c r="DA78" s="164"/>
      <c r="DB78" s="164"/>
    </row>
    <row r="79" spans="1:106" x14ac:dyDescent="0.2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8"/>
      <c r="L79" s="168"/>
      <c r="M79" s="166"/>
      <c r="N79" s="164"/>
      <c r="O79" s="164"/>
      <c r="P79" s="164"/>
      <c r="Q79" s="164"/>
      <c r="R79" s="164"/>
      <c r="S79" s="168"/>
      <c r="T79" s="265"/>
      <c r="U79" s="164"/>
      <c r="V79" s="164"/>
      <c r="W79" s="164"/>
      <c r="X79" s="164"/>
      <c r="Y79" s="164"/>
      <c r="Z79" s="164"/>
      <c r="AA79" s="167"/>
      <c r="AB79" s="167"/>
      <c r="AC79" s="164"/>
      <c r="AD79" s="164"/>
      <c r="AE79" s="164"/>
      <c r="AF79" s="164"/>
      <c r="AG79" s="164"/>
      <c r="AH79" s="164"/>
      <c r="AI79" s="167"/>
      <c r="AJ79" s="167"/>
      <c r="AK79" s="164"/>
      <c r="AL79" s="164"/>
      <c r="AM79" s="164"/>
      <c r="AN79" s="164"/>
      <c r="AO79" s="164"/>
      <c r="AP79" s="164"/>
      <c r="AQ79" s="167"/>
      <c r="AR79" s="167"/>
      <c r="AS79" s="164"/>
      <c r="AT79" s="164"/>
      <c r="AU79" s="164"/>
      <c r="AV79" s="164"/>
      <c r="AW79" s="164"/>
      <c r="AX79" s="164"/>
      <c r="AY79" s="167"/>
      <c r="AZ79" s="167"/>
      <c r="BA79" s="164"/>
      <c r="BB79" s="164"/>
      <c r="BC79" s="164"/>
      <c r="BD79" s="164"/>
      <c r="BE79" s="164"/>
      <c r="BF79" s="164"/>
      <c r="BG79" s="167"/>
      <c r="BH79" s="167"/>
      <c r="BI79" s="164"/>
      <c r="BJ79" s="164"/>
      <c r="BK79" s="164"/>
      <c r="BL79" s="164"/>
      <c r="BM79" s="164"/>
      <c r="BN79" s="164"/>
      <c r="BO79" s="167"/>
      <c r="BP79" s="167"/>
      <c r="BQ79" s="164"/>
      <c r="BR79" s="164"/>
      <c r="BS79" s="164"/>
      <c r="BT79" s="164"/>
      <c r="BU79" s="164"/>
      <c r="BV79" s="164"/>
      <c r="BW79" s="167"/>
      <c r="BX79" s="167"/>
      <c r="BY79" s="164"/>
      <c r="BZ79" s="164"/>
      <c r="CA79" s="164"/>
      <c r="CB79" s="164"/>
      <c r="CC79" s="164"/>
      <c r="CD79" s="164"/>
      <c r="CE79" s="167"/>
      <c r="CF79" s="167"/>
      <c r="CG79" s="164"/>
      <c r="CH79" s="164"/>
      <c r="CI79" s="164"/>
      <c r="CJ79" s="164"/>
      <c r="CK79" s="164"/>
      <c r="CL79" s="164"/>
      <c r="CM79" s="167"/>
      <c r="CN79" s="167"/>
      <c r="CO79" s="164"/>
      <c r="CP79" s="164"/>
      <c r="CQ79" s="164"/>
      <c r="CR79" s="164"/>
      <c r="CS79" s="164"/>
      <c r="CT79" s="164"/>
      <c r="CU79" s="167"/>
      <c r="CV79" s="167"/>
      <c r="CW79" s="164"/>
      <c r="CX79" s="164"/>
      <c r="CY79" s="164"/>
      <c r="CZ79" s="164"/>
      <c r="DA79" s="164"/>
      <c r="DB79" s="164"/>
    </row>
    <row r="80" spans="1:106" x14ac:dyDescent="0.2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8"/>
      <c r="L80" s="168"/>
      <c r="M80" s="166"/>
      <c r="N80" s="164"/>
      <c r="O80" s="164"/>
      <c r="P80" s="164"/>
      <c r="Q80" s="164"/>
      <c r="R80" s="164"/>
      <c r="S80" s="168"/>
      <c r="T80" s="265"/>
      <c r="U80" s="164"/>
      <c r="V80" s="164"/>
      <c r="W80" s="164"/>
      <c r="X80" s="164"/>
      <c r="Y80" s="164"/>
      <c r="Z80" s="164"/>
      <c r="AA80" s="167"/>
      <c r="AB80" s="167"/>
      <c r="AC80" s="164"/>
      <c r="AD80" s="164"/>
      <c r="AE80" s="164"/>
      <c r="AF80" s="164"/>
      <c r="AG80" s="164"/>
      <c r="AH80" s="164"/>
      <c r="AI80" s="167"/>
      <c r="AJ80" s="167"/>
      <c r="AK80" s="164"/>
      <c r="AL80" s="164"/>
      <c r="AM80" s="164"/>
      <c r="AN80" s="164"/>
      <c r="AO80" s="164"/>
      <c r="AP80" s="164"/>
      <c r="AQ80" s="167"/>
      <c r="AR80" s="167"/>
      <c r="AS80" s="164"/>
      <c r="AT80" s="164"/>
      <c r="AU80" s="164"/>
      <c r="AV80" s="164"/>
      <c r="AW80" s="164"/>
      <c r="AX80" s="164"/>
      <c r="AY80" s="167"/>
      <c r="AZ80" s="167"/>
      <c r="BA80" s="164"/>
      <c r="BB80" s="164"/>
      <c r="BC80" s="164"/>
      <c r="BD80" s="164"/>
      <c r="BE80" s="164"/>
      <c r="BF80" s="164"/>
      <c r="BG80" s="167"/>
      <c r="BH80" s="167"/>
      <c r="BI80" s="164"/>
      <c r="BJ80" s="164"/>
      <c r="BK80" s="164"/>
      <c r="BL80" s="164"/>
      <c r="BM80" s="164"/>
      <c r="BN80" s="164"/>
      <c r="BO80" s="167"/>
      <c r="BP80" s="167"/>
      <c r="BQ80" s="164"/>
      <c r="BR80" s="164"/>
      <c r="BS80" s="164"/>
      <c r="BT80" s="164"/>
      <c r="BU80" s="164"/>
      <c r="BV80" s="164"/>
      <c r="BW80" s="167"/>
      <c r="BX80" s="167"/>
      <c r="BY80" s="164"/>
      <c r="BZ80" s="164"/>
      <c r="CA80" s="164"/>
      <c r="CB80" s="164"/>
      <c r="CC80" s="164"/>
      <c r="CD80" s="164"/>
      <c r="CE80" s="167"/>
      <c r="CF80" s="167"/>
      <c r="CG80" s="164"/>
      <c r="CH80" s="164"/>
      <c r="CI80" s="164"/>
      <c r="CJ80" s="164"/>
      <c r="CK80" s="164"/>
      <c r="CL80" s="164"/>
      <c r="CM80" s="167"/>
      <c r="CN80" s="167"/>
      <c r="CO80" s="164"/>
      <c r="CP80" s="164"/>
      <c r="CQ80" s="164"/>
      <c r="CR80" s="164"/>
      <c r="CS80" s="164"/>
      <c r="CT80" s="164"/>
      <c r="CU80" s="167"/>
      <c r="CV80" s="167"/>
      <c r="CW80" s="164"/>
      <c r="CX80" s="164"/>
      <c r="CY80" s="164"/>
      <c r="CZ80" s="164"/>
      <c r="DA80" s="164"/>
      <c r="DB80" s="164"/>
    </row>
    <row r="81" spans="1:106" x14ac:dyDescent="0.2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6"/>
      <c r="L81" s="168"/>
      <c r="M81" s="166"/>
      <c r="N81" s="164"/>
      <c r="O81" s="164"/>
      <c r="P81" s="164"/>
      <c r="Q81" s="164"/>
      <c r="R81" s="164"/>
      <c r="S81" s="168"/>
      <c r="T81" s="265"/>
      <c r="U81" s="164"/>
      <c r="V81" s="164"/>
      <c r="W81" s="164"/>
      <c r="X81" s="164"/>
      <c r="Y81" s="164"/>
      <c r="Z81" s="164"/>
      <c r="AA81" s="167"/>
      <c r="AB81" s="167"/>
      <c r="AC81" s="164"/>
      <c r="AD81" s="164"/>
      <c r="AE81" s="164"/>
      <c r="AF81" s="164"/>
      <c r="AG81" s="164"/>
      <c r="AH81" s="164"/>
      <c r="AI81" s="167"/>
      <c r="AJ81" s="167"/>
      <c r="AK81" s="164"/>
      <c r="AL81" s="164"/>
      <c r="AM81" s="164"/>
      <c r="AN81" s="164"/>
      <c r="AO81" s="164"/>
      <c r="AP81" s="164"/>
      <c r="AQ81" s="167"/>
      <c r="AR81" s="167"/>
      <c r="AS81" s="164"/>
      <c r="AT81" s="164"/>
      <c r="AU81" s="164"/>
      <c r="AV81" s="164"/>
      <c r="AW81" s="164"/>
      <c r="AX81" s="164"/>
      <c r="AY81" s="167"/>
      <c r="AZ81" s="167"/>
      <c r="BA81" s="164"/>
      <c r="BB81" s="164"/>
      <c r="BC81" s="164"/>
      <c r="BD81" s="164"/>
      <c r="BE81" s="164"/>
      <c r="BF81" s="164"/>
      <c r="BG81" s="167"/>
      <c r="BH81" s="167"/>
      <c r="BI81" s="164"/>
      <c r="BJ81" s="164"/>
      <c r="BK81" s="164"/>
      <c r="BL81" s="164"/>
      <c r="BM81" s="164"/>
      <c r="BN81" s="164"/>
      <c r="BO81" s="167"/>
      <c r="BP81" s="167"/>
      <c r="BQ81" s="164"/>
      <c r="BR81" s="164"/>
      <c r="BS81" s="164"/>
      <c r="BT81" s="164"/>
      <c r="BU81" s="164"/>
      <c r="BV81" s="164"/>
      <c r="BW81" s="167"/>
      <c r="BX81" s="167"/>
      <c r="BY81" s="164"/>
      <c r="BZ81" s="164"/>
      <c r="CA81" s="164"/>
      <c r="CB81" s="164"/>
      <c r="CC81" s="164"/>
      <c r="CD81" s="164"/>
      <c r="CE81" s="167"/>
      <c r="CF81" s="167"/>
      <c r="CG81" s="164"/>
      <c r="CH81" s="164"/>
      <c r="CI81" s="164"/>
      <c r="CJ81" s="164"/>
      <c r="CK81" s="164"/>
      <c r="CL81" s="164"/>
      <c r="CM81" s="167"/>
      <c r="CN81" s="167"/>
      <c r="CO81" s="164"/>
      <c r="CP81" s="164"/>
      <c r="CQ81" s="164"/>
      <c r="CR81" s="164"/>
      <c r="CS81" s="164"/>
      <c r="CT81" s="164"/>
      <c r="CU81" s="167"/>
      <c r="CV81" s="167"/>
      <c r="CW81" s="164"/>
      <c r="CX81" s="164"/>
      <c r="CY81" s="164"/>
      <c r="CZ81" s="164"/>
      <c r="DA81" s="164"/>
      <c r="DB81" s="164"/>
    </row>
    <row r="82" spans="1:106" s="171" customFormat="1" x14ac:dyDescent="0.2">
      <c r="A82" s="169"/>
      <c r="B82" s="169"/>
      <c r="C82" s="263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70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</row>
    <row r="83" spans="1:106" x14ac:dyDescent="0.2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8"/>
      <c r="L83" s="168"/>
      <c r="M83" s="164"/>
      <c r="N83" s="164"/>
      <c r="O83" s="164"/>
      <c r="P83" s="164"/>
      <c r="Q83" s="164"/>
      <c r="R83" s="164"/>
      <c r="S83" s="168"/>
      <c r="T83" s="168"/>
      <c r="U83" s="164"/>
      <c r="V83" s="164"/>
      <c r="W83" s="164"/>
      <c r="X83" s="164"/>
      <c r="Y83" s="164"/>
      <c r="Z83" s="164"/>
      <c r="AA83" s="172"/>
      <c r="AB83" s="172"/>
      <c r="AC83" s="164"/>
      <c r="AD83" s="164"/>
      <c r="AE83" s="164"/>
      <c r="AF83" s="164"/>
      <c r="AG83" s="164"/>
      <c r="AH83" s="164"/>
      <c r="AI83" s="172"/>
      <c r="AJ83" s="172"/>
      <c r="AK83" s="164"/>
      <c r="AL83" s="164"/>
      <c r="AM83" s="164"/>
      <c r="AN83" s="164"/>
      <c r="AO83" s="164"/>
      <c r="AP83" s="164"/>
      <c r="AQ83" s="172"/>
      <c r="AR83" s="172"/>
      <c r="AS83" s="164"/>
      <c r="AT83" s="164"/>
      <c r="AU83" s="164"/>
      <c r="AV83" s="164"/>
      <c r="AW83" s="164"/>
      <c r="AX83" s="164"/>
      <c r="AY83" s="172"/>
      <c r="AZ83" s="172"/>
      <c r="BA83" s="164"/>
      <c r="BB83" s="164"/>
      <c r="BC83" s="164"/>
      <c r="BD83" s="164"/>
      <c r="BE83" s="164"/>
      <c r="BF83" s="164"/>
      <c r="BG83" s="172"/>
      <c r="BH83" s="172"/>
      <c r="BI83" s="164"/>
      <c r="BJ83" s="164"/>
      <c r="BK83" s="164"/>
      <c r="BL83" s="164"/>
      <c r="BM83" s="164"/>
      <c r="BN83" s="164"/>
      <c r="BO83" s="172"/>
      <c r="BP83" s="172"/>
      <c r="BQ83" s="164"/>
      <c r="BR83" s="164"/>
      <c r="BS83" s="164"/>
      <c r="BT83" s="164"/>
      <c r="BU83" s="164"/>
      <c r="BV83" s="164"/>
      <c r="BW83" s="172"/>
      <c r="BX83" s="172"/>
      <c r="BY83" s="164"/>
      <c r="BZ83" s="164"/>
      <c r="CA83" s="164"/>
      <c r="CB83" s="164"/>
      <c r="CC83" s="164"/>
      <c r="CD83" s="164"/>
      <c r="CE83" s="172"/>
      <c r="CF83" s="172"/>
      <c r="CG83" s="164"/>
      <c r="CH83" s="164"/>
      <c r="CI83" s="164"/>
      <c r="CJ83" s="164"/>
      <c r="CK83" s="164"/>
      <c r="CL83" s="164"/>
      <c r="CM83" s="172"/>
      <c r="CN83" s="172"/>
      <c r="CO83" s="164"/>
      <c r="CP83" s="164"/>
      <c r="CQ83" s="164"/>
      <c r="CR83" s="164"/>
      <c r="CS83" s="164"/>
      <c r="CT83" s="164"/>
      <c r="CU83" s="172"/>
      <c r="CV83" s="172"/>
      <c r="CW83" s="164"/>
      <c r="CX83" s="164"/>
      <c r="CY83" s="164"/>
      <c r="CZ83" s="164"/>
      <c r="DA83" s="164"/>
      <c r="DB83" s="164"/>
    </row>
    <row r="84" spans="1:106" x14ac:dyDescent="0.2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8"/>
      <c r="L84" s="168"/>
      <c r="M84" s="164"/>
      <c r="N84" s="164"/>
      <c r="O84" s="164"/>
      <c r="P84" s="164"/>
      <c r="Q84" s="164"/>
      <c r="R84" s="164"/>
      <c r="S84" s="168"/>
      <c r="T84" s="168"/>
      <c r="U84" s="164"/>
      <c r="V84" s="164"/>
      <c r="W84" s="164"/>
      <c r="X84" s="164"/>
      <c r="Y84" s="164"/>
      <c r="Z84" s="164"/>
      <c r="AA84" s="172"/>
      <c r="AB84" s="172"/>
      <c r="AC84" s="164"/>
      <c r="AD84" s="164"/>
      <c r="AE84" s="164"/>
      <c r="AF84" s="164"/>
      <c r="AG84" s="164"/>
      <c r="AH84" s="164"/>
      <c r="AI84" s="172"/>
      <c r="AJ84" s="172"/>
      <c r="AK84" s="164"/>
      <c r="AL84" s="164"/>
      <c r="AM84" s="164"/>
      <c r="AN84" s="164"/>
      <c r="AO84" s="164"/>
      <c r="AP84" s="164"/>
      <c r="AQ84" s="172"/>
      <c r="AR84" s="172"/>
      <c r="AS84" s="164"/>
      <c r="AT84" s="164"/>
      <c r="AU84" s="164"/>
      <c r="AV84" s="164"/>
      <c r="AW84" s="164"/>
      <c r="AX84" s="164"/>
      <c r="AY84" s="172"/>
      <c r="AZ84" s="172"/>
      <c r="BA84" s="164"/>
      <c r="BB84" s="164"/>
      <c r="BC84" s="164"/>
      <c r="BD84" s="164"/>
      <c r="BE84" s="164"/>
      <c r="BF84" s="164"/>
      <c r="BG84" s="172"/>
      <c r="BH84" s="172"/>
      <c r="BI84" s="164"/>
      <c r="BJ84" s="164"/>
      <c r="BK84" s="164"/>
      <c r="BL84" s="164"/>
      <c r="BM84" s="164"/>
      <c r="BN84" s="164"/>
      <c r="BO84" s="172"/>
      <c r="BP84" s="172"/>
      <c r="BQ84" s="164"/>
      <c r="BR84" s="164"/>
      <c r="BS84" s="164"/>
      <c r="BT84" s="164"/>
      <c r="BU84" s="164"/>
      <c r="BV84" s="164"/>
      <c r="BW84" s="172"/>
      <c r="BX84" s="172"/>
      <c r="BY84" s="164"/>
      <c r="BZ84" s="164"/>
      <c r="CA84" s="164"/>
      <c r="CB84" s="164"/>
      <c r="CC84" s="164"/>
      <c r="CD84" s="164"/>
      <c r="CE84" s="172"/>
      <c r="CF84" s="172"/>
      <c r="CG84" s="164"/>
      <c r="CH84" s="164"/>
      <c r="CI84" s="164"/>
      <c r="CJ84" s="164"/>
      <c r="CK84" s="164"/>
      <c r="CL84" s="164"/>
      <c r="CM84" s="172"/>
      <c r="CN84" s="172"/>
      <c r="CO84" s="164"/>
      <c r="CP84" s="164"/>
      <c r="CQ84" s="164"/>
      <c r="CR84" s="164"/>
      <c r="CS84" s="164"/>
      <c r="CT84" s="164"/>
      <c r="CU84" s="172"/>
      <c r="CV84" s="172"/>
      <c r="CW84" s="164"/>
      <c r="CX84" s="164"/>
      <c r="CY84" s="164"/>
      <c r="CZ84" s="164"/>
      <c r="DA84" s="164"/>
      <c r="DB84" s="164"/>
    </row>
    <row r="85" spans="1:106" x14ac:dyDescent="0.2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8"/>
      <c r="L85" s="168"/>
      <c r="M85" s="164"/>
      <c r="N85" s="164"/>
      <c r="O85" s="164"/>
      <c r="P85" s="164"/>
      <c r="Q85" s="164"/>
      <c r="R85" s="164"/>
      <c r="S85" s="168"/>
      <c r="T85" s="168"/>
      <c r="U85" s="164"/>
      <c r="V85" s="164"/>
      <c r="W85" s="164"/>
      <c r="X85" s="164"/>
      <c r="Y85" s="164"/>
      <c r="Z85" s="164"/>
      <c r="AA85" s="172"/>
      <c r="AB85" s="172"/>
      <c r="AC85" s="164"/>
      <c r="AD85" s="164"/>
      <c r="AE85" s="164"/>
      <c r="AF85" s="164"/>
      <c r="AG85" s="164"/>
      <c r="AH85" s="164"/>
      <c r="AI85" s="172"/>
      <c r="AJ85" s="172"/>
      <c r="AK85" s="164"/>
      <c r="AL85" s="164"/>
      <c r="AM85" s="164"/>
      <c r="AN85" s="164"/>
      <c r="AO85" s="164"/>
      <c r="AP85" s="164"/>
      <c r="AQ85" s="172"/>
      <c r="AR85" s="172"/>
      <c r="AS85" s="164"/>
      <c r="AT85" s="164"/>
      <c r="AU85" s="164"/>
      <c r="AV85" s="164"/>
      <c r="AW85" s="164"/>
      <c r="AX85" s="164"/>
      <c r="AY85" s="172"/>
      <c r="AZ85" s="172"/>
      <c r="BA85" s="164"/>
      <c r="BB85" s="164"/>
      <c r="BC85" s="164"/>
      <c r="BD85" s="164"/>
      <c r="BE85" s="164"/>
      <c r="BF85" s="164"/>
      <c r="BG85" s="172"/>
      <c r="BH85" s="172"/>
      <c r="BI85" s="164"/>
      <c r="BJ85" s="164"/>
      <c r="BK85" s="164"/>
      <c r="BL85" s="164"/>
      <c r="BM85" s="164"/>
      <c r="BN85" s="164"/>
      <c r="BO85" s="172"/>
      <c r="BP85" s="172"/>
      <c r="BQ85" s="164"/>
      <c r="BR85" s="164"/>
      <c r="BS85" s="164"/>
      <c r="BT85" s="164"/>
      <c r="BU85" s="164"/>
      <c r="BV85" s="164"/>
      <c r="BW85" s="172"/>
      <c r="BX85" s="172"/>
      <c r="BY85" s="164"/>
      <c r="BZ85" s="164"/>
      <c r="CA85" s="164"/>
      <c r="CB85" s="164"/>
      <c r="CC85" s="164"/>
      <c r="CD85" s="164"/>
      <c r="CE85" s="172"/>
      <c r="CF85" s="172"/>
      <c r="CG85" s="164"/>
      <c r="CH85" s="164"/>
      <c r="CI85" s="164"/>
      <c r="CJ85" s="164"/>
      <c r="CK85" s="164"/>
      <c r="CL85" s="164"/>
      <c r="CM85" s="172"/>
      <c r="CN85" s="172"/>
      <c r="CO85" s="164"/>
      <c r="CP85" s="164"/>
      <c r="CQ85" s="164"/>
      <c r="CR85" s="164"/>
      <c r="CS85" s="164"/>
      <c r="CT85" s="164"/>
      <c r="CU85" s="172"/>
      <c r="CV85" s="172"/>
      <c r="CW85" s="164"/>
      <c r="CX85" s="164"/>
      <c r="CY85" s="164"/>
      <c r="CZ85" s="164"/>
      <c r="DA85" s="164"/>
      <c r="DB85" s="164"/>
    </row>
    <row r="86" spans="1:106" x14ac:dyDescent="0.2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8"/>
      <c r="L86" s="168"/>
      <c r="M86" s="164"/>
      <c r="N86" s="164"/>
      <c r="O86" s="164"/>
      <c r="P86" s="164"/>
      <c r="Q86" s="164"/>
      <c r="R86" s="164"/>
      <c r="S86" s="168"/>
      <c r="T86" s="168"/>
      <c r="U86" s="164"/>
      <c r="V86" s="164"/>
      <c r="W86" s="164"/>
      <c r="X86" s="164"/>
      <c r="Y86" s="164"/>
      <c r="Z86" s="164"/>
      <c r="AA86" s="172"/>
      <c r="AB86" s="172"/>
      <c r="AC86" s="164"/>
      <c r="AD86" s="164"/>
      <c r="AE86" s="164"/>
      <c r="AF86" s="164"/>
      <c r="AG86" s="164"/>
      <c r="AH86" s="164"/>
      <c r="AI86" s="172"/>
      <c r="AJ86" s="172"/>
      <c r="AK86" s="164"/>
      <c r="AL86" s="164"/>
      <c r="AM86" s="164"/>
      <c r="AN86" s="164"/>
      <c r="AO86" s="164"/>
      <c r="AP86" s="164"/>
      <c r="AQ86" s="172"/>
      <c r="AR86" s="172"/>
      <c r="AS86" s="164"/>
      <c r="AT86" s="164"/>
      <c r="AU86" s="164"/>
      <c r="AV86" s="164"/>
      <c r="AW86" s="164"/>
      <c r="AX86" s="164"/>
      <c r="AY86" s="172"/>
      <c r="AZ86" s="172"/>
      <c r="BA86" s="164"/>
      <c r="BB86" s="164"/>
      <c r="BC86" s="164"/>
      <c r="BD86" s="164"/>
      <c r="BE86" s="164"/>
      <c r="BF86" s="164"/>
      <c r="BG86" s="172"/>
      <c r="BH86" s="172"/>
      <c r="BI86" s="164"/>
      <c r="BJ86" s="164"/>
      <c r="BK86" s="164"/>
      <c r="BL86" s="164"/>
      <c r="BM86" s="164"/>
      <c r="BN86" s="164"/>
      <c r="BO86" s="172"/>
      <c r="BP86" s="172"/>
      <c r="BQ86" s="164"/>
      <c r="BR86" s="164"/>
      <c r="BS86" s="164"/>
      <c r="BT86" s="164"/>
      <c r="BU86" s="164"/>
      <c r="BV86" s="164"/>
      <c r="BW86" s="172"/>
      <c r="BX86" s="172"/>
      <c r="BY86" s="164"/>
      <c r="BZ86" s="164"/>
      <c r="CA86" s="164"/>
      <c r="CB86" s="164"/>
      <c r="CC86" s="164"/>
      <c r="CD86" s="164"/>
      <c r="CE86" s="172"/>
      <c r="CF86" s="172"/>
      <c r="CG86" s="164"/>
      <c r="CH86" s="164"/>
      <c r="CI86" s="164"/>
      <c r="CJ86" s="164"/>
      <c r="CK86" s="164"/>
      <c r="CL86" s="164"/>
      <c r="CM86" s="172"/>
      <c r="CN86" s="172"/>
      <c r="CO86" s="164"/>
      <c r="CP86" s="164"/>
      <c r="CQ86" s="164"/>
      <c r="CR86" s="164"/>
      <c r="CS86" s="164"/>
      <c r="CT86" s="164"/>
      <c r="CU86" s="172"/>
      <c r="CV86" s="172"/>
      <c r="CW86" s="164"/>
      <c r="CX86" s="164"/>
      <c r="CY86" s="164"/>
      <c r="CZ86" s="164"/>
      <c r="DA86" s="164"/>
      <c r="DB86" s="164"/>
    </row>
    <row r="87" spans="1:106" x14ac:dyDescent="0.2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6"/>
      <c r="L87" s="166"/>
      <c r="M87" s="164"/>
      <c r="N87" s="164"/>
      <c r="O87" s="164"/>
      <c r="P87" s="164"/>
      <c r="Q87" s="164"/>
      <c r="R87" s="164"/>
      <c r="S87" s="166"/>
      <c r="T87" s="166"/>
      <c r="U87" s="164"/>
      <c r="V87" s="164"/>
      <c r="W87" s="164"/>
      <c r="X87" s="164"/>
      <c r="Y87" s="164"/>
      <c r="Z87" s="164"/>
      <c r="AA87" s="167"/>
      <c r="AB87" s="172"/>
      <c r="AC87" s="164"/>
      <c r="AD87" s="164"/>
      <c r="AE87" s="164"/>
      <c r="AF87" s="164"/>
      <c r="AG87" s="164"/>
      <c r="AH87" s="164"/>
      <c r="AI87" s="167"/>
      <c r="AJ87" s="172"/>
      <c r="AK87" s="164"/>
      <c r="AL87" s="164"/>
      <c r="AM87" s="164"/>
      <c r="AN87" s="164"/>
      <c r="AO87" s="164"/>
      <c r="AP87" s="164"/>
      <c r="AQ87" s="167"/>
      <c r="AR87" s="172"/>
      <c r="AS87" s="164"/>
      <c r="AT87" s="164"/>
      <c r="AU87" s="164"/>
      <c r="AV87" s="164"/>
      <c r="AW87" s="164"/>
      <c r="AX87" s="164"/>
      <c r="AY87" s="167"/>
      <c r="AZ87" s="172"/>
      <c r="BA87" s="164"/>
      <c r="BB87" s="164"/>
      <c r="BC87" s="164"/>
      <c r="BD87" s="164"/>
      <c r="BE87" s="164"/>
      <c r="BF87" s="164"/>
      <c r="BG87" s="167"/>
      <c r="BH87" s="172"/>
      <c r="BI87" s="164"/>
      <c r="BJ87" s="164"/>
      <c r="BK87" s="164"/>
      <c r="BL87" s="164"/>
      <c r="BM87" s="164"/>
      <c r="BN87" s="164"/>
      <c r="BO87" s="167"/>
      <c r="BP87" s="172"/>
      <c r="BQ87" s="164"/>
      <c r="BR87" s="164"/>
      <c r="BS87" s="164"/>
      <c r="BT87" s="164"/>
      <c r="BU87" s="164"/>
      <c r="BV87" s="164"/>
      <c r="BW87" s="167"/>
      <c r="BX87" s="172"/>
      <c r="BY87" s="164"/>
      <c r="BZ87" s="164"/>
      <c r="CA87" s="164"/>
      <c r="CB87" s="164"/>
      <c r="CC87" s="164"/>
      <c r="CD87" s="164"/>
      <c r="CE87" s="167"/>
      <c r="CF87" s="172"/>
      <c r="CG87" s="164"/>
      <c r="CH87" s="164"/>
      <c r="CI87" s="164"/>
      <c r="CJ87" s="164"/>
      <c r="CK87" s="164"/>
      <c r="CL87" s="164"/>
      <c r="CM87" s="167"/>
      <c r="CN87" s="172"/>
      <c r="CO87" s="164"/>
      <c r="CP87" s="164"/>
      <c r="CQ87" s="164"/>
      <c r="CR87" s="164"/>
      <c r="CS87" s="164"/>
      <c r="CT87" s="164"/>
      <c r="CU87" s="167"/>
      <c r="CV87" s="172"/>
      <c r="CW87" s="164"/>
      <c r="CX87" s="164"/>
      <c r="CY87" s="164"/>
      <c r="CZ87" s="164"/>
      <c r="DA87" s="164"/>
      <c r="DB87" s="164"/>
    </row>
    <row r="88" spans="1:106" x14ac:dyDescent="0.2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6"/>
      <c r="L88" s="166"/>
      <c r="M88" s="164"/>
      <c r="N88" s="164"/>
      <c r="O88" s="164"/>
      <c r="P88" s="164"/>
      <c r="Q88" s="164"/>
      <c r="R88" s="164"/>
      <c r="S88" s="166"/>
      <c r="T88" s="166"/>
      <c r="U88" s="164"/>
      <c r="V88" s="164"/>
      <c r="W88" s="164"/>
      <c r="X88" s="164"/>
      <c r="Y88" s="164"/>
      <c r="Z88" s="164"/>
      <c r="AA88" s="167"/>
      <c r="AB88" s="172"/>
      <c r="AC88" s="164"/>
      <c r="AD88" s="164"/>
      <c r="AE88" s="164"/>
      <c r="AF88" s="164"/>
      <c r="AG88" s="164"/>
      <c r="AH88" s="164"/>
      <c r="AI88" s="167"/>
      <c r="AJ88" s="172"/>
      <c r="AK88" s="164"/>
      <c r="AL88" s="164"/>
      <c r="AM88" s="164"/>
      <c r="AN88" s="164"/>
      <c r="AO88" s="164"/>
      <c r="AP88" s="164"/>
      <c r="AQ88" s="167"/>
      <c r="AR88" s="172"/>
      <c r="AS88" s="164"/>
      <c r="AT88" s="164"/>
      <c r="AU88" s="164"/>
      <c r="AV88" s="164"/>
      <c r="AW88" s="164"/>
      <c r="AX88" s="164"/>
      <c r="AY88" s="167"/>
      <c r="AZ88" s="172"/>
      <c r="BA88" s="164"/>
      <c r="BB88" s="164"/>
      <c r="BC88" s="164"/>
      <c r="BD88" s="164"/>
      <c r="BE88" s="164"/>
      <c r="BF88" s="164"/>
      <c r="BG88" s="167"/>
      <c r="BH88" s="172"/>
      <c r="BI88" s="164"/>
      <c r="BJ88" s="164"/>
      <c r="BK88" s="164"/>
      <c r="BL88" s="164"/>
      <c r="BM88" s="164"/>
      <c r="BN88" s="164"/>
      <c r="BO88" s="167"/>
      <c r="BP88" s="172"/>
      <c r="BQ88" s="164"/>
      <c r="BR88" s="164"/>
      <c r="BS88" s="164"/>
      <c r="BT88" s="164"/>
      <c r="BU88" s="164"/>
      <c r="BV88" s="164"/>
      <c r="BW88" s="167"/>
      <c r="BX88" s="172"/>
      <c r="BY88" s="164"/>
      <c r="BZ88" s="164"/>
      <c r="CA88" s="164"/>
      <c r="CB88" s="164"/>
      <c r="CC88" s="164"/>
      <c r="CD88" s="164"/>
      <c r="CE88" s="167"/>
      <c r="CF88" s="172"/>
      <c r="CG88" s="164"/>
      <c r="CH88" s="164"/>
      <c r="CI88" s="164"/>
      <c r="CJ88" s="164"/>
      <c r="CK88" s="164"/>
      <c r="CL88" s="164"/>
      <c r="CM88" s="167"/>
      <c r="CN88" s="172"/>
      <c r="CO88" s="164"/>
      <c r="CP88" s="164"/>
      <c r="CQ88" s="164"/>
      <c r="CR88" s="164"/>
      <c r="CS88" s="164"/>
      <c r="CT88" s="164"/>
      <c r="CU88" s="167"/>
      <c r="CV88" s="172"/>
      <c r="CW88" s="164"/>
      <c r="CX88" s="164"/>
      <c r="CY88" s="164"/>
      <c r="CZ88" s="164"/>
      <c r="DA88" s="164"/>
      <c r="DB88" s="164"/>
    </row>
    <row r="89" spans="1:106" x14ac:dyDescent="0.2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6"/>
      <c r="L89" s="166"/>
      <c r="M89" s="164"/>
      <c r="N89" s="164"/>
      <c r="O89" s="164"/>
      <c r="P89" s="164"/>
      <c r="Q89" s="164"/>
      <c r="R89" s="164"/>
      <c r="S89" s="166"/>
      <c r="T89" s="166"/>
      <c r="U89" s="164"/>
      <c r="V89" s="164"/>
      <c r="W89" s="164"/>
      <c r="X89" s="164"/>
      <c r="Y89" s="164"/>
      <c r="Z89" s="164"/>
      <c r="AA89" s="167"/>
      <c r="AB89" s="167"/>
      <c r="AC89" s="164"/>
      <c r="AD89" s="164"/>
      <c r="AE89" s="164"/>
      <c r="AF89" s="164"/>
      <c r="AG89" s="164"/>
      <c r="AH89" s="164"/>
      <c r="AI89" s="167"/>
      <c r="AJ89" s="167"/>
      <c r="AK89" s="164"/>
      <c r="AL89" s="164"/>
      <c r="AM89" s="164"/>
      <c r="AN89" s="164"/>
      <c r="AO89" s="164"/>
      <c r="AP89" s="164"/>
      <c r="AQ89" s="167"/>
      <c r="AR89" s="167"/>
      <c r="AS89" s="164"/>
      <c r="AT89" s="164"/>
      <c r="AU89" s="164"/>
      <c r="AV89" s="164"/>
      <c r="AW89" s="164"/>
      <c r="AX89" s="164"/>
      <c r="AY89" s="167"/>
      <c r="AZ89" s="167"/>
      <c r="BA89" s="164"/>
      <c r="BB89" s="164"/>
      <c r="BC89" s="164"/>
      <c r="BD89" s="164"/>
      <c r="BE89" s="164"/>
      <c r="BF89" s="164"/>
      <c r="BG89" s="167"/>
      <c r="BH89" s="167"/>
      <c r="BI89" s="164"/>
      <c r="BJ89" s="164"/>
      <c r="BK89" s="164"/>
      <c r="BL89" s="164"/>
      <c r="BM89" s="164"/>
      <c r="BN89" s="164"/>
      <c r="BO89" s="167"/>
      <c r="BP89" s="167"/>
      <c r="BQ89" s="164"/>
      <c r="BR89" s="164"/>
      <c r="BS89" s="164"/>
      <c r="BT89" s="164"/>
      <c r="BU89" s="164"/>
      <c r="BV89" s="164"/>
      <c r="BW89" s="167"/>
      <c r="BX89" s="167"/>
      <c r="BY89" s="164"/>
      <c r="BZ89" s="164"/>
      <c r="CA89" s="164"/>
      <c r="CB89" s="164"/>
      <c r="CC89" s="164"/>
      <c r="CD89" s="164"/>
      <c r="CE89" s="167"/>
      <c r="CF89" s="167"/>
      <c r="CG89" s="164"/>
      <c r="CH89" s="164"/>
      <c r="CI89" s="164"/>
      <c r="CJ89" s="164"/>
      <c r="CK89" s="164"/>
      <c r="CL89" s="164"/>
      <c r="CM89" s="167"/>
      <c r="CN89" s="167"/>
      <c r="CO89" s="164"/>
      <c r="CP89" s="164"/>
      <c r="CQ89" s="164"/>
      <c r="CR89" s="164"/>
      <c r="CS89" s="164"/>
      <c r="CT89" s="164"/>
      <c r="CU89" s="167"/>
      <c r="CV89" s="167"/>
      <c r="CW89" s="164"/>
      <c r="CX89" s="164"/>
      <c r="CY89" s="164"/>
      <c r="CZ89" s="164"/>
      <c r="DA89" s="164"/>
      <c r="DB89" s="164"/>
    </row>
    <row r="90" spans="1:106" x14ac:dyDescent="0.2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6"/>
      <c r="L90" s="166"/>
      <c r="M90" s="164"/>
      <c r="N90" s="164"/>
      <c r="O90" s="164"/>
      <c r="P90" s="164"/>
      <c r="Q90" s="164"/>
      <c r="R90" s="164"/>
      <c r="S90" s="166"/>
      <c r="T90" s="166"/>
      <c r="U90" s="164"/>
      <c r="V90" s="164"/>
      <c r="W90" s="164"/>
      <c r="X90" s="164"/>
      <c r="Y90" s="164"/>
      <c r="Z90" s="164"/>
      <c r="AA90" s="167"/>
      <c r="AB90" s="172"/>
      <c r="AC90" s="164"/>
      <c r="AD90" s="164"/>
      <c r="AE90" s="164"/>
      <c r="AF90" s="164"/>
      <c r="AG90" s="164"/>
      <c r="AH90" s="164"/>
      <c r="AI90" s="167"/>
      <c r="AJ90" s="172"/>
      <c r="AK90" s="164"/>
      <c r="AL90" s="164"/>
      <c r="AM90" s="164"/>
      <c r="AN90" s="164"/>
      <c r="AO90" s="164"/>
      <c r="AP90" s="164"/>
      <c r="AQ90" s="167"/>
      <c r="AR90" s="172"/>
      <c r="AS90" s="164"/>
      <c r="AT90" s="164"/>
      <c r="AU90" s="164"/>
      <c r="AV90" s="164"/>
      <c r="AW90" s="164"/>
      <c r="AX90" s="164"/>
      <c r="AY90" s="167"/>
      <c r="AZ90" s="172"/>
      <c r="BA90" s="164"/>
      <c r="BB90" s="164"/>
      <c r="BC90" s="164"/>
      <c r="BD90" s="164"/>
      <c r="BE90" s="164"/>
      <c r="BF90" s="164"/>
      <c r="BG90" s="167"/>
      <c r="BH90" s="172"/>
      <c r="BI90" s="164"/>
      <c r="BJ90" s="164"/>
      <c r="BK90" s="164"/>
      <c r="BL90" s="164"/>
      <c r="BM90" s="164"/>
      <c r="BN90" s="164"/>
      <c r="BO90" s="167"/>
      <c r="BP90" s="172"/>
      <c r="BQ90" s="164"/>
      <c r="BR90" s="164"/>
      <c r="BS90" s="164"/>
      <c r="BT90" s="164"/>
      <c r="BU90" s="164"/>
      <c r="BV90" s="164"/>
      <c r="BW90" s="167"/>
      <c r="BX90" s="172"/>
      <c r="BY90" s="164"/>
      <c r="BZ90" s="164"/>
      <c r="CA90" s="164"/>
      <c r="CB90" s="164"/>
      <c r="CC90" s="164"/>
      <c r="CD90" s="164"/>
      <c r="CE90" s="167"/>
      <c r="CF90" s="172"/>
      <c r="CG90" s="164"/>
      <c r="CH90" s="164"/>
      <c r="CI90" s="164"/>
      <c r="CJ90" s="164"/>
      <c r="CK90" s="164"/>
      <c r="CL90" s="164"/>
      <c r="CM90" s="167"/>
      <c r="CN90" s="172"/>
      <c r="CO90" s="164"/>
      <c r="CP90" s="164"/>
      <c r="CQ90" s="164"/>
      <c r="CR90" s="164"/>
      <c r="CS90" s="164"/>
      <c r="CT90" s="164"/>
      <c r="CU90" s="167"/>
      <c r="CV90" s="172"/>
      <c r="CW90" s="164"/>
      <c r="CX90" s="164"/>
      <c r="CY90" s="164"/>
      <c r="CZ90" s="164"/>
      <c r="DA90" s="164"/>
      <c r="DB90" s="164"/>
    </row>
    <row r="91" spans="1:106" x14ac:dyDescent="0.2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6"/>
      <c r="L91" s="166"/>
      <c r="M91" s="164"/>
      <c r="N91" s="164"/>
      <c r="O91" s="164"/>
      <c r="P91" s="164"/>
      <c r="Q91" s="164"/>
      <c r="R91" s="164"/>
      <c r="S91" s="166"/>
      <c r="T91" s="166"/>
      <c r="U91" s="164"/>
      <c r="V91" s="164"/>
      <c r="W91" s="164"/>
      <c r="X91" s="164"/>
      <c r="Y91" s="164"/>
      <c r="Z91" s="164"/>
      <c r="AA91" s="167"/>
      <c r="AB91" s="172"/>
      <c r="AC91" s="164"/>
      <c r="AD91" s="164"/>
      <c r="AE91" s="164"/>
      <c r="AF91" s="164"/>
      <c r="AG91" s="164"/>
      <c r="AH91" s="164"/>
      <c r="AI91" s="167"/>
      <c r="AJ91" s="172"/>
      <c r="AK91" s="164"/>
      <c r="AL91" s="164"/>
      <c r="AM91" s="164"/>
      <c r="AN91" s="164"/>
      <c r="AO91" s="164"/>
      <c r="AP91" s="164"/>
      <c r="AQ91" s="167"/>
      <c r="AR91" s="172"/>
      <c r="AS91" s="164"/>
      <c r="AT91" s="164"/>
      <c r="AU91" s="164"/>
      <c r="AV91" s="164"/>
      <c r="AW91" s="164"/>
      <c r="AX91" s="164"/>
      <c r="AY91" s="167"/>
      <c r="AZ91" s="172"/>
      <c r="BA91" s="164"/>
      <c r="BB91" s="164"/>
      <c r="BC91" s="164"/>
      <c r="BD91" s="164"/>
      <c r="BE91" s="164"/>
      <c r="BF91" s="164"/>
      <c r="BG91" s="167"/>
      <c r="BH91" s="172"/>
      <c r="BI91" s="164"/>
      <c r="BJ91" s="164"/>
      <c r="BK91" s="164"/>
      <c r="BL91" s="164"/>
      <c r="BM91" s="164"/>
      <c r="BN91" s="164"/>
      <c r="BO91" s="167"/>
      <c r="BP91" s="172"/>
      <c r="BQ91" s="164"/>
      <c r="BR91" s="164"/>
      <c r="BS91" s="164"/>
      <c r="BT91" s="164"/>
      <c r="BU91" s="164"/>
      <c r="BV91" s="164"/>
      <c r="BW91" s="167"/>
      <c r="BX91" s="172"/>
      <c r="BY91" s="164"/>
      <c r="BZ91" s="164"/>
      <c r="CA91" s="164"/>
      <c r="CB91" s="164"/>
      <c r="CC91" s="164"/>
      <c r="CD91" s="164"/>
      <c r="CE91" s="167"/>
      <c r="CF91" s="172"/>
      <c r="CG91" s="164"/>
      <c r="CH91" s="164"/>
      <c r="CI91" s="164"/>
      <c r="CJ91" s="164"/>
      <c r="CK91" s="164"/>
      <c r="CL91" s="164"/>
      <c r="CM91" s="167"/>
      <c r="CN91" s="172"/>
      <c r="CO91" s="164"/>
      <c r="CP91" s="164"/>
      <c r="CQ91" s="164"/>
      <c r="CR91" s="164"/>
      <c r="CS91" s="164"/>
      <c r="CT91" s="164"/>
      <c r="CU91" s="167"/>
      <c r="CV91" s="172"/>
      <c r="CW91" s="164"/>
      <c r="CX91" s="164"/>
      <c r="CY91" s="164"/>
      <c r="CZ91" s="164"/>
      <c r="DA91" s="164"/>
      <c r="DB91" s="164"/>
    </row>
    <row r="92" spans="1:106" x14ac:dyDescent="0.2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8"/>
      <c r="L92" s="168"/>
      <c r="M92" s="164"/>
      <c r="N92" s="164"/>
      <c r="O92" s="164"/>
      <c r="P92" s="164"/>
      <c r="Q92" s="164"/>
      <c r="R92" s="164"/>
      <c r="S92" s="168"/>
      <c r="T92" s="168"/>
      <c r="U92" s="164"/>
      <c r="V92" s="164"/>
      <c r="W92" s="164"/>
      <c r="X92" s="164"/>
      <c r="Y92" s="164"/>
      <c r="Z92" s="164"/>
      <c r="AA92" s="172"/>
      <c r="AB92" s="172"/>
      <c r="AC92" s="164"/>
      <c r="AD92" s="164"/>
      <c r="AE92" s="164"/>
      <c r="AF92" s="164"/>
      <c r="AG92" s="164"/>
      <c r="AH92" s="164"/>
      <c r="AI92" s="172"/>
      <c r="AJ92" s="172"/>
      <c r="AK92" s="164"/>
      <c r="AL92" s="164"/>
      <c r="AM92" s="164"/>
      <c r="AN92" s="164"/>
      <c r="AO92" s="164"/>
      <c r="AP92" s="164"/>
      <c r="AQ92" s="172"/>
      <c r="AR92" s="172"/>
      <c r="AS92" s="164"/>
      <c r="AT92" s="164"/>
      <c r="AU92" s="164"/>
      <c r="AV92" s="164"/>
      <c r="AW92" s="164"/>
      <c r="AX92" s="164"/>
      <c r="AY92" s="172"/>
      <c r="AZ92" s="172"/>
      <c r="BA92" s="164"/>
      <c r="BB92" s="164"/>
      <c r="BC92" s="164"/>
      <c r="BD92" s="164"/>
      <c r="BE92" s="164"/>
      <c r="BF92" s="164"/>
      <c r="BG92" s="172"/>
      <c r="BH92" s="172"/>
      <c r="BI92" s="164"/>
      <c r="BJ92" s="164"/>
      <c r="BK92" s="164"/>
      <c r="BL92" s="164"/>
      <c r="BM92" s="164"/>
      <c r="BN92" s="164"/>
      <c r="BO92" s="172"/>
      <c r="BP92" s="172"/>
      <c r="BQ92" s="164"/>
      <c r="BR92" s="164"/>
      <c r="BS92" s="164"/>
      <c r="BT92" s="164"/>
      <c r="BU92" s="164"/>
      <c r="BV92" s="164"/>
      <c r="BW92" s="172"/>
      <c r="BX92" s="172"/>
      <c r="BY92" s="164"/>
      <c r="BZ92" s="164"/>
      <c r="CA92" s="164"/>
      <c r="CB92" s="164"/>
      <c r="CC92" s="164"/>
      <c r="CD92" s="164"/>
      <c r="CE92" s="172"/>
      <c r="CF92" s="172"/>
      <c r="CG92" s="164"/>
      <c r="CH92" s="164"/>
      <c r="CI92" s="164"/>
      <c r="CJ92" s="164"/>
      <c r="CK92" s="164"/>
      <c r="CL92" s="164"/>
      <c r="CM92" s="172"/>
      <c r="CN92" s="172"/>
      <c r="CO92" s="164"/>
      <c r="CP92" s="164"/>
      <c r="CQ92" s="164"/>
      <c r="CR92" s="164"/>
      <c r="CS92" s="164"/>
      <c r="CT92" s="164"/>
      <c r="CU92" s="172"/>
      <c r="CV92" s="172"/>
      <c r="CW92" s="164"/>
      <c r="CX92" s="164"/>
      <c r="CY92" s="164"/>
      <c r="CZ92" s="164"/>
      <c r="DA92" s="164"/>
      <c r="DB92" s="164"/>
    </row>
    <row r="93" spans="1:106" x14ac:dyDescent="0.2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8"/>
      <c r="L93" s="168"/>
      <c r="M93" s="164"/>
      <c r="N93" s="164"/>
      <c r="O93" s="164"/>
      <c r="P93" s="164"/>
      <c r="Q93" s="164"/>
      <c r="R93" s="164"/>
      <c r="S93" s="168"/>
      <c r="T93" s="168"/>
      <c r="U93" s="164"/>
      <c r="V93" s="164"/>
      <c r="W93" s="164"/>
      <c r="X93" s="164"/>
      <c r="Y93" s="164"/>
      <c r="Z93" s="164"/>
      <c r="AA93" s="173"/>
      <c r="AB93" s="172"/>
      <c r="AC93" s="164"/>
      <c r="AD93" s="164"/>
      <c r="AE93" s="164"/>
      <c r="AF93" s="164"/>
      <c r="AG93" s="164"/>
      <c r="AH93" s="164"/>
      <c r="AI93" s="173"/>
      <c r="AJ93" s="172"/>
      <c r="AK93" s="164"/>
      <c r="AL93" s="164"/>
      <c r="AM93" s="164"/>
      <c r="AN93" s="164"/>
      <c r="AO93" s="164"/>
      <c r="AP93" s="164"/>
      <c r="AQ93" s="173"/>
      <c r="AR93" s="172"/>
      <c r="AS93" s="164"/>
      <c r="AT93" s="164"/>
      <c r="AU93" s="164"/>
      <c r="AV93" s="164"/>
      <c r="AW93" s="164"/>
      <c r="AX93" s="164"/>
      <c r="AY93" s="173"/>
      <c r="AZ93" s="172"/>
      <c r="BA93" s="164"/>
      <c r="BB93" s="164"/>
      <c r="BC93" s="164"/>
      <c r="BD93" s="164"/>
      <c r="BE93" s="164"/>
      <c r="BF93" s="164"/>
      <c r="BG93" s="173"/>
      <c r="BH93" s="172"/>
      <c r="BI93" s="164"/>
      <c r="BJ93" s="164"/>
      <c r="BK93" s="164"/>
      <c r="BL93" s="164"/>
      <c r="BM93" s="164"/>
      <c r="BN93" s="164"/>
      <c r="BO93" s="173"/>
      <c r="BP93" s="172"/>
      <c r="BQ93" s="164"/>
      <c r="BR93" s="164"/>
      <c r="BS93" s="164"/>
      <c r="BT93" s="164"/>
      <c r="BU93" s="164"/>
      <c r="BV93" s="164"/>
      <c r="BW93" s="173"/>
      <c r="BX93" s="172"/>
      <c r="BY93" s="164"/>
      <c r="BZ93" s="164"/>
      <c r="CA93" s="164"/>
      <c r="CB93" s="164"/>
      <c r="CC93" s="164"/>
      <c r="CD93" s="164"/>
      <c r="CE93" s="173"/>
      <c r="CF93" s="172"/>
      <c r="CG93" s="164"/>
      <c r="CH93" s="164"/>
      <c r="CI93" s="164"/>
      <c r="CJ93" s="164"/>
      <c r="CK93" s="164"/>
      <c r="CL93" s="164"/>
      <c r="CM93" s="173"/>
      <c r="CN93" s="172"/>
      <c r="CO93" s="164"/>
      <c r="CP93" s="164"/>
      <c r="CQ93" s="164"/>
      <c r="CR93" s="164"/>
      <c r="CS93" s="164"/>
      <c r="CT93" s="164"/>
      <c r="CU93" s="173"/>
      <c r="CV93" s="172"/>
      <c r="CW93" s="164"/>
      <c r="CX93" s="164"/>
      <c r="CY93" s="164"/>
      <c r="CZ93" s="164"/>
      <c r="DA93" s="164"/>
      <c r="DB93" s="164"/>
    </row>
    <row r="94" spans="1:106" x14ac:dyDescent="0.2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8"/>
      <c r="L94" s="168"/>
      <c r="M94" s="164"/>
      <c r="N94" s="164"/>
      <c r="O94" s="164"/>
      <c r="P94" s="164"/>
      <c r="Q94" s="164"/>
      <c r="R94" s="164"/>
      <c r="S94" s="168"/>
      <c r="T94" s="168"/>
      <c r="U94" s="164"/>
      <c r="V94" s="164"/>
      <c r="W94" s="164"/>
      <c r="X94" s="164"/>
      <c r="Y94" s="164"/>
      <c r="Z94" s="164"/>
      <c r="AA94" s="172"/>
      <c r="AB94" s="172"/>
      <c r="AC94" s="164"/>
      <c r="AD94" s="164"/>
      <c r="AE94" s="164"/>
      <c r="AF94" s="164"/>
      <c r="AG94" s="164"/>
      <c r="AH94" s="164"/>
      <c r="AI94" s="172"/>
      <c r="AJ94" s="172"/>
      <c r="AK94" s="164"/>
      <c r="AL94" s="164"/>
      <c r="AM94" s="164"/>
      <c r="AN94" s="164"/>
      <c r="AO94" s="164"/>
      <c r="AP94" s="164"/>
      <c r="AQ94" s="172"/>
      <c r="AR94" s="172"/>
      <c r="AS94" s="164"/>
      <c r="AT94" s="164"/>
      <c r="AU94" s="164"/>
      <c r="AV94" s="164"/>
      <c r="AW94" s="164"/>
      <c r="AX94" s="164"/>
      <c r="AY94" s="172"/>
      <c r="AZ94" s="172"/>
      <c r="BA94" s="164"/>
      <c r="BB94" s="164"/>
      <c r="BC94" s="164"/>
      <c r="BD94" s="164"/>
      <c r="BE94" s="164"/>
      <c r="BF94" s="164"/>
      <c r="BG94" s="172"/>
      <c r="BH94" s="172"/>
      <c r="BI94" s="164"/>
      <c r="BJ94" s="164"/>
      <c r="BK94" s="164"/>
      <c r="BL94" s="164"/>
      <c r="BM94" s="164"/>
      <c r="BN94" s="164"/>
      <c r="BO94" s="172"/>
      <c r="BP94" s="172"/>
      <c r="BQ94" s="164"/>
      <c r="BR94" s="164"/>
      <c r="BS94" s="164"/>
      <c r="BT94" s="164"/>
      <c r="BU94" s="164"/>
      <c r="BV94" s="164"/>
      <c r="BW94" s="172"/>
      <c r="BX94" s="172"/>
      <c r="BY94" s="164"/>
      <c r="BZ94" s="164"/>
      <c r="CA94" s="164"/>
      <c r="CB94" s="164"/>
      <c r="CC94" s="164"/>
      <c r="CD94" s="164"/>
      <c r="CE94" s="172"/>
      <c r="CF94" s="172"/>
      <c r="CG94" s="164"/>
      <c r="CH94" s="164"/>
      <c r="CI94" s="164"/>
      <c r="CJ94" s="164"/>
      <c r="CK94" s="164"/>
      <c r="CL94" s="164"/>
      <c r="CM94" s="172"/>
      <c r="CN94" s="172"/>
      <c r="CO94" s="164"/>
      <c r="CP94" s="164"/>
      <c r="CQ94" s="164"/>
      <c r="CR94" s="164"/>
      <c r="CS94" s="164"/>
      <c r="CT94" s="164"/>
      <c r="CU94" s="172"/>
      <c r="CV94" s="172"/>
      <c r="CW94" s="164"/>
      <c r="CX94" s="164"/>
      <c r="CY94" s="164"/>
      <c r="CZ94" s="164"/>
      <c r="DA94" s="164"/>
      <c r="DB94" s="164"/>
    </row>
    <row r="95" spans="1:106" x14ac:dyDescent="0.2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6"/>
      <c r="L95" s="166"/>
      <c r="M95" s="164"/>
      <c r="N95" s="164"/>
      <c r="O95" s="164"/>
      <c r="P95" s="164"/>
      <c r="Q95" s="164"/>
      <c r="R95" s="164"/>
      <c r="S95" s="166"/>
      <c r="T95" s="166"/>
      <c r="U95" s="164"/>
      <c r="V95" s="164"/>
      <c r="W95" s="164"/>
      <c r="X95" s="164"/>
      <c r="Y95" s="164"/>
      <c r="Z95" s="164"/>
      <c r="AA95" s="174"/>
      <c r="AB95" s="172"/>
      <c r="AC95" s="164"/>
      <c r="AD95" s="164"/>
      <c r="AE95" s="164"/>
      <c r="AF95" s="164"/>
      <c r="AG95" s="164"/>
      <c r="AH95" s="164"/>
      <c r="AI95" s="174"/>
      <c r="AJ95" s="172"/>
      <c r="AK95" s="164"/>
      <c r="AL95" s="164"/>
      <c r="AM95" s="164"/>
      <c r="AN95" s="164"/>
      <c r="AO95" s="164"/>
      <c r="AP95" s="164"/>
      <c r="AQ95" s="174"/>
      <c r="AR95" s="172"/>
      <c r="AS95" s="164"/>
      <c r="AT95" s="164"/>
      <c r="AU95" s="164"/>
      <c r="AV95" s="164"/>
      <c r="AW95" s="164"/>
      <c r="AX95" s="164"/>
      <c r="AY95" s="174"/>
      <c r="AZ95" s="172"/>
      <c r="BA95" s="164"/>
      <c r="BB95" s="164"/>
      <c r="BC95" s="164"/>
      <c r="BD95" s="164"/>
      <c r="BE95" s="164"/>
      <c r="BF95" s="164"/>
      <c r="BG95" s="174"/>
      <c r="BH95" s="172"/>
      <c r="BI95" s="164"/>
      <c r="BJ95" s="164"/>
      <c r="BK95" s="164"/>
      <c r="BL95" s="164"/>
      <c r="BM95" s="164"/>
      <c r="BN95" s="164"/>
      <c r="BO95" s="174"/>
      <c r="BP95" s="172"/>
      <c r="BQ95" s="164"/>
      <c r="BR95" s="164"/>
      <c r="BS95" s="164"/>
      <c r="BT95" s="164"/>
      <c r="BU95" s="164"/>
      <c r="BV95" s="164"/>
      <c r="BW95" s="174"/>
      <c r="BX95" s="172"/>
      <c r="BY95" s="164"/>
      <c r="BZ95" s="164"/>
      <c r="CA95" s="164"/>
      <c r="CB95" s="164"/>
      <c r="CC95" s="164"/>
      <c r="CD95" s="164"/>
      <c r="CE95" s="174"/>
      <c r="CF95" s="172"/>
      <c r="CG95" s="164"/>
      <c r="CH95" s="164"/>
      <c r="CI95" s="164"/>
      <c r="CJ95" s="164"/>
      <c r="CK95" s="164"/>
      <c r="CL95" s="164"/>
      <c r="CM95" s="174"/>
      <c r="CN95" s="172"/>
      <c r="CO95" s="164"/>
      <c r="CP95" s="164"/>
      <c r="CQ95" s="164"/>
      <c r="CR95" s="164"/>
      <c r="CS95" s="164"/>
      <c r="CT95" s="164"/>
      <c r="CU95" s="174"/>
      <c r="CV95" s="172"/>
      <c r="CW95" s="164"/>
      <c r="CX95" s="164"/>
      <c r="CY95" s="164"/>
      <c r="CZ95" s="164"/>
      <c r="DA95" s="164"/>
      <c r="DB95" s="164"/>
    </row>
    <row r="96" spans="1:106" x14ac:dyDescent="0.2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8"/>
      <c r="L96" s="168"/>
      <c r="M96" s="164"/>
      <c r="N96" s="164"/>
      <c r="O96" s="164"/>
      <c r="P96" s="164"/>
      <c r="Q96" s="164"/>
      <c r="R96" s="164"/>
      <c r="S96" s="168"/>
      <c r="T96" s="168"/>
      <c r="U96" s="164"/>
      <c r="V96" s="164"/>
      <c r="W96" s="164"/>
      <c r="X96" s="164"/>
      <c r="Y96" s="164"/>
      <c r="Z96" s="164"/>
      <c r="AA96" s="172"/>
      <c r="AB96" s="172"/>
      <c r="AC96" s="164"/>
      <c r="AD96" s="164"/>
      <c r="AE96" s="164"/>
      <c r="AF96" s="164"/>
      <c r="AG96" s="164"/>
      <c r="AH96" s="164"/>
      <c r="AI96" s="172"/>
      <c r="AJ96" s="172"/>
      <c r="AK96" s="164"/>
      <c r="AL96" s="164"/>
      <c r="AM96" s="164"/>
      <c r="AN96" s="164"/>
      <c r="AO96" s="164"/>
      <c r="AP96" s="164"/>
      <c r="AQ96" s="172"/>
      <c r="AR96" s="172"/>
      <c r="AS96" s="164"/>
      <c r="AT96" s="164"/>
      <c r="AU96" s="164"/>
      <c r="AV96" s="164"/>
      <c r="AW96" s="164"/>
      <c r="AX96" s="164"/>
      <c r="AY96" s="172"/>
      <c r="AZ96" s="172"/>
      <c r="BA96" s="164"/>
      <c r="BB96" s="164"/>
      <c r="BC96" s="164"/>
      <c r="BD96" s="164"/>
      <c r="BE96" s="164"/>
      <c r="BF96" s="164"/>
      <c r="BG96" s="172"/>
      <c r="BH96" s="172"/>
      <c r="BI96" s="164"/>
      <c r="BJ96" s="164"/>
      <c r="BK96" s="164"/>
      <c r="BL96" s="164"/>
      <c r="BM96" s="164"/>
      <c r="BN96" s="164"/>
      <c r="BO96" s="172"/>
      <c r="BP96" s="172"/>
      <c r="BQ96" s="164"/>
      <c r="BR96" s="164"/>
      <c r="BS96" s="164"/>
      <c r="BT96" s="164"/>
      <c r="BU96" s="164"/>
      <c r="BV96" s="164"/>
      <c r="BW96" s="172"/>
      <c r="BX96" s="172"/>
      <c r="BY96" s="164"/>
      <c r="BZ96" s="164"/>
      <c r="CA96" s="164"/>
      <c r="CB96" s="164"/>
      <c r="CC96" s="164"/>
      <c r="CD96" s="164"/>
      <c r="CE96" s="172"/>
      <c r="CF96" s="172"/>
      <c r="CG96" s="164"/>
      <c r="CH96" s="164"/>
      <c r="CI96" s="164"/>
      <c r="CJ96" s="164"/>
      <c r="CK96" s="164"/>
      <c r="CL96" s="164"/>
      <c r="CM96" s="172"/>
      <c r="CN96" s="172"/>
      <c r="CO96" s="164"/>
      <c r="CP96" s="164"/>
      <c r="CQ96" s="164"/>
      <c r="CR96" s="164"/>
      <c r="CS96" s="164"/>
      <c r="CT96" s="164"/>
      <c r="CU96" s="172"/>
      <c r="CV96" s="172"/>
      <c r="CW96" s="164"/>
      <c r="CX96" s="164"/>
      <c r="CY96" s="164"/>
      <c r="CZ96" s="164"/>
      <c r="DA96" s="164"/>
      <c r="DB96" s="164"/>
    </row>
    <row r="97" spans="1:106" x14ac:dyDescent="0.2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8"/>
      <c r="L97" s="168"/>
      <c r="M97" s="164"/>
      <c r="N97" s="164"/>
      <c r="O97" s="164"/>
      <c r="P97" s="164"/>
      <c r="Q97" s="164"/>
      <c r="R97" s="164"/>
      <c r="S97" s="168"/>
      <c r="T97" s="168"/>
      <c r="U97" s="164"/>
      <c r="V97" s="164"/>
      <c r="W97" s="164"/>
      <c r="X97" s="164"/>
      <c r="Y97" s="164"/>
      <c r="Z97" s="164"/>
      <c r="AA97" s="172"/>
      <c r="AB97" s="172"/>
      <c r="AC97" s="164"/>
      <c r="AD97" s="164"/>
      <c r="AE97" s="164"/>
      <c r="AF97" s="164"/>
      <c r="AG97" s="164"/>
      <c r="AH97" s="164"/>
      <c r="AI97" s="172"/>
      <c r="AJ97" s="172"/>
      <c r="AK97" s="164"/>
      <c r="AL97" s="164"/>
      <c r="AM97" s="164"/>
      <c r="AN97" s="164"/>
      <c r="AO97" s="164"/>
      <c r="AP97" s="164"/>
      <c r="AQ97" s="172"/>
      <c r="AR97" s="172"/>
      <c r="AS97" s="164"/>
      <c r="AT97" s="164"/>
      <c r="AU97" s="164"/>
      <c r="AV97" s="164"/>
      <c r="AW97" s="164"/>
      <c r="AX97" s="164"/>
      <c r="AY97" s="172"/>
      <c r="AZ97" s="172"/>
      <c r="BA97" s="164"/>
      <c r="BB97" s="164"/>
      <c r="BC97" s="164"/>
      <c r="BD97" s="164"/>
      <c r="BE97" s="164"/>
      <c r="BF97" s="164"/>
      <c r="BG97" s="172"/>
      <c r="BH97" s="172"/>
      <c r="BI97" s="164"/>
      <c r="BJ97" s="164"/>
      <c r="BK97" s="164"/>
      <c r="BL97" s="164"/>
      <c r="BM97" s="164"/>
      <c r="BN97" s="164"/>
      <c r="BO97" s="172"/>
      <c r="BP97" s="172"/>
      <c r="BQ97" s="164"/>
      <c r="BR97" s="164"/>
      <c r="BS97" s="164"/>
      <c r="BT97" s="164"/>
      <c r="BU97" s="164"/>
      <c r="BV97" s="164"/>
      <c r="BW97" s="172"/>
      <c r="BX97" s="172"/>
      <c r="BY97" s="164"/>
      <c r="BZ97" s="164"/>
      <c r="CA97" s="164"/>
      <c r="CB97" s="164"/>
      <c r="CC97" s="164"/>
      <c r="CD97" s="164"/>
      <c r="CE97" s="172"/>
      <c r="CF97" s="172"/>
      <c r="CG97" s="164"/>
      <c r="CH97" s="164"/>
      <c r="CI97" s="164"/>
      <c r="CJ97" s="164"/>
      <c r="CK97" s="164"/>
      <c r="CL97" s="164"/>
      <c r="CM97" s="172"/>
      <c r="CN97" s="172"/>
      <c r="CO97" s="164"/>
      <c r="CP97" s="164"/>
      <c r="CQ97" s="164"/>
      <c r="CR97" s="164"/>
      <c r="CS97" s="164"/>
      <c r="CT97" s="164"/>
      <c r="CU97" s="172"/>
      <c r="CV97" s="172"/>
      <c r="CW97" s="164"/>
      <c r="CX97" s="164"/>
      <c r="CY97" s="164"/>
      <c r="CZ97" s="164"/>
      <c r="DA97" s="164"/>
      <c r="DB97" s="164"/>
    </row>
    <row r="98" spans="1:106" x14ac:dyDescent="0.2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8"/>
      <c r="L98" s="168"/>
      <c r="M98" s="164"/>
      <c r="N98" s="164"/>
      <c r="O98" s="164"/>
      <c r="P98" s="164"/>
      <c r="Q98" s="164"/>
      <c r="R98" s="164"/>
      <c r="S98" s="168"/>
      <c r="T98" s="168"/>
      <c r="U98" s="164"/>
      <c r="V98" s="164"/>
      <c r="W98" s="164"/>
      <c r="X98" s="164"/>
      <c r="Y98" s="164"/>
      <c r="Z98" s="164"/>
      <c r="AA98" s="172"/>
      <c r="AB98" s="172"/>
      <c r="AC98" s="164"/>
      <c r="AD98" s="164"/>
      <c r="AE98" s="164"/>
      <c r="AF98" s="164"/>
      <c r="AG98" s="164"/>
      <c r="AH98" s="164"/>
      <c r="AI98" s="172"/>
      <c r="AJ98" s="172"/>
      <c r="AK98" s="164"/>
      <c r="AL98" s="164"/>
      <c r="AM98" s="164"/>
      <c r="AN98" s="164"/>
      <c r="AO98" s="164"/>
      <c r="AP98" s="164"/>
      <c r="AQ98" s="172"/>
      <c r="AR98" s="172"/>
      <c r="AS98" s="164"/>
      <c r="AT98" s="164"/>
      <c r="AU98" s="164"/>
      <c r="AV98" s="164"/>
      <c r="AW98" s="164"/>
      <c r="AX98" s="164"/>
      <c r="AY98" s="172"/>
      <c r="AZ98" s="172"/>
      <c r="BA98" s="164"/>
      <c r="BB98" s="164"/>
      <c r="BC98" s="164"/>
      <c r="BD98" s="164"/>
      <c r="BE98" s="164"/>
      <c r="BF98" s="164"/>
      <c r="BG98" s="172"/>
      <c r="BH98" s="172"/>
      <c r="BI98" s="164"/>
      <c r="BJ98" s="164"/>
      <c r="BK98" s="164"/>
      <c r="BL98" s="164"/>
      <c r="BM98" s="164"/>
      <c r="BN98" s="164"/>
      <c r="BO98" s="172"/>
      <c r="BP98" s="172"/>
      <c r="BQ98" s="164"/>
      <c r="BR98" s="164"/>
      <c r="BS98" s="164"/>
      <c r="BT98" s="164"/>
      <c r="BU98" s="164"/>
      <c r="BV98" s="164"/>
      <c r="BW98" s="172"/>
      <c r="BX98" s="172"/>
      <c r="BY98" s="164"/>
      <c r="BZ98" s="164"/>
      <c r="CA98" s="164"/>
      <c r="CB98" s="164"/>
      <c r="CC98" s="164"/>
      <c r="CD98" s="164"/>
      <c r="CE98" s="172"/>
      <c r="CF98" s="172"/>
      <c r="CG98" s="164"/>
      <c r="CH98" s="164"/>
      <c r="CI98" s="164"/>
      <c r="CJ98" s="164"/>
      <c r="CK98" s="164"/>
      <c r="CL98" s="164"/>
      <c r="CM98" s="172"/>
      <c r="CN98" s="172"/>
      <c r="CO98" s="164"/>
      <c r="CP98" s="164"/>
      <c r="CQ98" s="164"/>
      <c r="CR98" s="164"/>
      <c r="CS98" s="164"/>
      <c r="CT98" s="164"/>
      <c r="CU98" s="172"/>
      <c r="CV98" s="172"/>
      <c r="CW98" s="164"/>
      <c r="CX98" s="164"/>
      <c r="CY98" s="164"/>
      <c r="CZ98" s="164"/>
      <c r="DA98" s="164"/>
      <c r="DB98" s="164"/>
    </row>
    <row r="99" spans="1:106" x14ac:dyDescent="0.2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8"/>
      <c r="L99" s="168"/>
      <c r="M99" s="164"/>
      <c r="N99" s="164"/>
      <c r="O99" s="164"/>
      <c r="P99" s="164"/>
      <c r="Q99" s="164"/>
      <c r="R99" s="164"/>
      <c r="S99" s="168"/>
      <c r="T99" s="168"/>
      <c r="U99" s="164"/>
      <c r="V99" s="164"/>
      <c r="W99" s="164"/>
      <c r="X99" s="164"/>
      <c r="Y99" s="164"/>
      <c r="Z99" s="164"/>
      <c r="AA99" s="173"/>
      <c r="AB99" s="172"/>
      <c r="AC99" s="164"/>
      <c r="AD99" s="164"/>
      <c r="AE99" s="164"/>
      <c r="AF99" s="164"/>
      <c r="AG99" s="164"/>
      <c r="AH99" s="164"/>
      <c r="AI99" s="173"/>
      <c r="AJ99" s="172"/>
      <c r="AK99" s="164"/>
      <c r="AL99" s="164"/>
      <c r="AM99" s="164"/>
      <c r="AN99" s="164"/>
      <c r="AO99" s="164"/>
      <c r="AP99" s="164"/>
      <c r="AQ99" s="173"/>
      <c r="AR99" s="172"/>
      <c r="AS99" s="164"/>
      <c r="AT99" s="164"/>
      <c r="AU99" s="164"/>
      <c r="AV99" s="164"/>
      <c r="AW99" s="164"/>
      <c r="AX99" s="164"/>
      <c r="AY99" s="173"/>
      <c r="AZ99" s="172"/>
      <c r="BA99" s="164"/>
      <c r="BB99" s="164"/>
      <c r="BC99" s="164"/>
      <c r="BD99" s="164"/>
      <c r="BE99" s="164"/>
      <c r="BF99" s="164"/>
      <c r="BG99" s="173"/>
      <c r="BH99" s="172"/>
      <c r="BI99" s="164"/>
      <c r="BJ99" s="164"/>
      <c r="BK99" s="164"/>
      <c r="BL99" s="164"/>
      <c r="BM99" s="164"/>
      <c r="BN99" s="164"/>
      <c r="BO99" s="173"/>
      <c r="BP99" s="172"/>
      <c r="BQ99" s="164"/>
      <c r="BR99" s="164"/>
      <c r="BS99" s="164"/>
      <c r="BT99" s="164"/>
      <c r="BU99" s="164"/>
      <c r="BV99" s="164"/>
      <c r="BW99" s="173"/>
      <c r="BX99" s="172"/>
      <c r="BY99" s="164"/>
      <c r="BZ99" s="164"/>
      <c r="CA99" s="164"/>
      <c r="CB99" s="164"/>
      <c r="CC99" s="164"/>
      <c r="CD99" s="164"/>
      <c r="CE99" s="173"/>
      <c r="CF99" s="172"/>
      <c r="CG99" s="164"/>
      <c r="CH99" s="164"/>
      <c r="CI99" s="164"/>
      <c r="CJ99" s="164"/>
      <c r="CK99" s="164"/>
      <c r="CL99" s="164"/>
      <c r="CM99" s="173"/>
      <c r="CN99" s="172"/>
      <c r="CO99" s="164"/>
      <c r="CP99" s="164"/>
      <c r="CQ99" s="164"/>
      <c r="CR99" s="164"/>
      <c r="CS99" s="164"/>
      <c r="CT99" s="164"/>
      <c r="CU99" s="173"/>
      <c r="CV99" s="172"/>
      <c r="CW99" s="164"/>
      <c r="CX99" s="164"/>
      <c r="CY99" s="164"/>
      <c r="CZ99" s="164"/>
      <c r="DA99" s="164"/>
      <c r="DB99" s="164"/>
    </row>
    <row r="100" spans="1:106" x14ac:dyDescent="0.2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8"/>
      <c r="L100" s="168"/>
      <c r="M100" s="164"/>
      <c r="N100" s="164"/>
      <c r="O100" s="164"/>
      <c r="P100" s="164"/>
      <c r="Q100" s="164"/>
      <c r="R100" s="164"/>
      <c r="S100" s="168"/>
      <c r="T100" s="168"/>
      <c r="U100" s="164"/>
      <c r="V100" s="164"/>
      <c r="W100" s="164"/>
      <c r="X100" s="164"/>
      <c r="Y100" s="164"/>
      <c r="Z100" s="164"/>
      <c r="AA100" s="172"/>
      <c r="AB100" s="172"/>
      <c r="AC100" s="164"/>
      <c r="AD100" s="164"/>
      <c r="AE100" s="164"/>
      <c r="AF100" s="164"/>
      <c r="AG100" s="164"/>
      <c r="AH100" s="164"/>
      <c r="AI100" s="172"/>
      <c r="AJ100" s="172"/>
      <c r="AK100" s="164"/>
      <c r="AL100" s="164"/>
      <c r="AM100" s="164"/>
      <c r="AN100" s="164"/>
      <c r="AO100" s="164"/>
      <c r="AP100" s="164"/>
      <c r="AQ100" s="172"/>
      <c r="AR100" s="172"/>
      <c r="AS100" s="164"/>
      <c r="AT100" s="164"/>
      <c r="AU100" s="164"/>
      <c r="AV100" s="164"/>
      <c r="AW100" s="164"/>
      <c r="AX100" s="164"/>
      <c r="AY100" s="172"/>
      <c r="AZ100" s="172"/>
      <c r="BA100" s="164"/>
      <c r="BB100" s="164"/>
      <c r="BC100" s="164"/>
      <c r="BD100" s="164"/>
      <c r="BE100" s="164"/>
      <c r="BF100" s="164"/>
      <c r="BG100" s="172"/>
      <c r="BH100" s="172"/>
      <c r="BI100" s="164"/>
      <c r="BJ100" s="164"/>
      <c r="BK100" s="164"/>
      <c r="BL100" s="164"/>
      <c r="BM100" s="164"/>
      <c r="BN100" s="164"/>
      <c r="BO100" s="172"/>
      <c r="BP100" s="172"/>
      <c r="BQ100" s="164"/>
      <c r="BR100" s="164"/>
      <c r="BS100" s="164"/>
      <c r="BT100" s="164"/>
      <c r="BU100" s="164"/>
      <c r="BV100" s="164"/>
      <c r="BW100" s="172"/>
      <c r="BX100" s="172"/>
      <c r="BY100" s="164"/>
      <c r="BZ100" s="164"/>
      <c r="CA100" s="164"/>
      <c r="CB100" s="164"/>
      <c r="CC100" s="164"/>
      <c r="CD100" s="164"/>
      <c r="CE100" s="172"/>
      <c r="CF100" s="172"/>
      <c r="CG100" s="164"/>
      <c r="CH100" s="164"/>
      <c r="CI100" s="164"/>
      <c r="CJ100" s="164"/>
      <c r="CK100" s="164"/>
      <c r="CL100" s="164"/>
      <c r="CM100" s="172"/>
      <c r="CN100" s="172"/>
      <c r="CO100" s="164"/>
      <c r="CP100" s="164"/>
      <c r="CQ100" s="164"/>
      <c r="CR100" s="164"/>
      <c r="CS100" s="164"/>
      <c r="CT100" s="164"/>
      <c r="CU100" s="172"/>
      <c r="CV100" s="172"/>
      <c r="CW100" s="164"/>
      <c r="CX100" s="164"/>
      <c r="CY100" s="164"/>
      <c r="CZ100" s="164"/>
      <c r="DA100" s="164"/>
      <c r="DB100" s="164"/>
    </row>
    <row r="101" spans="1:106" x14ac:dyDescent="0.2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8"/>
      <c r="L101" s="168"/>
      <c r="M101" s="164"/>
      <c r="N101" s="164"/>
      <c r="O101" s="164"/>
      <c r="P101" s="164"/>
      <c r="Q101" s="164"/>
      <c r="R101" s="164"/>
      <c r="S101" s="168"/>
      <c r="T101" s="168"/>
      <c r="U101" s="164"/>
      <c r="V101" s="164"/>
      <c r="W101" s="164"/>
      <c r="X101" s="164"/>
      <c r="Y101" s="164"/>
      <c r="Z101" s="164"/>
      <c r="AA101" s="172"/>
      <c r="AB101" s="172"/>
      <c r="AC101" s="164"/>
      <c r="AD101" s="164"/>
      <c r="AE101" s="164"/>
      <c r="AF101" s="164"/>
      <c r="AG101" s="164"/>
      <c r="AH101" s="164"/>
      <c r="AI101" s="172"/>
      <c r="AJ101" s="172"/>
      <c r="AK101" s="164"/>
      <c r="AL101" s="164"/>
      <c r="AM101" s="164"/>
      <c r="AN101" s="164"/>
      <c r="AO101" s="164"/>
      <c r="AP101" s="164"/>
      <c r="AQ101" s="172"/>
      <c r="AR101" s="172"/>
      <c r="AS101" s="164"/>
      <c r="AT101" s="164"/>
      <c r="AU101" s="164"/>
      <c r="AV101" s="164"/>
      <c r="AW101" s="164"/>
      <c r="AX101" s="164"/>
      <c r="AY101" s="172"/>
      <c r="AZ101" s="172"/>
      <c r="BA101" s="164"/>
      <c r="BB101" s="164"/>
      <c r="BC101" s="164"/>
      <c r="BD101" s="164"/>
      <c r="BE101" s="164"/>
      <c r="BF101" s="164"/>
      <c r="BG101" s="172"/>
      <c r="BH101" s="172"/>
      <c r="BI101" s="164"/>
      <c r="BJ101" s="164"/>
      <c r="BK101" s="164"/>
      <c r="BL101" s="164"/>
      <c r="BM101" s="164"/>
      <c r="BN101" s="164"/>
      <c r="BO101" s="172"/>
      <c r="BP101" s="172"/>
      <c r="BQ101" s="164"/>
      <c r="BR101" s="164"/>
      <c r="BS101" s="164"/>
      <c r="BT101" s="164"/>
      <c r="BU101" s="164"/>
      <c r="BV101" s="164"/>
      <c r="BW101" s="172"/>
      <c r="BX101" s="172"/>
      <c r="BY101" s="164"/>
      <c r="BZ101" s="164"/>
      <c r="CA101" s="164"/>
      <c r="CB101" s="164"/>
      <c r="CC101" s="164"/>
      <c r="CD101" s="164"/>
      <c r="CE101" s="172"/>
      <c r="CF101" s="172"/>
      <c r="CG101" s="164"/>
      <c r="CH101" s="164"/>
      <c r="CI101" s="164"/>
      <c r="CJ101" s="164"/>
      <c r="CK101" s="164"/>
      <c r="CL101" s="164"/>
      <c r="CM101" s="172"/>
      <c r="CN101" s="172"/>
      <c r="CO101" s="164"/>
      <c r="CP101" s="164"/>
      <c r="CQ101" s="164"/>
      <c r="CR101" s="164"/>
      <c r="CS101" s="164"/>
      <c r="CT101" s="164"/>
      <c r="CU101" s="172"/>
      <c r="CV101" s="172"/>
      <c r="CW101" s="164"/>
      <c r="CX101" s="164"/>
      <c r="CY101" s="164"/>
      <c r="CZ101" s="164"/>
      <c r="DA101" s="164"/>
      <c r="DB101" s="164"/>
    </row>
    <row r="102" spans="1:106" x14ac:dyDescent="0.2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8"/>
      <c r="L102" s="168"/>
      <c r="M102" s="164"/>
      <c r="N102" s="164"/>
      <c r="O102" s="164"/>
      <c r="P102" s="164"/>
      <c r="Q102" s="164"/>
      <c r="R102" s="164"/>
      <c r="S102" s="168"/>
      <c r="T102" s="168"/>
      <c r="U102" s="164"/>
      <c r="V102" s="164"/>
      <c r="W102" s="164"/>
      <c r="X102" s="164"/>
      <c r="Y102" s="164"/>
      <c r="Z102" s="164"/>
      <c r="AA102" s="172"/>
      <c r="AB102" s="172"/>
      <c r="AC102" s="164"/>
      <c r="AD102" s="164"/>
      <c r="AE102" s="164"/>
      <c r="AF102" s="164"/>
      <c r="AG102" s="164"/>
      <c r="AH102" s="164"/>
      <c r="AI102" s="172"/>
      <c r="AJ102" s="172"/>
      <c r="AK102" s="164"/>
      <c r="AL102" s="164"/>
      <c r="AM102" s="164"/>
      <c r="AN102" s="164"/>
      <c r="AO102" s="164"/>
      <c r="AP102" s="164"/>
      <c r="AQ102" s="172"/>
      <c r="AR102" s="172"/>
      <c r="AS102" s="164"/>
      <c r="AT102" s="164"/>
      <c r="AU102" s="164"/>
      <c r="AV102" s="164"/>
      <c r="AW102" s="164"/>
      <c r="AX102" s="164"/>
      <c r="AY102" s="172"/>
      <c r="AZ102" s="172"/>
      <c r="BA102" s="164"/>
      <c r="BB102" s="164"/>
      <c r="BC102" s="164"/>
      <c r="BD102" s="164"/>
      <c r="BE102" s="164"/>
      <c r="BF102" s="164"/>
      <c r="BG102" s="172"/>
      <c r="BH102" s="172"/>
      <c r="BI102" s="164"/>
      <c r="BJ102" s="164"/>
      <c r="BK102" s="164"/>
      <c r="BL102" s="164"/>
      <c r="BM102" s="164"/>
      <c r="BN102" s="164"/>
      <c r="BO102" s="172"/>
      <c r="BP102" s="172"/>
      <c r="BQ102" s="164"/>
      <c r="BR102" s="164"/>
      <c r="BS102" s="164"/>
      <c r="BT102" s="164"/>
      <c r="BU102" s="164"/>
      <c r="BV102" s="164"/>
      <c r="BW102" s="172"/>
      <c r="BX102" s="172"/>
      <c r="BY102" s="164"/>
      <c r="BZ102" s="164"/>
      <c r="CA102" s="164"/>
      <c r="CB102" s="164"/>
      <c r="CC102" s="164"/>
      <c r="CD102" s="164"/>
      <c r="CE102" s="172"/>
      <c r="CF102" s="172"/>
      <c r="CG102" s="164"/>
      <c r="CH102" s="164"/>
      <c r="CI102" s="164"/>
      <c r="CJ102" s="164"/>
      <c r="CK102" s="164"/>
      <c r="CL102" s="164"/>
      <c r="CM102" s="172"/>
      <c r="CN102" s="172"/>
      <c r="CO102" s="164"/>
      <c r="CP102" s="164"/>
      <c r="CQ102" s="164"/>
      <c r="CR102" s="164"/>
      <c r="CS102" s="164"/>
      <c r="CT102" s="164"/>
      <c r="CU102" s="172"/>
      <c r="CV102" s="172"/>
      <c r="CW102" s="164"/>
      <c r="CX102" s="164"/>
      <c r="CY102" s="164"/>
      <c r="CZ102" s="164"/>
      <c r="DA102" s="164"/>
      <c r="DB102" s="164"/>
    </row>
    <row r="103" spans="1:106" x14ac:dyDescent="0.2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8"/>
      <c r="L103" s="264"/>
      <c r="M103" s="164"/>
      <c r="N103" s="164"/>
      <c r="O103" s="164"/>
      <c r="P103" s="164"/>
      <c r="Q103" s="164"/>
      <c r="R103" s="164"/>
      <c r="S103" s="168"/>
      <c r="T103" s="264"/>
      <c r="U103" s="164"/>
      <c r="V103" s="164"/>
      <c r="W103" s="164"/>
      <c r="X103" s="164"/>
      <c r="Y103" s="164"/>
      <c r="Z103" s="164"/>
      <c r="AA103" s="172"/>
      <c r="AB103" s="172"/>
      <c r="AC103" s="164"/>
      <c r="AD103" s="164"/>
      <c r="AE103" s="164"/>
      <c r="AF103" s="164"/>
      <c r="AG103" s="164"/>
      <c r="AH103" s="164"/>
      <c r="AI103" s="172"/>
      <c r="AJ103" s="172"/>
      <c r="AK103" s="164"/>
      <c r="AL103" s="164"/>
      <c r="AM103" s="164"/>
      <c r="AN103" s="164"/>
      <c r="AO103" s="164"/>
      <c r="AP103" s="164"/>
      <c r="AQ103" s="172"/>
      <c r="AR103" s="172"/>
      <c r="AS103" s="164"/>
      <c r="AT103" s="164"/>
      <c r="AU103" s="164"/>
      <c r="AV103" s="164"/>
      <c r="AW103" s="164"/>
      <c r="AX103" s="164"/>
      <c r="AY103" s="172"/>
      <c r="AZ103" s="172"/>
      <c r="BA103" s="164"/>
      <c r="BB103" s="164"/>
      <c r="BC103" s="164"/>
      <c r="BD103" s="164"/>
      <c r="BE103" s="164"/>
      <c r="BF103" s="164"/>
      <c r="BG103" s="172"/>
      <c r="BH103" s="172"/>
      <c r="BI103" s="164"/>
      <c r="BJ103" s="164"/>
      <c r="BK103" s="164"/>
      <c r="BL103" s="164"/>
      <c r="BM103" s="164"/>
      <c r="BN103" s="164"/>
      <c r="BO103" s="172"/>
      <c r="BP103" s="172"/>
      <c r="BQ103" s="164"/>
      <c r="BR103" s="164"/>
      <c r="BS103" s="164"/>
      <c r="BT103" s="164"/>
      <c r="BU103" s="164"/>
      <c r="BV103" s="164"/>
      <c r="BW103" s="172"/>
      <c r="BX103" s="172"/>
      <c r="BY103" s="164"/>
      <c r="BZ103" s="164"/>
      <c r="CA103" s="164"/>
      <c r="CB103" s="164"/>
      <c r="CC103" s="164"/>
      <c r="CD103" s="164"/>
      <c r="CE103" s="172"/>
      <c r="CF103" s="172"/>
      <c r="CG103" s="164"/>
      <c r="CH103" s="164"/>
      <c r="CI103" s="164"/>
      <c r="CJ103" s="164"/>
      <c r="CK103" s="164"/>
      <c r="CL103" s="164"/>
      <c r="CM103" s="172"/>
      <c r="CN103" s="172"/>
      <c r="CO103" s="164"/>
      <c r="CP103" s="164"/>
      <c r="CQ103" s="164"/>
      <c r="CR103" s="164"/>
      <c r="CS103" s="164"/>
      <c r="CT103" s="164"/>
      <c r="CU103" s="172"/>
      <c r="CV103" s="172"/>
      <c r="CW103" s="164"/>
      <c r="CX103" s="164"/>
      <c r="CY103" s="164"/>
      <c r="CZ103" s="164"/>
      <c r="DA103" s="164"/>
      <c r="DB103" s="164"/>
    </row>
    <row r="104" spans="1:106" x14ac:dyDescent="0.2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8"/>
      <c r="L104" s="264"/>
      <c r="M104" s="164"/>
      <c r="N104" s="164"/>
      <c r="O104" s="164"/>
      <c r="P104" s="164"/>
      <c r="Q104" s="164"/>
      <c r="R104" s="164"/>
      <c r="S104" s="168"/>
      <c r="T104" s="264"/>
      <c r="U104" s="164"/>
      <c r="V104" s="164"/>
      <c r="W104" s="164"/>
      <c r="X104" s="164"/>
      <c r="Y104" s="164"/>
      <c r="Z104" s="164"/>
      <c r="AA104" s="172"/>
      <c r="AB104" s="172"/>
      <c r="AC104" s="164"/>
      <c r="AD104" s="164"/>
      <c r="AE104" s="164"/>
      <c r="AF104" s="164"/>
      <c r="AG104" s="164"/>
      <c r="AH104" s="164"/>
      <c r="AI104" s="172"/>
      <c r="AJ104" s="172"/>
      <c r="AK104" s="164"/>
      <c r="AL104" s="164"/>
      <c r="AM104" s="164"/>
      <c r="AN104" s="164"/>
      <c r="AO104" s="164"/>
      <c r="AP104" s="164"/>
      <c r="AQ104" s="172"/>
      <c r="AR104" s="172"/>
      <c r="AS104" s="164"/>
      <c r="AT104" s="164"/>
      <c r="AU104" s="164"/>
      <c r="AV104" s="164"/>
      <c r="AW104" s="164"/>
      <c r="AX104" s="164"/>
      <c r="AY104" s="172"/>
      <c r="AZ104" s="172"/>
      <c r="BA104" s="164"/>
      <c r="BB104" s="164"/>
      <c r="BC104" s="164"/>
      <c r="BD104" s="164"/>
      <c r="BE104" s="164"/>
      <c r="BF104" s="164"/>
      <c r="BG104" s="172"/>
      <c r="BH104" s="172"/>
      <c r="BI104" s="164"/>
      <c r="BJ104" s="164"/>
      <c r="BK104" s="164"/>
      <c r="BL104" s="164"/>
      <c r="BM104" s="164"/>
      <c r="BN104" s="164"/>
      <c r="BO104" s="172"/>
      <c r="BP104" s="172"/>
      <c r="BQ104" s="164"/>
      <c r="BR104" s="164"/>
      <c r="BS104" s="164"/>
      <c r="BT104" s="164"/>
      <c r="BU104" s="164"/>
      <c r="BV104" s="164"/>
      <c r="BW104" s="172"/>
      <c r="BX104" s="172"/>
      <c r="BY104" s="164"/>
      <c r="BZ104" s="164"/>
      <c r="CA104" s="164"/>
      <c r="CB104" s="164"/>
      <c r="CC104" s="164"/>
      <c r="CD104" s="164"/>
      <c r="CE104" s="172"/>
      <c r="CF104" s="172"/>
      <c r="CG104" s="164"/>
      <c r="CH104" s="164"/>
      <c r="CI104" s="164"/>
      <c r="CJ104" s="164"/>
      <c r="CK104" s="164"/>
      <c r="CL104" s="164"/>
      <c r="CM104" s="172"/>
      <c r="CN104" s="172"/>
      <c r="CO104" s="164"/>
      <c r="CP104" s="164"/>
      <c r="CQ104" s="164"/>
      <c r="CR104" s="164"/>
      <c r="CS104" s="164"/>
      <c r="CT104" s="164"/>
      <c r="CU104" s="172"/>
      <c r="CV104" s="172"/>
      <c r="CW104" s="164"/>
      <c r="CX104" s="164"/>
      <c r="CY104" s="164"/>
      <c r="CZ104" s="164"/>
      <c r="DA104" s="164"/>
      <c r="DB104" s="164"/>
    </row>
    <row r="105" spans="1:106" x14ac:dyDescent="0.2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8"/>
      <c r="L105" s="264"/>
      <c r="M105" s="164"/>
      <c r="N105" s="164"/>
      <c r="O105" s="164"/>
      <c r="P105" s="164"/>
      <c r="Q105" s="164"/>
      <c r="R105" s="164"/>
      <c r="S105" s="168"/>
      <c r="T105" s="264"/>
      <c r="U105" s="164"/>
      <c r="V105" s="164"/>
      <c r="W105" s="164"/>
      <c r="X105" s="164"/>
      <c r="Y105" s="164"/>
      <c r="Z105" s="164"/>
      <c r="AA105" s="172"/>
      <c r="AB105" s="172"/>
      <c r="AC105" s="164"/>
      <c r="AD105" s="164"/>
      <c r="AE105" s="164"/>
      <c r="AF105" s="164"/>
      <c r="AG105" s="164"/>
      <c r="AH105" s="164"/>
      <c r="AI105" s="172"/>
      <c r="AJ105" s="172"/>
      <c r="AK105" s="164"/>
      <c r="AL105" s="164"/>
      <c r="AM105" s="164"/>
      <c r="AN105" s="164"/>
      <c r="AO105" s="164"/>
      <c r="AP105" s="164"/>
      <c r="AQ105" s="172"/>
      <c r="AR105" s="172"/>
      <c r="AS105" s="164"/>
      <c r="AT105" s="164"/>
      <c r="AU105" s="164"/>
      <c r="AV105" s="164"/>
      <c r="AW105" s="164"/>
      <c r="AX105" s="164"/>
      <c r="AY105" s="172"/>
      <c r="AZ105" s="172"/>
      <c r="BA105" s="164"/>
      <c r="BB105" s="164"/>
      <c r="BC105" s="164"/>
      <c r="BD105" s="164"/>
      <c r="BE105" s="164"/>
      <c r="BF105" s="164"/>
      <c r="BG105" s="172"/>
      <c r="BH105" s="172"/>
      <c r="BI105" s="164"/>
      <c r="BJ105" s="164"/>
      <c r="BK105" s="164"/>
      <c r="BL105" s="164"/>
      <c r="BM105" s="164"/>
      <c r="BN105" s="164"/>
      <c r="BO105" s="172"/>
      <c r="BP105" s="172"/>
      <c r="BQ105" s="164"/>
      <c r="BR105" s="164"/>
      <c r="BS105" s="164"/>
      <c r="BT105" s="164"/>
      <c r="BU105" s="164"/>
      <c r="BV105" s="164"/>
      <c r="BW105" s="172"/>
      <c r="BX105" s="172"/>
      <c r="BY105" s="164"/>
      <c r="BZ105" s="164"/>
      <c r="CA105" s="164"/>
      <c r="CB105" s="164"/>
      <c r="CC105" s="164"/>
      <c r="CD105" s="164"/>
      <c r="CE105" s="172"/>
      <c r="CF105" s="172"/>
      <c r="CG105" s="164"/>
      <c r="CH105" s="164"/>
      <c r="CI105" s="164"/>
      <c r="CJ105" s="164"/>
      <c r="CK105" s="164"/>
      <c r="CL105" s="164"/>
      <c r="CM105" s="172"/>
      <c r="CN105" s="172"/>
      <c r="CO105" s="164"/>
      <c r="CP105" s="164"/>
      <c r="CQ105" s="164"/>
      <c r="CR105" s="164"/>
      <c r="CS105" s="164"/>
      <c r="CT105" s="164"/>
      <c r="CU105" s="172"/>
      <c r="CV105" s="172"/>
      <c r="CW105" s="164"/>
      <c r="CX105" s="164"/>
      <c r="CY105" s="164"/>
      <c r="CZ105" s="164"/>
      <c r="DA105" s="164"/>
      <c r="DB105" s="164"/>
    </row>
    <row r="106" spans="1:106" x14ac:dyDescent="0.2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8"/>
      <c r="L106" s="264"/>
      <c r="M106" s="164"/>
      <c r="N106" s="164"/>
      <c r="O106" s="164"/>
      <c r="P106" s="164"/>
      <c r="Q106" s="164"/>
      <c r="R106" s="164"/>
      <c r="S106" s="168"/>
      <c r="T106" s="264"/>
      <c r="U106" s="164"/>
      <c r="V106" s="164"/>
      <c r="W106" s="164"/>
      <c r="X106" s="164"/>
      <c r="Y106" s="164"/>
      <c r="Z106" s="164"/>
      <c r="AA106" s="172"/>
      <c r="AB106" s="172"/>
      <c r="AC106" s="164"/>
      <c r="AD106" s="164"/>
      <c r="AE106" s="164"/>
      <c r="AF106" s="164"/>
      <c r="AG106" s="164"/>
      <c r="AH106" s="164"/>
      <c r="AI106" s="172"/>
      <c r="AJ106" s="172"/>
      <c r="AK106" s="164"/>
      <c r="AL106" s="164"/>
      <c r="AM106" s="164"/>
      <c r="AN106" s="164"/>
      <c r="AO106" s="164"/>
      <c r="AP106" s="164"/>
      <c r="AQ106" s="172"/>
      <c r="AR106" s="172"/>
      <c r="AS106" s="164"/>
      <c r="AT106" s="164"/>
      <c r="AU106" s="164"/>
      <c r="AV106" s="164"/>
      <c r="AW106" s="164"/>
      <c r="AX106" s="164"/>
      <c r="AY106" s="172"/>
      <c r="AZ106" s="172"/>
      <c r="BA106" s="164"/>
      <c r="BB106" s="164"/>
      <c r="BC106" s="164"/>
      <c r="BD106" s="164"/>
      <c r="BE106" s="164"/>
      <c r="BF106" s="164"/>
      <c r="BG106" s="172"/>
      <c r="BH106" s="172"/>
      <c r="BI106" s="164"/>
      <c r="BJ106" s="164"/>
      <c r="BK106" s="164"/>
      <c r="BL106" s="164"/>
      <c r="BM106" s="164"/>
      <c r="BN106" s="164"/>
      <c r="BO106" s="172"/>
      <c r="BP106" s="172"/>
      <c r="BQ106" s="164"/>
      <c r="BR106" s="164"/>
      <c r="BS106" s="164"/>
      <c r="BT106" s="164"/>
      <c r="BU106" s="164"/>
      <c r="BV106" s="164"/>
      <c r="BW106" s="172"/>
      <c r="BX106" s="172"/>
      <c r="BY106" s="164"/>
      <c r="BZ106" s="164"/>
      <c r="CA106" s="164"/>
      <c r="CB106" s="164"/>
      <c r="CC106" s="164"/>
      <c r="CD106" s="164"/>
      <c r="CE106" s="172"/>
      <c r="CF106" s="172"/>
      <c r="CG106" s="164"/>
      <c r="CH106" s="164"/>
      <c r="CI106" s="164"/>
      <c r="CJ106" s="164"/>
      <c r="CK106" s="164"/>
      <c r="CL106" s="164"/>
      <c r="CM106" s="172"/>
      <c r="CN106" s="172"/>
      <c r="CO106" s="164"/>
      <c r="CP106" s="164"/>
      <c r="CQ106" s="164"/>
      <c r="CR106" s="164"/>
      <c r="CS106" s="164"/>
      <c r="CT106" s="164"/>
      <c r="CU106" s="172"/>
      <c r="CV106" s="172"/>
      <c r="CW106" s="164"/>
      <c r="CX106" s="164"/>
      <c r="CY106" s="164"/>
      <c r="CZ106" s="164"/>
      <c r="DA106" s="164"/>
      <c r="DB106" s="164"/>
    </row>
    <row r="107" spans="1:106" x14ac:dyDescent="0.2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8"/>
      <c r="L107" s="264"/>
      <c r="M107" s="164"/>
      <c r="N107" s="164"/>
      <c r="O107" s="164"/>
      <c r="P107" s="164"/>
      <c r="Q107" s="164"/>
      <c r="R107" s="164"/>
      <c r="S107" s="168"/>
      <c r="T107" s="264"/>
      <c r="U107" s="164"/>
      <c r="V107" s="164"/>
      <c r="W107" s="164"/>
      <c r="X107" s="164"/>
      <c r="Y107" s="164"/>
      <c r="Z107" s="164"/>
      <c r="AA107" s="172"/>
      <c r="AB107" s="172"/>
      <c r="AC107" s="164"/>
      <c r="AD107" s="164"/>
      <c r="AE107" s="164"/>
      <c r="AF107" s="164"/>
      <c r="AG107" s="164"/>
      <c r="AH107" s="164"/>
      <c r="AI107" s="172"/>
      <c r="AJ107" s="172"/>
      <c r="AK107" s="164"/>
      <c r="AL107" s="164"/>
      <c r="AM107" s="164"/>
      <c r="AN107" s="164"/>
      <c r="AO107" s="164"/>
      <c r="AP107" s="164"/>
      <c r="AQ107" s="172"/>
      <c r="AR107" s="172"/>
      <c r="AS107" s="164"/>
      <c r="AT107" s="164"/>
      <c r="AU107" s="164"/>
      <c r="AV107" s="164"/>
      <c r="AW107" s="164"/>
      <c r="AX107" s="164"/>
      <c r="AY107" s="172"/>
      <c r="AZ107" s="172"/>
      <c r="BA107" s="164"/>
      <c r="BB107" s="164"/>
      <c r="BC107" s="164"/>
      <c r="BD107" s="164"/>
      <c r="BE107" s="164"/>
      <c r="BF107" s="164"/>
      <c r="BG107" s="172"/>
      <c r="BH107" s="172"/>
      <c r="BI107" s="164"/>
      <c r="BJ107" s="164"/>
      <c r="BK107" s="164"/>
      <c r="BL107" s="164"/>
      <c r="BM107" s="164"/>
      <c r="BN107" s="164"/>
      <c r="BO107" s="172"/>
      <c r="BP107" s="172"/>
      <c r="BQ107" s="164"/>
      <c r="BR107" s="164"/>
      <c r="BS107" s="164"/>
      <c r="BT107" s="164"/>
      <c r="BU107" s="164"/>
      <c r="BV107" s="164"/>
      <c r="BW107" s="172"/>
      <c r="BX107" s="172"/>
      <c r="BY107" s="164"/>
      <c r="BZ107" s="164"/>
      <c r="CA107" s="164"/>
      <c r="CB107" s="164"/>
      <c r="CC107" s="164"/>
      <c r="CD107" s="164"/>
      <c r="CE107" s="172"/>
      <c r="CF107" s="172"/>
      <c r="CG107" s="164"/>
      <c r="CH107" s="164"/>
      <c r="CI107" s="164"/>
      <c r="CJ107" s="164"/>
      <c r="CK107" s="164"/>
      <c r="CL107" s="164"/>
      <c r="CM107" s="172"/>
      <c r="CN107" s="172"/>
      <c r="CO107" s="164"/>
      <c r="CP107" s="164"/>
      <c r="CQ107" s="164"/>
      <c r="CR107" s="164"/>
      <c r="CS107" s="164"/>
      <c r="CT107" s="164"/>
      <c r="CU107" s="172"/>
      <c r="CV107" s="172"/>
      <c r="CW107" s="164"/>
      <c r="CX107" s="164"/>
      <c r="CY107" s="164"/>
      <c r="CZ107" s="164"/>
      <c r="DA107" s="164"/>
      <c r="DB107" s="164"/>
    </row>
    <row r="108" spans="1:106" x14ac:dyDescent="0.2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8"/>
      <c r="L108" s="264"/>
      <c r="M108" s="164"/>
      <c r="N108" s="164"/>
      <c r="O108" s="164"/>
      <c r="P108" s="164"/>
      <c r="Q108" s="164"/>
      <c r="R108" s="164"/>
      <c r="S108" s="168"/>
      <c r="T108" s="264"/>
      <c r="U108" s="164"/>
      <c r="V108" s="164"/>
      <c r="W108" s="164"/>
      <c r="X108" s="164"/>
      <c r="Y108" s="164"/>
      <c r="Z108" s="164"/>
      <c r="AA108" s="172"/>
      <c r="AB108" s="172"/>
      <c r="AC108" s="164"/>
      <c r="AD108" s="164"/>
      <c r="AE108" s="164"/>
      <c r="AF108" s="164"/>
      <c r="AG108" s="164"/>
      <c r="AH108" s="164"/>
      <c r="AI108" s="172"/>
      <c r="AJ108" s="172"/>
      <c r="AK108" s="164"/>
      <c r="AL108" s="164"/>
      <c r="AM108" s="164"/>
      <c r="AN108" s="164"/>
      <c r="AO108" s="164"/>
      <c r="AP108" s="164"/>
      <c r="AQ108" s="172"/>
      <c r="AR108" s="172"/>
      <c r="AS108" s="164"/>
      <c r="AT108" s="164"/>
      <c r="AU108" s="164"/>
      <c r="AV108" s="164"/>
      <c r="AW108" s="164"/>
      <c r="AX108" s="164"/>
      <c r="AY108" s="172"/>
      <c r="AZ108" s="172"/>
      <c r="BA108" s="164"/>
      <c r="BB108" s="164"/>
      <c r="BC108" s="164"/>
      <c r="BD108" s="164"/>
      <c r="BE108" s="164"/>
      <c r="BF108" s="164"/>
      <c r="BG108" s="172"/>
      <c r="BH108" s="172"/>
      <c r="BI108" s="164"/>
      <c r="BJ108" s="164"/>
      <c r="BK108" s="164"/>
      <c r="BL108" s="164"/>
      <c r="BM108" s="164"/>
      <c r="BN108" s="164"/>
      <c r="BO108" s="172"/>
      <c r="BP108" s="172"/>
      <c r="BQ108" s="164"/>
      <c r="BR108" s="164"/>
      <c r="BS108" s="164"/>
      <c r="BT108" s="164"/>
      <c r="BU108" s="164"/>
      <c r="BV108" s="164"/>
      <c r="BW108" s="172"/>
      <c r="BX108" s="172"/>
      <c r="BY108" s="164"/>
      <c r="BZ108" s="164"/>
      <c r="CA108" s="164"/>
      <c r="CB108" s="164"/>
      <c r="CC108" s="164"/>
      <c r="CD108" s="164"/>
      <c r="CE108" s="172"/>
      <c r="CF108" s="172"/>
      <c r="CG108" s="164"/>
      <c r="CH108" s="164"/>
      <c r="CI108" s="164"/>
      <c r="CJ108" s="164"/>
      <c r="CK108" s="164"/>
      <c r="CL108" s="164"/>
      <c r="CM108" s="172"/>
      <c r="CN108" s="172"/>
      <c r="CO108" s="164"/>
      <c r="CP108" s="164"/>
      <c r="CQ108" s="164"/>
      <c r="CR108" s="164"/>
      <c r="CS108" s="164"/>
      <c r="CT108" s="164"/>
      <c r="CU108" s="172"/>
      <c r="CV108" s="172"/>
      <c r="CW108" s="164"/>
      <c r="CX108" s="164"/>
      <c r="CY108" s="164"/>
      <c r="CZ108" s="164"/>
      <c r="DA108" s="164"/>
      <c r="DB108" s="164"/>
    </row>
    <row r="109" spans="1:106" x14ac:dyDescent="0.2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8"/>
      <c r="L109" s="264"/>
      <c r="M109" s="164"/>
      <c r="N109" s="164"/>
      <c r="O109" s="164"/>
      <c r="P109" s="164"/>
      <c r="Q109" s="164"/>
      <c r="R109" s="164"/>
      <c r="S109" s="168"/>
      <c r="T109" s="264"/>
      <c r="U109" s="164"/>
      <c r="V109" s="164"/>
      <c r="W109" s="164"/>
      <c r="X109" s="164"/>
      <c r="Y109" s="164"/>
      <c r="Z109" s="164"/>
      <c r="AA109" s="172"/>
      <c r="AB109" s="172"/>
      <c r="AC109" s="164"/>
      <c r="AD109" s="164"/>
      <c r="AE109" s="164"/>
      <c r="AF109" s="164"/>
      <c r="AG109" s="164"/>
      <c r="AH109" s="164"/>
      <c r="AI109" s="172"/>
      <c r="AJ109" s="172"/>
      <c r="AK109" s="164"/>
      <c r="AL109" s="164"/>
      <c r="AM109" s="164"/>
      <c r="AN109" s="164"/>
      <c r="AO109" s="164"/>
      <c r="AP109" s="164"/>
      <c r="AQ109" s="172"/>
      <c r="AR109" s="172"/>
      <c r="AS109" s="164"/>
      <c r="AT109" s="164"/>
      <c r="AU109" s="164"/>
      <c r="AV109" s="164"/>
      <c r="AW109" s="164"/>
      <c r="AX109" s="164"/>
      <c r="AY109" s="172"/>
      <c r="AZ109" s="172"/>
      <c r="BA109" s="164"/>
      <c r="BB109" s="164"/>
      <c r="BC109" s="164"/>
      <c r="BD109" s="164"/>
      <c r="BE109" s="164"/>
      <c r="BF109" s="164"/>
      <c r="BG109" s="172"/>
      <c r="BH109" s="172"/>
      <c r="BI109" s="164"/>
      <c r="BJ109" s="164"/>
      <c r="BK109" s="164"/>
      <c r="BL109" s="164"/>
      <c r="BM109" s="164"/>
      <c r="BN109" s="164"/>
      <c r="BO109" s="172"/>
      <c r="BP109" s="172"/>
      <c r="BQ109" s="164"/>
      <c r="BR109" s="164"/>
      <c r="BS109" s="164"/>
      <c r="BT109" s="164"/>
      <c r="BU109" s="164"/>
      <c r="BV109" s="164"/>
      <c r="BW109" s="172"/>
      <c r="BX109" s="172"/>
      <c r="BY109" s="164"/>
      <c r="BZ109" s="164"/>
      <c r="CA109" s="164"/>
      <c r="CB109" s="164"/>
      <c r="CC109" s="164"/>
      <c r="CD109" s="164"/>
      <c r="CE109" s="172"/>
      <c r="CF109" s="172"/>
      <c r="CG109" s="164"/>
      <c r="CH109" s="164"/>
      <c r="CI109" s="164"/>
      <c r="CJ109" s="164"/>
      <c r="CK109" s="164"/>
      <c r="CL109" s="164"/>
      <c r="CM109" s="172"/>
      <c r="CN109" s="172"/>
      <c r="CO109" s="164"/>
      <c r="CP109" s="164"/>
      <c r="CQ109" s="164"/>
      <c r="CR109" s="164"/>
      <c r="CS109" s="164"/>
      <c r="CT109" s="164"/>
      <c r="CU109" s="172"/>
      <c r="CV109" s="172"/>
      <c r="CW109" s="164"/>
      <c r="CX109" s="164"/>
      <c r="CY109" s="164"/>
      <c r="CZ109" s="164"/>
      <c r="DA109" s="164"/>
      <c r="DB109" s="164"/>
    </row>
    <row r="110" spans="1:106" s="171" customFormat="1" x14ac:dyDescent="0.2">
      <c r="A110" s="169"/>
      <c r="B110" s="169"/>
      <c r="C110" s="263"/>
      <c r="D110" s="169"/>
      <c r="E110" s="169"/>
      <c r="F110" s="169"/>
      <c r="G110" s="169"/>
      <c r="H110" s="169"/>
      <c r="I110" s="169"/>
      <c r="J110" s="169"/>
      <c r="K110" s="169"/>
      <c r="L110" s="170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69"/>
      <c r="AV110" s="169"/>
      <c r="AW110" s="169"/>
      <c r="AX110" s="169"/>
      <c r="AY110" s="169"/>
      <c r="AZ110" s="169"/>
      <c r="BA110" s="169"/>
      <c r="BB110" s="169"/>
      <c r="BC110" s="169"/>
      <c r="BD110" s="169"/>
      <c r="BE110" s="169"/>
      <c r="BF110" s="169"/>
      <c r="BG110" s="169"/>
      <c r="BH110" s="169"/>
      <c r="BI110" s="169"/>
      <c r="BJ110" s="169"/>
      <c r="BK110" s="169"/>
      <c r="BL110" s="169"/>
      <c r="BM110" s="169"/>
      <c r="BN110" s="169"/>
      <c r="BO110" s="169"/>
      <c r="BP110" s="169"/>
      <c r="BQ110" s="169"/>
      <c r="BR110" s="169"/>
      <c r="BS110" s="169"/>
      <c r="BT110" s="169"/>
      <c r="BU110" s="169"/>
      <c r="BV110" s="169"/>
      <c r="BW110" s="169"/>
      <c r="BX110" s="169"/>
      <c r="BY110" s="169"/>
      <c r="BZ110" s="169"/>
      <c r="CA110" s="169"/>
      <c r="CB110" s="169"/>
      <c r="CC110" s="169"/>
      <c r="CD110" s="169"/>
      <c r="CE110" s="169"/>
      <c r="CF110" s="169"/>
      <c r="CG110" s="169"/>
      <c r="CH110" s="169"/>
      <c r="CI110" s="169"/>
      <c r="CJ110" s="169"/>
      <c r="CK110" s="169"/>
      <c r="CL110" s="169"/>
      <c r="CM110" s="169"/>
      <c r="CN110" s="169"/>
      <c r="CO110" s="169"/>
      <c r="CP110" s="169"/>
      <c r="CQ110" s="169"/>
      <c r="CR110" s="169"/>
      <c r="CS110" s="169"/>
      <c r="CT110" s="169"/>
      <c r="CU110" s="169"/>
      <c r="CV110" s="169"/>
      <c r="CW110" s="169"/>
      <c r="CX110" s="169"/>
      <c r="CY110" s="169"/>
      <c r="CZ110" s="169"/>
      <c r="DA110" s="169"/>
      <c r="DB110" s="169"/>
    </row>
    <row r="111" spans="1:106" x14ac:dyDescent="0.2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8"/>
      <c r="L111" s="168"/>
      <c r="M111" s="164"/>
      <c r="N111" s="164"/>
      <c r="O111" s="164"/>
      <c r="P111" s="164"/>
      <c r="Q111" s="164"/>
      <c r="R111" s="164"/>
      <c r="S111" s="168"/>
      <c r="T111" s="168"/>
      <c r="U111" s="164"/>
      <c r="V111" s="164"/>
      <c r="W111" s="164"/>
      <c r="X111" s="164"/>
      <c r="Y111" s="164"/>
      <c r="Z111" s="164"/>
      <c r="AA111" s="167"/>
      <c r="AB111" s="172"/>
      <c r="AC111" s="164"/>
      <c r="AD111" s="164"/>
      <c r="AE111" s="164"/>
      <c r="AF111" s="164"/>
      <c r="AG111" s="164"/>
      <c r="AH111" s="164"/>
      <c r="AI111" s="167"/>
      <c r="AJ111" s="172"/>
      <c r="AK111" s="164"/>
      <c r="AL111" s="164"/>
      <c r="AM111" s="164"/>
      <c r="AN111" s="164"/>
      <c r="AO111" s="164"/>
      <c r="AP111" s="164"/>
      <c r="AQ111" s="167"/>
      <c r="AR111" s="172"/>
      <c r="AS111" s="164"/>
      <c r="AT111" s="164"/>
      <c r="AU111" s="164"/>
      <c r="AV111" s="164"/>
      <c r="AW111" s="164"/>
      <c r="AX111" s="164"/>
      <c r="AY111" s="167"/>
      <c r="AZ111" s="172"/>
      <c r="BA111" s="164"/>
      <c r="BB111" s="164"/>
      <c r="BC111" s="164"/>
      <c r="BD111" s="164"/>
      <c r="BE111" s="164"/>
      <c r="BF111" s="164"/>
      <c r="BG111" s="167"/>
      <c r="BH111" s="172"/>
      <c r="BI111" s="164"/>
      <c r="BJ111" s="164"/>
      <c r="BK111" s="164"/>
      <c r="BL111" s="164"/>
      <c r="BM111" s="164"/>
      <c r="BN111" s="164"/>
      <c r="BO111" s="167"/>
      <c r="BP111" s="172"/>
      <c r="BQ111" s="164"/>
      <c r="BR111" s="164"/>
      <c r="BS111" s="164"/>
      <c r="BT111" s="164"/>
      <c r="BU111" s="164"/>
      <c r="BV111" s="164"/>
      <c r="BW111" s="167"/>
      <c r="BX111" s="172"/>
      <c r="BY111" s="164"/>
      <c r="BZ111" s="164"/>
      <c r="CA111" s="164"/>
      <c r="CB111" s="164"/>
      <c r="CC111" s="164"/>
      <c r="CD111" s="164"/>
      <c r="CE111" s="167"/>
      <c r="CF111" s="172"/>
      <c r="CG111" s="164"/>
      <c r="CH111" s="164"/>
      <c r="CI111" s="164"/>
      <c r="CJ111" s="164"/>
      <c r="CK111" s="164"/>
      <c r="CL111" s="164"/>
      <c r="CM111" s="167"/>
      <c r="CN111" s="172"/>
      <c r="CO111" s="164"/>
      <c r="CP111" s="164"/>
      <c r="CQ111" s="164"/>
      <c r="CR111" s="164"/>
      <c r="CS111" s="164"/>
      <c r="CT111" s="164"/>
      <c r="CU111" s="167"/>
      <c r="CV111" s="172"/>
      <c r="CW111" s="164"/>
      <c r="CX111" s="164"/>
      <c r="CY111" s="164"/>
      <c r="CZ111" s="164"/>
      <c r="DA111" s="164"/>
      <c r="DB111" s="164"/>
    </row>
    <row r="112" spans="1:106" x14ac:dyDescent="0.2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8"/>
      <c r="L112" s="168"/>
      <c r="M112" s="164"/>
      <c r="N112" s="164"/>
      <c r="O112" s="164"/>
      <c r="P112" s="164"/>
      <c r="Q112" s="164"/>
      <c r="R112" s="164"/>
      <c r="S112" s="168"/>
      <c r="T112" s="168"/>
      <c r="U112" s="164"/>
      <c r="V112" s="164"/>
      <c r="W112" s="164"/>
      <c r="X112" s="164"/>
      <c r="Y112" s="164"/>
      <c r="Z112" s="164"/>
      <c r="AA112" s="167"/>
      <c r="AB112" s="172"/>
      <c r="AC112" s="164"/>
      <c r="AD112" s="164"/>
      <c r="AE112" s="164"/>
      <c r="AF112" s="164"/>
      <c r="AG112" s="164"/>
      <c r="AH112" s="164"/>
      <c r="AI112" s="167"/>
      <c r="AJ112" s="172"/>
      <c r="AK112" s="164"/>
      <c r="AL112" s="164"/>
      <c r="AM112" s="164"/>
      <c r="AN112" s="164"/>
      <c r="AO112" s="164"/>
      <c r="AP112" s="164"/>
      <c r="AQ112" s="167"/>
      <c r="AR112" s="172"/>
      <c r="AS112" s="164"/>
      <c r="AT112" s="164"/>
      <c r="AU112" s="164"/>
      <c r="AV112" s="164"/>
      <c r="AW112" s="164"/>
      <c r="AX112" s="164"/>
      <c r="AY112" s="167"/>
      <c r="AZ112" s="172"/>
      <c r="BA112" s="164"/>
      <c r="BB112" s="164"/>
      <c r="BC112" s="164"/>
      <c r="BD112" s="164"/>
      <c r="BE112" s="164"/>
      <c r="BF112" s="164"/>
      <c r="BG112" s="167"/>
      <c r="BH112" s="172"/>
      <c r="BI112" s="164"/>
      <c r="BJ112" s="164"/>
      <c r="BK112" s="164"/>
      <c r="BL112" s="164"/>
      <c r="BM112" s="164"/>
      <c r="BN112" s="164"/>
      <c r="BO112" s="167"/>
      <c r="BP112" s="172"/>
      <c r="BQ112" s="164"/>
      <c r="BR112" s="164"/>
      <c r="BS112" s="164"/>
      <c r="BT112" s="164"/>
      <c r="BU112" s="164"/>
      <c r="BV112" s="164"/>
      <c r="BW112" s="167"/>
      <c r="BX112" s="172"/>
      <c r="BY112" s="164"/>
      <c r="BZ112" s="164"/>
      <c r="CA112" s="164"/>
      <c r="CB112" s="164"/>
      <c r="CC112" s="164"/>
      <c r="CD112" s="164"/>
      <c r="CE112" s="167"/>
      <c r="CF112" s="172"/>
      <c r="CG112" s="164"/>
      <c r="CH112" s="164"/>
      <c r="CI112" s="164"/>
      <c r="CJ112" s="164"/>
      <c r="CK112" s="164"/>
      <c r="CL112" s="164"/>
      <c r="CM112" s="167"/>
      <c r="CN112" s="172"/>
      <c r="CO112" s="164"/>
      <c r="CP112" s="164"/>
      <c r="CQ112" s="164"/>
      <c r="CR112" s="164"/>
      <c r="CS112" s="164"/>
      <c r="CT112" s="164"/>
      <c r="CU112" s="167"/>
      <c r="CV112" s="172"/>
      <c r="CW112" s="164"/>
      <c r="CX112" s="164"/>
      <c r="CY112" s="164"/>
      <c r="CZ112" s="164"/>
      <c r="DA112" s="164"/>
      <c r="DB112" s="164"/>
    </row>
    <row r="113" spans="1:106" x14ac:dyDescent="0.2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8"/>
      <c r="L113" s="168"/>
      <c r="M113" s="164"/>
      <c r="N113" s="164"/>
      <c r="O113" s="164"/>
      <c r="P113" s="164"/>
      <c r="Q113" s="164"/>
      <c r="R113" s="164"/>
      <c r="S113" s="168"/>
      <c r="T113" s="168"/>
      <c r="U113" s="164"/>
      <c r="V113" s="164"/>
      <c r="W113" s="164"/>
      <c r="X113" s="164"/>
      <c r="Y113" s="164"/>
      <c r="Z113" s="164"/>
      <c r="AA113" s="167"/>
      <c r="AB113" s="172"/>
      <c r="AC113" s="164"/>
      <c r="AD113" s="164"/>
      <c r="AE113" s="164"/>
      <c r="AF113" s="164"/>
      <c r="AG113" s="164"/>
      <c r="AH113" s="164"/>
      <c r="AI113" s="167"/>
      <c r="AJ113" s="172"/>
      <c r="AK113" s="164"/>
      <c r="AL113" s="164"/>
      <c r="AM113" s="164"/>
      <c r="AN113" s="164"/>
      <c r="AO113" s="164"/>
      <c r="AP113" s="164"/>
      <c r="AQ113" s="167"/>
      <c r="AR113" s="172"/>
      <c r="AS113" s="164"/>
      <c r="AT113" s="164"/>
      <c r="AU113" s="164"/>
      <c r="AV113" s="164"/>
      <c r="AW113" s="164"/>
      <c r="AX113" s="164"/>
      <c r="AY113" s="167"/>
      <c r="AZ113" s="172"/>
      <c r="BA113" s="164"/>
      <c r="BB113" s="164"/>
      <c r="BC113" s="164"/>
      <c r="BD113" s="164"/>
      <c r="BE113" s="164"/>
      <c r="BF113" s="164"/>
      <c r="BG113" s="167"/>
      <c r="BH113" s="172"/>
      <c r="BI113" s="164"/>
      <c r="BJ113" s="164"/>
      <c r="BK113" s="164"/>
      <c r="BL113" s="164"/>
      <c r="BM113" s="164"/>
      <c r="BN113" s="164"/>
      <c r="BO113" s="167"/>
      <c r="BP113" s="172"/>
      <c r="BQ113" s="164"/>
      <c r="BR113" s="164"/>
      <c r="BS113" s="164"/>
      <c r="BT113" s="164"/>
      <c r="BU113" s="164"/>
      <c r="BV113" s="164"/>
      <c r="BW113" s="167"/>
      <c r="BX113" s="172"/>
      <c r="BY113" s="164"/>
      <c r="BZ113" s="164"/>
      <c r="CA113" s="164"/>
      <c r="CB113" s="164"/>
      <c r="CC113" s="164"/>
      <c r="CD113" s="164"/>
      <c r="CE113" s="167"/>
      <c r="CF113" s="172"/>
      <c r="CG113" s="164"/>
      <c r="CH113" s="164"/>
      <c r="CI113" s="164"/>
      <c r="CJ113" s="164"/>
      <c r="CK113" s="164"/>
      <c r="CL113" s="164"/>
      <c r="CM113" s="167"/>
      <c r="CN113" s="172"/>
      <c r="CO113" s="164"/>
      <c r="CP113" s="164"/>
      <c r="CQ113" s="164"/>
      <c r="CR113" s="164"/>
      <c r="CS113" s="164"/>
      <c r="CT113" s="164"/>
      <c r="CU113" s="167"/>
      <c r="CV113" s="172"/>
      <c r="CW113" s="164"/>
      <c r="CX113" s="164"/>
      <c r="CY113" s="164"/>
      <c r="CZ113" s="164"/>
      <c r="DA113" s="164"/>
      <c r="DB113" s="164"/>
    </row>
    <row r="114" spans="1:106" x14ac:dyDescent="0.2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8"/>
      <c r="L114" s="168"/>
      <c r="M114" s="164"/>
      <c r="N114" s="164"/>
      <c r="O114" s="164"/>
      <c r="P114" s="164"/>
      <c r="Q114" s="164"/>
      <c r="R114" s="164"/>
      <c r="S114" s="168"/>
      <c r="T114" s="168"/>
      <c r="U114" s="164"/>
      <c r="V114" s="164"/>
      <c r="W114" s="164"/>
      <c r="X114" s="164"/>
      <c r="Y114" s="164"/>
      <c r="Z114" s="164"/>
      <c r="AA114" s="167"/>
      <c r="AB114" s="172"/>
      <c r="AC114" s="164"/>
      <c r="AD114" s="164"/>
      <c r="AE114" s="164"/>
      <c r="AF114" s="164"/>
      <c r="AG114" s="164"/>
      <c r="AH114" s="164"/>
      <c r="AI114" s="167"/>
      <c r="AJ114" s="172"/>
      <c r="AK114" s="164"/>
      <c r="AL114" s="164"/>
      <c r="AM114" s="164"/>
      <c r="AN114" s="164"/>
      <c r="AO114" s="164"/>
      <c r="AP114" s="164"/>
      <c r="AQ114" s="167"/>
      <c r="AR114" s="172"/>
      <c r="AS114" s="164"/>
      <c r="AT114" s="164"/>
      <c r="AU114" s="164"/>
      <c r="AV114" s="164"/>
      <c r="AW114" s="164"/>
      <c r="AX114" s="164"/>
      <c r="AY114" s="167"/>
      <c r="AZ114" s="172"/>
      <c r="BA114" s="164"/>
      <c r="BB114" s="164"/>
      <c r="BC114" s="164"/>
      <c r="BD114" s="164"/>
      <c r="BE114" s="164"/>
      <c r="BF114" s="164"/>
      <c r="BG114" s="167"/>
      <c r="BH114" s="172"/>
      <c r="BI114" s="164"/>
      <c r="BJ114" s="164"/>
      <c r="BK114" s="164"/>
      <c r="BL114" s="164"/>
      <c r="BM114" s="164"/>
      <c r="BN114" s="164"/>
      <c r="BO114" s="167"/>
      <c r="BP114" s="172"/>
      <c r="BQ114" s="164"/>
      <c r="BR114" s="164"/>
      <c r="BS114" s="164"/>
      <c r="BT114" s="164"/>
      <c r="BU114" s="164"/>
      <c r="BV114" s="164"/>
      <c r="BW114" s="167"/>
      <c r="BX114" s="172"/>
      <c r="BY114" s="164"/>
      <c r="BZ114" s="164"/>
      <c r="CA114" s="164"/>
      <c r="CB114" s="164"/>
      <c r="CC114" s="164"/>
      <c r="CD114" s="164"/>
      <c r="CE114" s="167"/>
      <c r="CF114" s="172"/>
      <c r="CG114" s="164"/>
      <c r="CH114" s="164"/>
      <c r="CI114" s="164"/>
      <c r="CJ114" s="164"/>
      <c r="CK114" s="164"/>
      <c r="CL114" s="164"/>
      <c r="CM114" s="167"/>
      <c r="CN114" s="172"/>
      <c r="CO114" s="164"/>
      <c r="CP114" s="164"/>
      <c r="CQ114" s="164"/>
      <c r="CR114" s="164"/>
      <c r="CS114" s="164"/>
      <c r="CT114" s="164"/>
      <c r="CU114" s="167"/>
      <c r="CV114" s="172"/>
      <c r="CW114" s="164"/>
      <c r="CX114" s="164"/>
      <c r="CY114" s="164"/>
      <c r="CZ114" s="164"/>
      <c r="DA114" s="164"/>
      <c r="DB114" s="164"/>
    </row>
    <row r="115" spans="1:106" x14ac:dyDescent="0.2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8"/>
      <c r="L115" s="168"/>
      <c r="M115" s="164"/>
      <c r="N115" s="164"/>
      <c r="O115" s="164"/>
      <c r="P115" s="164"/>
      <c r="Q115" s="164"/>
      <c r="R115" s="164"/>
      <c r="S115" s="168"/>
      <c r="T115" s="168"/>
      <c r="U115" s="164"/>
      <c r="V115" s="164"/>
      <c r="W115" s="164"/>
      <c r="X115" s="164"/>
      <c r="Y115" s="164"/>
      <c r="Z115" s="164"/>
      <c r="AA115" s="167"/>
      <c r="AB115" s="172"/>
      <c r="AC115" s="164"/>
      <c r="AD115" s="164"/>
      <c r="AE115" s="164"/>
      <c r="AF115" s="164"/>
      <c r="AG115" s="164"/>
      <c r="AH115" s="164"/>
      <c r="AI115" s="167"/>
      <c r="AJ115" s="172"/>
      <c r="AK115" s="164"/>
      <c r="AL115" s="164"/>
      <c r="AM115" s="164"/>
      <c r="AN115" s="164"/>
      <c r="AO115" s="164"/>
      <c r="AP115" s="164"/>
      <c r="AQ115" s="167"/>
      <c r="AR115" s="172"/>
      <c r="AS115" s="164"/>
      <c r="AT115" s="164"/>
      <c r="AU115" s="164"/>
      <c r="AV115" s="164"/>
      <c r="AW115" s="164"/>
      <c r="AX115" s="164"/>
      <c r="AY115" s="167"/>
      <c r="AZ115" s="172"/>
      <c r="BA115" s="164"/>
      <c r="BB115" s="164"/>
      <c r="BC115" s="164"/>
      <c r="BD115" s="164"/>
      <c r="BE115" s="164"/>
      <c r="BF115" s="164"/>
      <c r="BG115" s="167"/>
      <c r="BH115" s="172"/>
      <c r="BI115" s="164"/>
      <c r="BJ115" s="164"/>
      <c r="BK115" s="164"/>
      <c r="BL115" s="164"/>
      <c r="BM115" s="164"/>
      <c r="BN115" s="164"/>
      <c r="BO115" s="167"/>
      <c r="BP115" s="172"/>
      <c r="BQ115" s="164"/>
      <c r="BR115" s="164"/>
      <c r="BS115" s="164"/>
      <c r="BT115" s="164"/>
      <c r="BU115" s="164"/>
      <c r="BV115" s="164"/>
      <c r="BW115" s="167"/>
      <c r="BX115" s="172"/>
      <c r="BY115" s="164"/>
      <c r="BZ115" s="164"/>
      <c r="CA115" s="164"/>
      <c r="CB115" s="164"/>
      <c r="CC115" s="164"/>
      <c r="CD115" s="164"/>
      <c r="CE115" s="167"/>
      <c r="CF115" s="172"/>
      <c r="CG115" s="164"/>
      <c r="CH115" s="164"/>
      <c r="CI115" s="164"/>
      <c r="CJ115" s="164"/>
      <c r="CK115" s="164"/>
      <c r="CL115" s="164"/>
      <c r="CM115" s="167"/>
      <c r="CN115" s="172"/>
      <c r="CO115" s="164"/>
      <c r="CP115" s="164"/>
      <c r="CQ115" s="164"/>
      <c r="CR115" s="164"/>
      <c r="CS115" s="164"/>
      <c r="CT115" s="164"/>
      <c r="CU115" s="167"/>
      <c r="CV115" s="172"/>
      <c r="CW115" s="164"/>
      <c r="CX115" s="164"/>
      <c r="CY115" s="164"/>
      <c r="CZ115" s="164"/>
      <c r="DA115" s="164"/>
      <c r="DB115" s="164"/>
    </row>
    <row r="116" spans="1:106" x14ac:dyDescent="0.2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8"/>
      <c r="L116" s="168"/>
      <c r="M116" s="164"/>
      <c r="N116" s="164"/>
      <c r="O116" s="164"/>
      <c r="P116" s="164"/>
      <c r="Q116" s="164"/>
      <c r="R116" s="164"/>
      <c r="S116" s="168"/>
      <c r="T116" s="168"/>
      <c r="U116" s="164"/>
      <c r="V116" s="164"/>
      <c r="W116" s="164"/>
      <c r="X116" s="164"/>
      <c r="Y116" s="164"/>
      <c r="Z116" s="164"/>
      <c r="AA116" s="167"/>
      <c r="AB116" s="172"/>
      <c r="AC116" s="164"/>
      <c r="AD116" s="164"/>
      <c r="AE116" s="164"/>
      <c r="AF116" s="164"/>
      <c r="AG116" s="164"/>
      <c r="AH116" s="164"/>
      <c r="AI116" s="167"/>
      <c r="AJ116" s="172"/>
      <c r="AK116" s="164"/>
      <c r="AL116" s="164"/>
      <c r="AM116" s="164"/>
      <c r="AN116" s="164"/>
      <c r="AO116" s="164"/>
      <c r="AP116" s="164"/>
      <c r="AQ116" s="167"/>
      <c r="AR116" s="172"/>
      <c r="AS116" s="164"/>
      <c r="AT116" s="164"/>
      <c r="AU116" s="164"/>
      <c r="AV116" s="164"/>
      <c r="AW116" s="164"/>
      <c r="AX116" s="164"/>
      <c r="AY116" s="167"/>
      <c r="AZ116" s="172"/>
      <c r="BA116" s="164"/>
      <c r="BB116" s="164"/>
      <c r="BC116" s="164"/>
      <c r="BD116" s="164"/>
      <c r="BE116" s="164"/>
      <c r="BF116" s="164"/>
      <c r="BG116" s="167"/>
      <c r="BH116" s="172"/>
      <c r="BI116" s="164"/>
      <c r="BJ116" s="164"/>
      <c r="BK116" s="164"/>
      <c r="BL116" s="164"/>
      <c r="BM116" s="164"/>
      <c r="BN116" s="164"/>
      <c r="BO116" s="167"/>
      <c r="BP116" s="172"/>
      <c r="BQ116" s="164"/>
      <c r="BR116" s="164"/>
      <c r="BS116" s="164"/>
      <c r="BT116" s="164"/>
      <c r="BU116" s="164"/>
      <c r="BV116" s="164"/>
      <c r="BW116" s="167"/>
      <c r="BX116" s="172"/>
      <c r="BY116" s="164"/>
      <c r="BZ116" s="164"/>
      <c r="CA116" s="164"/>
      <c r="CB116" s="164"/>
      <c r="CC116" s="164"/>
      <c r="CD116" s="164"/>
      <c r="CE116" s="167"/>
      <c r="CF116" s="172"/>
      <c r="CG116" s="164"/>
      <c r="CH116" s="164"/>
      <c r="CI116" s="164"/>
      <c r="CJ116" s="164"/>
      <c r="CK116" s="164"/>
      <c r="CL116" s="164"/>
      <c r="CM116" s="167"/>
      <c r="CN116" s="172"/>
      <c r="CO116" s="164"/>
      <c r="CP116" s="164"/>
      <c r="CQ116" s="164"/>
      <c r="CR116" s="164"/>
      <c r="CS116" s="164"/>
      <c r="CT116" s="164"/>
      <c r="CU116" s="167"/>
      <c r="CV116" s="172"/>
      <c r="CW116" s="164"/>
      <c r="CX116" s="164"/>
      <c r="CY116" s="164"/>
      <c r="CZ116" s="164"/>
      <c r="DA116" s="164"/>
      <c r="DB116" s="164"/>
    </row>
    <row r="117" spans="1:106" x14ac:dyDescent="0.2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8"/>
      <c r="L117" s="168"/>
      <c r="M117" s="164"/>
      <c r="N117" s="164"/>
      <c r="O117" s="164"/>
      <c r="P117" s="164"/>
      <c r="Q117" s="164"/>
      <c r="R117" s="164"/>
      <c r="S117" s="168"/>
      <c r="T117" s="168"/>
      <c r="U117" s="164"/>
      <c r="V117" s="164"/>
      <c r="W117" s="164"/>
      <c r="X117" s="164"/>
      <c r="Y117" s="164"/>
      <c r="Z117" s="164"/>
      <c r="AA117" s="167"/>
      <c r="AB117" s="172"/>
      <c r="AC117" s="164"/>
      <c r="AD117" s="164"/>
      <c r="AE117" s="164"/>
      <c r="AF117" s="164"/>
      <c r="AG117" s="164"/>
      <c r="AH117" s="164"/>
      <c r="AI117" s="167"/>
      <c r="AJ117" s="172"/>
      <c r="AK117" s="164"/>
      <c r="AL117" s="164"/>
      <c r="AM117" s="164"/>
      <c r="AN117" s="164"/>
      <c r="AO117" s="164"/>
      <c r="AP117" s="164"/>
      <c r="AQ117" s="167"/>
      <c r="AR117" s="172"/>
      <c r="AS117" s="164"/>
      <c r="AT117" s="164"/>
      <c r="AU117" s="164"/>
      <c r="AV117" s="164"/>
      <c r="AW117" s="164"/>
      <c r="AX117" s="164"/>
      <c r="AY117" s="167"/>
      <c r="AZ117" s="172"/>
      <c r="BA117" s="164"/>
      <c r="BB117" s="164"/>
      <c r="BC117" s="164"/>
      <c r="BD117" s="164"/>
      <c r="BE117" s="164"/>
      <c r="BF117" s="164"/>
      <c r="BG117" s="167"/>
      <c r="BH117" s="172"/>
      <c r="BI117" s="164"/>
      <c r="BJ117" s="164"/>
      <c r="BK117" s="164"/>
      <c r="BL117" s="164"/>
      <c r="BM117" s="164"/>
      <c r="BN117" s="164"/>
      <c r="BO117" s="167"/>
      <c r="BP117" s="172"/>
      <c r="BQ117" s="164"/>
      <c r="BR117" s="164"/>
      <c r="BS117" s="164"/>
      <c r="BT117" s="164"/>
      <c r="BU117" s="164"/>
      <c r="BV117" s="164"/>
      <c r="BW117" s="167"/>
      <c r="BX117" s="172"/>
      <c r="BY117" s="164"/>
      <c r="BZ117" s="164"/>
      <c r="CA117" s="164"/>
      <c r="CB117" s="164"/>
      <c r="CC117" s="164"/>
      <c r="CD117" s="164"/>
      <c r="CE117" s="167"/>
      <c r="CF117" s="172"/>
      <c r="CG117" s="164"/>
      <c r="CH117" s="164"/>
      <c r="CI117" s="164"/>
      <c r="CJ117" s="164"/>
      <c r="CK117" s="164"/>
      <c r="CL117" s="164"/>
      <c r="CM117" s="167"/>
      <c r="CN117" s="172"/>
      <c r="CO117" s="164"/>
      <c r="CP117" s="164"/>
      <c r="CQ117" s="164"/>
      <c r="CR117" s="164"/>
      <c r="CS117" s="164"/>
      <c r="CT117" s="164"/>
      <c r="CU117" s="167"/>
      <c r="CV117" s="172"/>
      <c r="CW117" s="164"/>
      <c r="CX117" s="164"/>
      <c r="CY117" s="164"/>
      <c r="CZ117" s="164"/>
      <c r="DA117" s="164"/>
      <c r="DB117" s="164"/>
    </row>
    <row r="118" spans="1:106" x14ac:dyDescent="0.2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8"/>
      <c r="L118" s="168"/>
      <c r="M118" s="164"/>
      <c r="N118" s="164"/>
      <c r="O118" s="164"/>
      <c r="P118" s="164"/>
      <c r="Q118" s="164"/>
      <c r="R118" s="164"/>
      <c r="S118" s="168"/>
      <c r="T118" s="168"/>
      <c r="U118" s="164"/>
      <c r="V118" s="164"/>
      <c r="W118" s="164"/>
      <c r="X118" s="164"/>
      <c r="Y118" s="164"/>
      <c r="Z118" s="164"/>
      <c r="AA118" s="167"/>
      <c r="AB118" s="172"/>
      <c r="AC118" s="164"/>
      <c r="AD118" s="164"/>
      <c r="AE118" s="164"/>
      <c r="AF118" s="164"/>
      <c r="AG118" s="164"/>
      <c r="AH118" s="164"/>
      <c r="AI118" s="167"/>
      <c r="AJ118" s="172"/>
      <c r="AK118" s="164"/>
      <c r="AL118" s="164"/>
      <c r="AM118" s="164"/>
      <c r="AN118" s="164"/>
      <c r="AO118" s="164"/>
      <c r="AP118" s="164"/>
      <c r="AQ118" s="167"/>
      <c r="AR118" s="172"/>
      <c r="AS118" s="164"/>
      <c r="AT118" s="164"/>
      <c r="AU118" s="164"/>
      <c r="AV118" s="164"/>
      <c r="AW118" s="164"/>
      <c r="AX118" s="164"/>
      <c r="AY118" s="167"/>
      <c r="AZ118" s="172"/>
      <c r="BA118" s="164"/>
      <c r="BB118" s="164"/>
      <c r="BC118" s="164"/>
      <c r="BD118" s="164"/>
      <c r="BE118" s="164"/>
      <c r="BF118" s="164"/>
      <c r="BG118" s="167"/>
      <c r="BH118" s="172"/>
      <c r="BI118" s="164"/>
      <c r="BJ118" s="164"/>
      <c r="BK118" s="164"/>
      <c r="BL118" s="164"/>
      <c r="BM118" s="164"/>
      <c r="BN118" s="164"/>
      <c r="BO118" s="167"/>
      <c r="BP118" s="172"/>
      <c r="BQ118" s="164"/>
      <c r="BR118" s="164"/>
      <c r="BS118" s="164"/>
      <c r="BT118" s="164"/>
      <c r="BU118" s="164"/>
      <c r="BV118" s="164"/>
      <c r="BW118" s="167"/>
      <c r="BX118" s="172"/>
      <c r="BY118" s="164"/>
      <c r="BZ118" s="164"/>
      <c r="CA118" s="164"/>
      <c r="CB118" s="164"/>
      <c r="CC118" s="164"/>
      <c r="CD118" s="164"/>
      <c r="CE118" s="167"/>
      <c r="CF118" s="172"/>
      <c r="CG118" s="164"/>
      <c r="CH118" s="164"/>
      <c r="CI118" s="164"/>
      <c r="CJ118" s="164"/>
      <c r="CK118" s="164"/>
      <c r="CL118" s="164"/>
      <c r="CM118" s="167"/>
      <c r="CN118" s="172"/>
      <c r="CO118" s="164"/>
      <c r="CP118" s="164"/>
      <c r="CQ118" s="164"/>
      <c r="CR118" s="164"/>
      <c r="CS118" s="164"/>
      <c r="CT118" s="164"/>
      <c r="CU118" s="167"/>
      <c r="CV118" s="172"/>
      <c r="CW118" s="164"/>
      <c r="CX118" s="164"/>
      <c r="CY118" s="164"/>
      <c r="CZ118" s="164"/>
      <c r="DA118" s="164"/>
      <c r="DB118" s="164"/>
    </row>
    <row r="119" spans="1:106" x14ac:dyDescent="0.2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6"/>
      <c r="L119" s="166"/>
      <c r="M119" s="164"/>
      <c r="N119" s="164"/>
      <c r="O119" s="164"/>
      <c r="P119" s="164"/>
      <c r="Q119" s="164"/>
      <c r="R119" s="164"/>
      <c r="S119" s="166"/>
      <c r="T119" s="166"/>
      <c r="U119" s="164"/>
      <c r="V119" s="164"/>
      <c r="W119" s="164"/>
      <c r="X119" s="164"/>
      <c r="Y119" s="164"/>
      <c r="Z119" s="164"/>
      <c r="AA119" s="167"/>
      <c r="AB119" s="172"/>
      <c r="AC119" s="164"/>
      <c r="AD119" s="164"/>
      <c r="AE119" s="164"/>
      <c r="AF119" s="164"/>
      <c r="AG119" s="164"/>
      <c r="AH119" s="164"/>
      <c r="AI119" s="167"/>
      <c r="AJ119" s="172"/>
      <c r="AK119" s="164"/>
      <c r="AL119" s="164"/>
      <c r="AM119" s="164"/>
      <c r="AN119" s="164"/>
      <c r="AO119" s="164"/>
      <c r="AP119" s="164"/>
      <c r="AQ119" s="167"/>
      <c r="AR119" s="172"/>
      <c r="AS119" s="164"/>
      <c r="AT119" s="164"/>
      <c r="AU119" s="164"/>
      <c r="AV119" s="164"/>
      <c r="AW119" s="164"/>
      <c r="AX119" s="164"/>
      <c r="AY119" s="167"/>
      <c r="AZ119" s="172"/>
      <c r="BA119" s="164"/>
      <c r="BB119" s="164"/>
      <c r="BC119" s="164"/>
      <c r="BD119" s="164"/>
      <c r="BE119" s="164"/>
      <c r="BF119" s="164"/>
      <c r="BG119" s="167"/>
      <c r="BH119" s="172"/>
      <c r="BI119" s="164"/>
      <c r="BJ119" s="164"/>
      <c r="BK119" s="164"/>
      <c r="BL119" s="164"/>
      <c r="BM119" s="164"/>
      <c r="BN119" s="164"/>
      <c r="BO119" s="167"/>
      <c r="BP119" s="172"/>
      <c r="BQ119" s="164"/>
      <c r="BR119" s="164"/>
      <c r="BS119" s="164"/>
      <c r="BT119" s="164"/>
      <c r="BU119" s="164"/>
      <c r="BV119" s="164"/>
      <c r="BW119" s="167"/>
      <c r="BX119" s="172"/>
      <c r="BY119" s="164"/>
      <c r="BZ119" s="164"/>
      <c r="CA119" s="164"/>
      <c r="CB119" s="164"/>
      <c r="CC119" s="164"/>
      <c r="CD119" s="164"/>
      <c r="CE119" s="167"/>
      <c r="CF119" s="172"/>
      <c r="CG119" s="164"/>
      <c r="CH119" s="164"/>
      <c r="CI119" s="164"/>
      <c r="CJ119" s="164"/>
      <c r="CK119" s="164"/>
      <c r="CL119" s="164"/>
      <c r="CM119" s="167"/>
      <c r="CN119" s="172"/>
      <c r="CO119" s="164"/>
      <c r="CP119" s="164"/>
      <c r="CQ119" s="164"/>
      <c r="CR119" s="164"/>
      <c r="CS119" s="164"/>
      <c r="CT119" s="164"/>
      <c r="CU119" s="167"/>
      <c r="CV119" s="172"/>
      <c r="CW119" s="164"/>
      <c r="CX119" s="164"/>
      <c r="CY119" s="164"/>
      <c r="CZ119" s="164"/>
      <c r="DA119" s="164"/>
      <c r="DB119" s="164"/>
    </row>
    <row r="120" spans="1:106" x14ac:dyDescent="0.2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6"/>
      <c r="L120" s="166"/>
      <c r="M120" s="164"/>
      <c r="N120" s="164"/>
      <c r="O120" s="164"/>
      <c r="P120" s="164"/>
      <c r="Q120" s="164"/>
      <c r="R120" s="164"/>
      <c r="S120" s="166"/>
      <c r="T120" s="166"/>
      <c r="U120" s="164"/>
      <c r="V120" s="164"/>
      <c r="W120" s="164"/>
      <c r="X120" s="164"/>
      <c r="Y120" s="164"/>
      <c r="Z120" s="164"/>
      <c r="AA120" s="167"/>
      <c r="AB120" s="172"/>
      <c r="AC120" s="164"/>
      <c r="AD120" s="164"/>
      <c r="AE120" s="164"/>
      <c r="AF120" s="164"/>
      <c r="AG120" s="164"/>
      <c r="AH120" s="164"/>
      <c r="AI120" s="167"/>
      <c r="AJ120" s="172"/>
      <c r="AK120" s="164"/>
      <c r="AL120" s="164"/>
      <c r="AM120" s="164"/>
      <c r="AN120" s="164"/>
      <c r="AO120" s="164"/>
      <c r="AP120" s="164"/>
      <c r="AQ120" s="167"/>
      <c r="AR120" s="172"/>
      <c r="AS120" s="164"/>
      <c r="AT120" s="164"/>
      <c r="AU120" s="164"/>
      <c r="AV120" s="164"/>
      <c r="AW120" s="164"/>
      <c r="AX120" s="164"/>
      <c r="AY120" s="167"/>
      <c r="AZ120" s="172"/>
      <c r="BA120" s="164"/>
      <c r="BB120" s="164"/>
      <c r="BC120" s="164"/>
      <c r="BD120" s="164"/>
      <c r="BE120" s="164"/>
      <c r="BF120" s="164"/>
      <c r="BG120" s="167"/>
      <c r="BH120" s="172"/>
      <c r="BI120" s="164"/>
      <c r="BJ120" s="164"/>
      <c r="BK120" s="164"/>
      <c r="BL120" s="164"/>
      <c r="BM120" s="164"/>
      <c r="BN120" s="164"/>
      <c r="BO120" s="167"/>
      <c r="BP120" s="172"/>
      <c r="BQ120" s="164"/>
      <c r="BR120" s="164"/>
      <c r="BS120" s="164"/>
      <c r="BT120" s="164"/>
      <c r="BU120" s="164"/>
      <c r="BV120" s="164"/>
      <c r="BW120" s="167"/>
      <c r="BX120" s="172"/>
      <c r="BY120" s="164"/>
      <c r="BZ120" s="164"/>
      <c r="CA120" s="164"/>
      <c r="CB120" s="164"/>
      <c r="CC120" s="164"/>
      <c r="CD120" s="164"/>
      <c r="CE120" s="167"/>
      <c r="CF120" s="172"/>
      <c r="CG120" s="164"/>
      <c r="CH120" s="164"/>
      <c r="CI120" s="164"/>
      <c r="CJ120" s="164"/>
      <c r="CK120" s="164"/>
      <c r="CL120" s="164"/>
      <c r="CM120" s="167"/>
      <c r="CN120" s="172"/>
      <c r="CO120" s="164"/>
      <c r="CP120" s="164"/>
      <c r="CQ120" s="164"/>
      <c r="CR120" s="164"/>
      <c r="CS120" s="164"/>
      <c r="CT120" s="164"/>
      <c r="CU120" s="167"/>
      <c r="CV120" s="172"/>
      <c r="CW120" s="164"/>
      <c r="CX120" s="164"/>
      <c r="CY120" s="164"/>
      <c r="CZ120" s="164"/>
      <c r="DA120" s="164"/>
      <c r="DB120" s="164"/>
    </row>
    <row r="121" spans="1:106" x14ac:dyDescent="0.2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6"/>
      <c r="L121" s="166"/>
      <c r="M121" s="164"/>
      <c r="N121" s="164"/>
      <c r="O121" s="164"/>
      <c r="P121" s="164"/>
      <c r="Q121" s="164"/>
      <c r="R121" s="164"/>
      <c r="S121" s="166"/>
      <c r="T121" s="166"/>
      <c r="U121" s="164"/>
      <c r="V121" s="164"/>
      <c r="W121" s="164"/>
      <c r="X121" s="164"/>
      <c r="Y121" s="164"/>
      <c r="Z121" s="164"/>
      <c r="AA121" s="167"/>
      <c r="AB121" s="167"/>
      <c r="AC121" s="164"/>
      <c r="AD121" s="164"/>
      <c r="AE121" s="164"/>
      <c r="AF121" s="164"/>
      <c r="AG121" s="164"/>
      <c r="AH121" s="164"/>
      <c r="AI121" s="167"/>
      <c r="AJ121" s="167"/>
      <c r="AK121" s="164"/>
      <c r="AL121" s="164"/>
      <c r="AM121" s="164"/>
      <c r="AN121" s="164"/>
      <c r="AO121" s="164"/>
      <c r="AP121" s="164"/>
      <c r="AQ121" s="167"/>
      <c r="AR121" s="167"/>
      <c r="AS121" s="164"/>
      <c r="AT121" s="164"/>
      <c r="AU121" s="164"/>
      <c r="AV121" s="164"/>
      <c r="AW121" s="164"/>
      <c r="AX121" s="164"/>
      <c r="AY121" s="167"/>
      <c r="AZ121" s="167"/>
      <c r="BA121" s="164"/>
      <c r="BB121" s="164"/>
      <c r="BC121" s="164"/>
      <c r="BD121" s="164"/>
      <c r="BE121" s="164"/>
      <c r="BF121" s="164"/>
      <c r="BG121" s="167"/>
      <c r="BH121" s="167"/>
      <c r="BI121" s="164"/>
      <c r="BJ121" s="164"/>
      <c r="BK121" s="164"/>
      <c r="BL121" s="164"/>
      <c r="BM121" s="164"/>
      <c r="BN121" s="164"/>
      <c r="BO121" s="167"/>
      <c r="BP121" s="167"/>
      <c r="BQ121" s="164"/>
      <c r="BR121" s="164"/>
      <c r="BS121" s="164"/>
      <c r="BT121" s="164"/>
      <c r="BU121" s="164"/>
      <c r="BV121" s="164"/>
      <c r="BW121" s="167"/>
      <c r="BX121" s="167"/>
      <c r="BY121" s="164"/>
      <c r="BZ121" s="164"/>
      <c r="CA121" s="164"/>
      <c r="CB121" s="164"/>
      <c r="CC121" s="164"/>
      <c r="CD121" s="164"/>
      <c r="CE121" s="167"/>
      <c r="CF121" s="167"/>
      <c r="CG121" s="164"/>
      <c r="CH121" s="164"/>
      <c r="CI121" s="164"/>
      <c r="CJ121" s="164"/>
      <c r="CK121" s="164"/>
      <c r="CL121" s="164"/>
      <c r="CM121" s="167"/>
      <c r="CN121" s="167"/>
      <c r="CO121" s="164"/>
      <c r="CP121" s="164"/>
      <c r="CQ121" s="164"/>
      <c r="CR121" s="164"/>
      <c r="CS121" s="164"/>
      <c r="CT121" s="164"/>
      <c r="CU121" s="167"/>
      <c r="CV121" s="167"/>
      <c r="CW121" s="164"/>
      <c r="CX121" s="164"/>
      <c r="CY121" s="164"/>
      <c r="CZ121" s="164"/>
      <c r="DA121" s="164"/>
      <c r="DB121" s="164"/>
    </row>
    <row r="122" spans="1:106" x14ac:dyDescent="0.2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6"/>
      <c r="L122" s="166"/>
      <c r="M122" s="164"/>
      <c r="N122" s="164"/>
      <c r="O122" s="164"/>
      <c r="P122" s="164"/>
      <c r="Q122" s="164"/>
      <c r="R122" s="164"/>
      <c r="S122" s="166"/>
      <c r="T122" s="166"/>
      <c r="U122" s="164"/>
      <c r="V122" s="164"/>
      <c r="W122" s="164"/>
      <c r="X122" s="164"/>
      <c r="Y122" s="164"/>
      <c r="Z122" s="164"/>
      <c r="AA122" s="167"/>
      <c r="AB122" s="172"/>
      <c r="AC122" s="164"/>
      <c r="AD122" s="164"/>
      <c r="AE122" s="164"/>
      <c r="AF122" s="164"/>
      <c r="AG122" s="164"/>
      <c r="AH122" s="164"/>
      <c r="AI122" s="167"/>
      <c r="AJ122" s="172"/>
      <c r="AK122" s="164"/>
      <c r="AL122" s="164"/>
      <c r="AM122" s="164"/>
      <c r="AN122" s="164"/>
      <c r="AO122" s="164"/>
      <c r="AP122" s="164"/>
      <c r="AQ122" s="167"/>
      <c r="AR122" s="172"/>
      <c r="AS122" s="164"/>
      <c r="AT122" s="164"/>
      <c r="AU122" s="164"/>
      <c r="AV122" s="164"/>
      <c r="AW122" s="164"/>
      <c r="AX122" s="164"/>
      <c r="AY122" s="167"/>
      <c r="AZ122" s="172"/>
      <c r="BA122" s="164"/>
      <c r="BB122" s="164"/>
      <c r="BC122" s="164"/>
      <c r="BD122" s="164"/>
      <c r="BE122" s="164"/>
      <c r="BF122" s="164"/>
      <c r="BG122" s="167"/>
      <c r="BH122" s="172"/>
      <c r="BI122" s="164"/>
      <c r="BJ122" s="164"/>
      <c r="BK122" s="164"/>
      <c r="BL122" s="164"/>
      <c r="BM122" s="164"/>
      <c r="BN122" s="164"/>
      <c r="BO122" s="167"/>
      <c r="BP122" s="172"/>
      <c r="BQ122" s="164"/>
      <c r="BR122" s="164"/>
      <c r="BS122" s="164"/>
      <c r="BT122" s="164"/>
      <c r="BU122" s="164"/>
      <c r="BV122" s="164"/>
      <c r="BW122" s="167"/>
      <c r="BX122" s="172"/>
      <c r="BY122" s="164"/>
      <c r="BZ122" s="164"/>
      <c r="CA122" s="164"/>
      <c r="CB122" s="164"/>
      <c r="CC122" s="164"/>
      <c r="CD122" s="164"/>
      <c r="CE122" s="167"/>
      <c r="CF122" s="172"/>
      <c r="CG122" s="164"/>
      <c r="CH122" s="164"/>
      <c r="CI122" s="164"/>
      <c r="CJ122" s="164"/>
      <c r="CK122" s="164"/>
      <c r="CL122" s="164"/>
      <c r="CM122" s="167"/>
      <c r="CN122" s="172"/>
      <c r="CO122" s="164"/>
      <c r="CP122" s="164"/>
      <c r="CQ122" s="164"/>
      <c r="CR122" s="164"/>
      <c r="CS122" s="164"/>
      <c r="CT122" s="164"/>
      <c r="CU122" s="167"/>
      <c r="CV122" s="172"/>
      <c r="CW122" s="164"/>
      <c r="CX122" s="164"/>
      <c r="CY122" s="164"/>
      <c r="CZ122" s="164"/>
      <c r="DA122" s="164"/>
      <c r="DB122" s="164"/>
    </row>
    <row r="123" spans="1:106" x14ac:dyDescent="0.2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6"/>
      <c r="L123" s="166"/>
      <c r="M123" s="164"/>
      <c r="N123" s="164"/>
      <c r="O123" s="164"/>
      <c r="P123" s="164"/>
      <c r="Q123" s="164"/>
      <c r="R123" s="164"/>
      <c r="S123" s="166"/>
      <c r="T123" s="166"/>
      <c r="U123" s="164"/>
      <c r="V123" s="164"/>
      <c r="W123" s="164"/>
      <c r="X123" s="164"/>
      <c r="Y123" s="164"/>
      <c r="Z123" s="164"/>
      <c r="AA123" s="167"/>
      <c r="AB123" s="172"/>
      <c r="AC123" s="164"/>
      <c r="AD123" s="164"/>
      <c r="AE123" s="164"/>
      <c r="AF123" s="164"/>
      <c r="AG123" s="164"/>
      <c r="AH123" s="164"/>
      <c r="AI123" s="167"/>
      <c r="AJ123" s="172"/>
      <c r="AK123" s="164"/>
      <c r="AL123" s="164"/>
      <c r="AM123" s="164"/>
      <c r="AN123" s="164"/>
      <c r="AO123" s="164"/>
      <c r="AP123" s="164"/>
      <c r="AQ123" s="167"/>
      <c r="AR123" s="172"/>
      <c r="AS123" s="164"/>
      <c r="AT123" s="164"/>
      <c r="AU123" s="164"/>
      <c r="AV123" s="164"/>
      <c r="AW123" s="164"/>
      <c r="AX123" s="164"/>
      <c r="AY123" s="167"/>
      <c r="AZ123" s="172"/>
      <c r="BA123" s="164"/>
      <c r="BB123" s="164"/>
      <c r="BC123" s="164"/>
      <c r="BD123" s="164"/>
      <c r="BE123" s="164"/>
      <c r="BF123" s="164"/>
      <c r="BG123" s="167"/>
      <c r="BH123" s="172"/>
      <c r="BI123" s="164"/>
      <c r="BJ123" s="164"/>
      <c r="BK123" s="164"/>
      <c r="BL123" s="164"/>
      <c r="BM123" s="164"/>
      <c r="BN123" s="164"/>
      <c r="BO123" s="167"/>
      <c r="BP123" s="172"/>
      <c r="BQ123" s="164"/>
      <c r="BR123" s="164"/>
      <c r="BS123" s="164"/>
      <c r="BT123" s="164"/>
      <c r="BU123" s="164"/>
      <c r="BV123" s="164"/>
      <c r="BW123" s="167"/>
      <c r="BX123" s="172"/>
      <c r="BY123" s="164"/>
      <c r="BZ123" s="164"/>
      <c r="CA123" s="164"/>
      <c r="CB123" s="164"/>
      <c r="CC123" s="164"/>
      <c r="CD123" s="164"/>
      <c r="CE123" s="167"/>
      <c r="CF123" s="172"/>
      <c r="CG123" s="164"/>
      <c r="CH123" s="164"/>
      <c r="CI123" s="164"/>
      <c r="CJ123" s="164"/>
      <c r="CK123" s="164"/>
      <c r="CL123" s="164"/>
      <c r="CM123" s="167"/>
      <c r="CN123" s="172"/>
      <c r="CO123" s="164"/>
      <c r="CP123" s="164"/>
      <c r="CQ123" s="164"/>
      <c r="CR123" s="164"/>
      <c r="CS123" s="164"/>
      <c r="CT123" s="164"/>
      <c r="CU123" s="167"/>
      <c r="CV123" s="172"/>
      <c r="CW123" s="164"/>
      <c r="CX123" s="164"/>
      <c r="CY123" s="164"/>
      <c r="CZ123" s="164"/>
      <c r="DA123" s="164"/>
      <c r="DB123" s="164"/>
    </row>
    <row r="124" spans="1:106" x14ac:dyDescent="0.2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6"/>
      <c r="L124" s="166"/>
      <c r="M124" s="164"/>
      <c r="N124" s="164"/>
      <c r="O124" s="164"/>
      <c r="P124" s="164"/>
      <c r="Q124" s="164"/>
      <c r="R124" s="164"/>
      <c r="S124" s="166"/>
      <c r="T124" s="166"/>
      <c r="U124" s="164"/>
      <c r="V124" s="164"/>
      <c r="W124" s="164"/>
      <c r="X124" s="164"/>
      <c r="Y124" s="164"/>
      <c r="Z124" s="164"/>
      <c r="AA124" s="167"/>
      <c r="AB124" s="172"/>
      <c r="AC124" s="164"/>
      <c r="AD124" s="164"/>
      <c r="AE124" s="164"/>
      <c r="AF124" s="164"/>
      <c r="AG124" s="164"/>
      <c r="AH124" s="164"/>
      <c r="AI124" s="167"/>
      <c r="AJ124" s="172"/>
      <c r="AK124" s="164"/>
      <c r="AL124" s="164"/>
      <c r="AM124" s="164"/>
      <c r="AN124" s="164"/>
      <c r="AO124" s="164"/>
      <c r="AP124" s="164"/>
      <c r="AQ124" s="167"/>
      <c r="AR124" s="172"/>
      <c r="AS124" s="164"/>
      <c r="AT124" s="164"/>
      <c r="AU124" s="164"/>
      <c r="AV124" s="164"/>
      <c r="AW124" s="164"/>
      <c r="AX124" s="164"/>
      <c r="AY124" s="167"/>
      <c r="AZ124" s="172"/>
      <c r="BA124" s="164"/>
      <c r="BB124" s="164"/>
      <c r="BC124" s="164"/>
      <c r="BD124" s="164"/>
      <c r="BE124" s="164"/>
      <c r="BF124" s="164"/>
      <c r="BG124" s="167"/>
      <c r="BH124" s="172"/>
      <c r="BI124" s="164"/>
      <c r="BJ124" s="164"/>
      <c r="BK124" s="164"/>
      <c r="BL124" s="164"/>
      <c r="BM124" s="164"/>
      <c r="BN124" s="164"/>
      <c r="BO124" s="167"/>
      <c r="BP124" s="172"/>
      <c r="BQ124" s="164"/>
      <c r="BR124" s="164"/>
      <c r="BS124" s="164"/>
      <c r="BT124" s="164"/>
      <c r="BU124" s="164"/>
      <c r="BV124" s="164"/>
      <c r="BW124" s="167"/>
      <c r="BX124" s="172"/>
      <c r="BY124" s="164"/>
      <c r="BZ124" s="164"/>
      <c r="CA124" s="164"/>
      <c r="CB124" s="164"/>
      <c r="CC124" s="164"/>
      <c r="CD124" s="164"/>
      <c r="CE124" s="167"/>
      <c r="CF124" s="172"/>
      <c r="CG124" s="164"/>
      <c r="CH124" s="164"/>
      <c r="CI124" s="164"/>
      <c r="CJ124" s="164"/>
      <c r="CK124" s="164"/>
      <c r="CL124" s="164"/>
      <c r="CM124" s="167"/>
      <c r="CN124" s="172"/>
      <c r="CO124" s="164"/>
      <c r="CP124" s="164"/>
      <c r="CQ124" s="164"/>
      <c r="CR124" s="164"/>
      <c r="CS124" s="164"/>
      <c r="CT124" s="164"/>
      <c r="CU124" s="167"/>
      <c r="CV124" s="172"/>
      <c r="CW124" s="164"/>
      <c r="CX124" s="164"/>
      <c r="CY124" s="164"/>
      <c r="CZ124" s="164"/>
      <c r="DA124" s="164"/>
      <c r="DB124" s="164"/>
    </row>
    <row r="125" spans="1:106" x14ac:dyDescent="0.2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6"/>
      <c r="L125" s="166"/>
      <c r="M125" s="164"/>
      <c r="N125" s="164"/>
      <c r="O125" s="164"/>
      <c r="P125" s="164"/>
      <c r="Q125" s="164"/>
      <c r="R125" s="164"/>
      <c r="S125" s="166"/>
      <c r="T125" s="166"/>
      <c r="U125" s="164"/>
      <c r="V125" s="164"/>
      <c r="W125" s="164"/>
      <c r="X125" s="164"/>
      <c r="Y125" s="164"/>
      <c r="Z125" s="164"/>
      <c r="AA125" s="167"/>
      <c r="AB125" s="172"/>
      <c r="AC125" s="164"/>
      <c r="AD125" s="164"/>
      <c r="AE125" s="164"/>
      <c r="AF125" s="164"/>
      <c r="AG125" s="164"/>
      <c r="AH125" s="164"/>
      <c r="AI125" s="167"/>
      <c r="AJ125" s="172"/>
      <c r="AK125" s="164"/>
      <c r="AL125" s="164"/>
      <c r="AM125" s="164"/>
      <c r="AN125" s="164"/>
      <c r="AO125" s="164"/>
      <c r="AP125" s="164"/>
      <c r="AQ125" s="167"/>
      <c r="AR125" s="172"/>
      <c r="AS125" s="164"/>
      <c r="AT125" s="164"/>
      <c r="AU125" s="164"/>
      <c r="AV125" s="164"/>
      <c r="AW125" s="164"/>
      <c r="AX125" s="164"/>
      <c r="AY125" s="167"/>
      <c r="AZ125" s="172"/>
      <c r="BA125" s="164"/>
      <c r="BB125" s="164"/>
      <c r="BC125" s="164"/>
      <c r="BD125" s="164"/>
      <c r="BE125" s="164"/>
      <c r="BF125" s="164"/>
      <c r="BG125" s="167"/>
      <c r="BH125" s="172"/>
      <c r="BI125" s="164"/>
      <c r="BJ125" s="164"/>
      <c r="BK125" s="164"/>
      <c r="BL125" s="164"/>
      <c r="BM125" s="164"/>
      <c r="BN125" s="164"/>
      <c r="BO125" s="167"/>
      <c r="BP125" s="172"/>
      <c r="BQ125" s="164"/>
      <c r="BR125" s="164"/>
      <c r="BS125" s="164"/>
      <c r="BT125" s="164"/>
      <c r="BU125" s="164"/>
      <c r="BV125" s="164"/>
      <c r="BW125" s="167"/>
      <c r="BX125" s="172"/>
      <c r="BY125" s="164"/>
      <c r="BZ125" s="164"/>
      <c r="CA125" s="164"/>
      <c r="CB125" s="164"/>
      <c r="CC125" s="164"/>
      <c r="CD125" s="164"/>
      <c r="CE125" s="167"/>
      <c r="CF125" s="172"/>
      <c r="CG125" s="164"/>
      <c r="CH125" s="164"/>
      <c r="CI125" s="164"/>
      <c r="CJ125" s="164"/>
      <c r="CK125" s="164"/>
      <c r="CL125" s="164"/>
      <c r="CM125" s="167"/>
      <c r="CN125" s="172"/>
      <c r="CO125" s="164"/>
      <c r="CP125" s="164"/>
      <c r="CQ125" s="164"/>
      <c r="CR125" s="164"/>
      <c r="CS125" s="164"/>
      <c r="CT125" s="164"/>
      <c r="CU125" s="167"/>
      <c r="CV125" s="172"/>
      <c r="CW125" s="164"/>
      <c r="CX125" s="164"/>
      <c r="CY125" s="164"/>
      <c r="CZ125" s="164"/>
      <c r="DA125" s="164"/>
      <c r="DB125" s="164"/>
    </row>
    <row r="126" spans="1:106" x14ac:dyDescent="0.2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6"/>
      <c r="L126" s="166"/>
      <c r="M126" s="164"/>
      <c r="N126" s="164"/>
      <c r="O126" s="164"/>
      <c r="P126" s="164"/>
      <c r="Q126" s="164"/>
      <c r="R126" s="164"/>
      <c r="S126" s="166"/>
      <c r="T126" s="166"/>
      <c r="U126" s="164"/>
      <c r="V126" s="164"/>
      <c r="W126" s="164"/>
      <c r="X126" s="164"/>
      <c r="Y126" s="164"/>
      <c r="Z126" s="164"/>
      <c r="AA126" s="167"/>
      <c r="AB126" s="172"/>
      <c r="AC126" s="164"/>
      <c r="AD126" s="164"/>
      <c r="AE126" s="164"/>
      <c r="AF126" s="164"/>
      <c r="AG126" s="164"/>
      <c r="AH126" s="164"/>
      <c r="AI126" s="167"/>
      <c r="AJ126" s="172"/>
      <c r="AK126" s="164"/>
      <c r="AL126" s="164"/>
      <c r="AM126" s="164"/>
      <c r="AN126" s="164"/>
      <c r="AO126" s="164"/>
      <c r="AP126" s="164"/>
      <c r="AQ126" s="167"/>
      <c r="AR126" s="172"/>
      <c r="AS126" s="164"/>
      <c r="AT126" s="164"/>
      <c r="AU126" s="164"/>
      <c r="AV126" s="164"/>
      <c r="AW126" s="164"/>
      <c r="AX126" s="164"/>
      <c r="AY126" s="167"/>
      <c r="AZ126" s="172"/>
      <c r="BA126" s="164"/>
      <c r="BB126" s="164"/>
      <c r="BC126" s="164"/>
      <c r="BD126" s="164"/>
      <c r="BE126" s="164"/>
      <c r="BF126" s="164"/>
      <c r="BG126" s="167"/>
      <c r="BH126" s="172"/>
      <c r="BI126" s="164"/>
      <c r="BJ126" s="164"/>
      <c r="BK126" s="164"/>
      <c r="BL126" s="164"/>
      <c r="BM126" s="164"/>
      <c r="BN126" s="164"/>
      <c r="BO126" s="167"/>
      <c r="BP126" s="172"/>
      <c r="BQ126" s="164"/>
      <c r="BR126" s="164"/>
      <c r="BS126" s="164"/>
      <c r="BT126" s="164"/>
      <c r="BU126" s="164"/>
      <c r="BV126" s="164"/>
      <c r="BW126" s="167"/>
      <c r="BX126" s="172"/>
      <c r="BY126" s="164"/>
      <c r="BZ126" s="164"/>
      <c r="CA126" s="164"/>
      <c r="CB126" s="164"/>
      <c r="CC126" s="164"/>
      <c r="CD126" s="164"/>
      <c r="CE126" s="167"/>
      <c r="CF126" s="172"/>
      <c r="CG126" s="164"/>
      <c r="CH126" s="164"/>
      <c r="CI126" s="164"/>
      <c r="CJ126" s="164"/>
      <c r="CK126" s="164"/>
      <c r="CL126" s="164"/>
      <c r="CM126" s="167"/>
      <c r="CN126" s="172"/>
      <c r="CO126" s="164"/>
      <c r="CP126" s="164"/>
      <c r="CQ126" s="164"/>
      <c r="CR126" s="164"/>
      <c r="CS126" s="164"/>
      <c r="CT126" s="164"/>
      <c r="CU126" s="167"/>
      <c r="CV126" s="172"/>
      <c r="CW126" s="164"/>
      <c r="CX126" s="164"/>
      <c r="CY126" s="164"/>
      <c r="CZ126" s="164"/>
      <c r="DA126" s="164"/>
      <c r="DB126" s="164"/>
    </row>
    <row r="127" spans="1:106" x14ac:dyDescent="0.2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6"/>
      <c r="L127" s="166"/>
      <c r="M127" s="164"/>
      <c r="N127" s="164"/>
      <c r="O127" s="164"/>
      <c r="P127" s="164"/>
      <c r="Q127" s="164"/>
      <c r="R127" s="164"/>
      <c r="S127" s="166"/>
      <c r="T127" s="166"/>
      <c r="U127" s="164"/>
      <c r="V127" s="164"/>
      <c r="W127" s="164"/>
      <c r="X127" s="164"/>
      <c r="Y127" s="164"/>
      <c r="Z127" s="164"/>
      <c r="AA127" s="167"/>
      <c r="AB127" s="172"/>
      <c r="AC127" s="164"/>
      <c r="AD127" s="164"/>
      <c r="AE127" s="164"/>
      <c r="AF127" s="164"/>
      <c r="AG127" s="164"/>
      <c r="AH127" s="164"/>
      <c r="AI127" s="167"/>
      <c r="AJ127" s="172"/>
      <c r="AK127" s="164"/>
      <c r="AL127" s="164"/>
      <c r="AM127" s="164"/>
      <c r="AN127" s="164"/>
      <c r="AO127" s="164"/>
      <c r="AP127" s="164"/>
      <c r="AQ127" s="167"/>
      <c r="AR127" s="172"/>
      <c r="AS127" s="164"/>
      <c r="AT127" s="164"/>
      <c r="AU127" s="164"/>
      <c r="AV127" s="164"/>
      <c r="AW127" s="164"/>
      <c r="AX127" s="164"/>
      <c r="AY127" s="167"/>
      <c r="AZ127" s="172"/>
      <c r="BA127" s="164"/>
      <c r="BB127" s="164"/>
      <c r="BC127" s="164"/>
      <c r="BD127" s="164"/>
      <c r="BE127" s="164"/>
      <c r="BF127" s="164"/>
      <c r="BG127" s="167"/>
      <c r="BH127" s="172"/>
      <c r="BI127" s="164"/>
      <c r="BJ127" s="164"/>
      <c r="BK127" s="164"/>
      <c r="BL127" s="164"/>
      <c r="BM127" s="164"/>
      <c r="BN127" s="164"/>
      <c r="BO127" s="167"/>
      <c r="BP127" s="172"/>
      <c r="BQ127" s="164"/>
      <c r="BR127" s="164"/>
      <c r="BS127" s="164"/>
      <c r="BT127" s="164"/>
      <c r="BU127" s="164"/>
      <c r="BV127" s="164"/>
      <c r="BW127" s="167"/>
      <c r="BX127" s="172"/>
      <c r="BY127" s="164"/>
      <c r="BZ127" s="164"/>
      <c r="CA127" s="164"/>
      <c r="CB127" s="164"/>
      <c r="CC127" s="164"/>
      <c r="CD127" s="164"/>
      <c r="CE127" s="167"/>
      <c r="CF127" s="172"/>
      <c r="CG127" s="164"/>
      <c r="CH127" s="164"/>
      <c r="CI127" s="164"/>
      <c r="CJ127" s="164"/>
      <c r="CK127" s="164"/>
      <c r="CL127" s="164"/>
      <c r="CM127" s="167"/>
      <c r="CN127" s="172"/>
      <c r="CO127" s="164"/>
      <c r="CP127" s="164"/>
      <c r="CQ127" s="164"/>
      <c r="CR127" s="164"/>
      <c r="CS127" s="164"/>
      <c r="CT127" s="164"/>
      <c r="CU127" s="167"/>
      <c r="CV127" s="172"/>
      <c r="CW127" s="164"/>
      <c r="CX127" s="164"/>
      <c r="CY127" s="164"/>
      <c r="CZ127" s="164"/>
      <c r="DA127" s="164"/>
      <c r="DB127" s="164"/>
    </row>
    <row r="128" spans="1:106" x14ac:dyDescent="0.2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6"/>
      <c r="L128" s="166"/>
      <c r="M128" s="164"/>
      <c r="N128" s="164"/>
      <c r="O128" s="164"/>
      <c r="P128" s="164"/>
      <c r="Q128" s="164"/>
      <c r="R128" s="164"/>
      <c r="S128" s="166"/>
      <c r="T128" s="166"/>
      <c r="U128" s="164"/>
      <c r="V128" s="164"/>
      <c r="W128" s="164"/>
      <c r="X128" s="164"/>
      <c r="Y128" s="164"/>
      <c r="Z128" s="164"/>
      <c r="AA128" s="167"/>
      <c r="AB128" s="172"/>
      <c r="AC128" s="164"/>
      <c r="AD128" s="164"/>
      <c r="AE128" s="164"/>
      <c r="AF128" s="164"/>
      <c r="AG128" s="164"/>
      <c r="AH128" s="164"/>
      <c r="AI128" s="167"/>
      <c r="AJ128" s="172"/>
      <c r="AK128" s="164"/>
      <c r="AL128" s="164"/>
      <c r="AM128" s="164"/>
      <c r="AN128" s="164"/>
      <c r="AO128" s="164"/>
      <c r="AP128" s="164"/>
      <c r="AQ128" s="167"/>
      <c r="AR128" s="172"/>
      <c r="AS128" s="164"/>
      <c r="AT128" s="164"/>
      <c r="AU128" s="164"/>
      <c r="AV128" s="164"/>
      <c r="AW128" s="164"/>
      <c r="AX128" s="164"/>
      <c r="AY128" s="167"/>
      <c r="AZ128" s="172"/>
      <c r="BA128" s="164"/>
      <c r="BB128" s="164"/>
      <c r="BC128" s="164"/>
      <c r="BD128" s="164"/>
      <c r="BE128" s="164"/>
      <c r="BF128" s="164"/>
      <c r="BG128" s="167"/>
      <c r="BH128" s="172"/>
      <c r="BI128" s="164"/>
      <c r="BJ128" s="164"/>
      <c r="BK128" s="164"/>
      <c r="BL128" s="164"/>
      <c r="BM128" s="164"/>
      <c r="BN128" s="164"/>
      <c r="BO128" s="167"/>
      <c r="BP128" s="172"/>
      <c r="BQ128" s="164"/>
      <c r="BR128" s="164"/>
      <c r="BS128" s="164"/>
      <c r="BT128" s="164"/>
      <c r="BU128" s="164"/>
      <c r="BV128" s="164"/>
      <c r="BW128" s="167"/>
      <c r="BX128" s="172"/>
      <c r="BY128" s="164"/>
      <c r="BZ128" s="164"/>
      <c r="CA128" s="164"/>
      <c r="CB128" s="164"/>
      <c r="CC128" s="164"/>
      <c r="CD128" s="164"/>
      <c r="CE128" s="167"/>
      <c r="CF128" s="172"/>
      <c r="CG128" s="164"/>
      <c r="CH128" s="164"/>
      <c r="CI128" s="164"/>
      <c r="CJ128" s="164"/>
      <c r="CK128" s="164"/>
      <c r="CL128" s="164"/>
      <c r="CM128" s="167"/>
      <c r="CN128" s="172"/>
      <c r="CO128" s="164"/>
      <c r="CP128" s="164"/>
      <c r="CQ128" s="164"/>
      <c r="CR128" s="164"/>
      <c r="CS128" s="164"/>
      <c r="CT128" s="164"/>
      <c r="CU128" s="167"/>
      <c r="CV128" s="172"/>
      <c r="CW128" s="164"/>
      <c r="CX128" s="164"/>
      <c r="CY128" s="164"/>
      <c r="CZ128" s="164"/>
      <c r="DA128" s="164"/>
      <c r="DB128" s="164"/>
    </row>
    <row r="129" spans="1:106" x14ac:dyDescent="0.2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6"/>
      <c r="L129" s="166"/>
      <c r="M129" s="164"/>
      <c r="N129" s="164"/>
      <c r="O129" s="164"/>
      <c r="P129" s="164"/>
      <c r="Q129" s="164"/>
      <c r="R129" s="164"/>
      <c r="S129" s="166"/>
      <c r="T129" s="166"/>
      <c r="U129" s="164"/>
      <c r="V129" s="164"/>
      <c r="W129" s="164"/>
      <c r="X129" s="164"/>
      <c r="Y129" s="164"/>
      <c r="Z129" s="164"/>
      <c r="AA129" s="167"/>
      <c r="AB129" s="172"/>
      <c r="AC129" s="164"/>
      <c r="AD129" s="164"/>
      <c r="AE129" s="164"/>
      <c r="AF129" s="164"/>
      <c r="AG129" s="164"/>
      <c r="AH129" s="164"/>
      <c r="AI129" s="167"/>
      <c r="AJ129" s="172"/>
      <c r="AK129" s="164"/>
      <c r="AL129" s="164"/>
      <c r="AM129" s="164"/>
      <c r="AN129" s="164"/>
      <c r="AO129" s="164"/>
      <c r="AP129" s="164"/>
      <c r="AQ129" s="167"/>
      <c r="AR129" s="172"/>
      <c r="AS129" s="164"/>
      <c r="AT129" s="164"/>
      <c r="AU129" s="164"/>
      <c r="AV129" s="164"/>
      <c r="AW129" s="164"/>
      <c r="AX129" s="164"/>
      <c r="AY129" s="167"/>
      <c r="AZ129" s="172"/>
      <c r="BA129" s="164"/>
      <c r="BB129" s="164"/>
      <c r="BC129" s="164"/>
      <c r="BD129" s="164"/>
      <c r="BE129" s="164"/>
      <c r="BF129" s="164"/>
      <c r="BG129" s="167"/>
      <c r="BH129" s="172"/>
      <c r="BI129" s="164"/>
      <c r="BJ129" s="164"/>
      <c r="BK129" s="164"/>
      <c r="BL129" s="164"/>
      <c r="BM129" s="164"/>
      <c r="BN129" s="164"/>
      <c r="BO129" s="167"/>
      <c r="BP129" s="172"/>
      <c r="BQ129" s="164"/>
      <c r="BR129" s="164"/>
      <c r="BS129" s="164"/>
      <c r="BT129" s="164"/>
      <c r="BU129" s="164"/>
      <c r="BV129" s="164"/>
      <c r="BW129" s="167"/>
      <c r="BX129" s="172"/>
      <c r="BY129" s="164"/>
      <c r="BZ129" s="164"/>
      <c r="CA129" s="164"/>
      <c r="CB129" s="164"/>
      <c r="CC129" s="164"/>
      <c r="CD129" s="164"/>
      <c r="CE129" s="167"/>
      <c r="CF129" s="172"/>
      <c r="CG129" s="164"/>
      <c r="CH129" s="164"/>
      <c r="CI129" s="164"/>
      <c r="CJ129" s="164"/>
      <c r="CK129" s="164"/>
      <c r="CL129" s="164"/>
      <c r="CM129" s="167"/>
      <c r="CN129" s="172"/>
      <c r="CO129" s="164"/>
      <c r="CP129" s="164"/>
      <c r="CQ129" s="164"/>
      <c r="CR129" s="164"/>
      <c r="CS129" s="164"/>
      <c r="CT129" s="164"/>
      <c r="CU129" s="167"/>
      <c r="CV129" s="172"/>
      <c r="CW129" s="164"/>
      <c r="CX129" s="164"/>
      <c r="CY129" s="164"/>
      <c r="CZ129" s="164"/>
      <c r="DA129" s="164"/>
      <c r="DB129" s="164"/>
    </row>
    <row r="130" spans="1:106" x14ac:dyDescent="0.2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6"/>
      <c r="L130" s="166"/>
      <c r="M130" s="164"/>
      <c r="N130" s="164"/>
      <c r="O130" s="164"/>
      <c r="P130" s="164"/>
      <c r="Q130" s="164"/>
      <c r="R130" s="164"/>
      <c r="S130" s="166"/>
      <c r="T130" s="166"/>
      <c r="U130" s="164"/>
      <c r="V130" s="164"/>
      <c r="W130" s="164"/>
      <c r="X130" s="164"/>
      <c r="Y130" s="164"/>
      <c r="Z130" s="164"/>
      <c r="AA130" s="167"/>
      <c r="AB130" s="172"/>
      <c r="AC130" s="164"/>
      <c r="AD130" s="164"/>
      <c r="AE130" s="164"/>
      <c r="AF130" s="164"/>
      <c r="AG130" s="164"/>
      <c r="AH130" s="164"/>
      <c r="AI130" s="167"/>
      <c r="AJ130" s="172"/>
      <c r="AK130" s="164"/>
      <c r="AL130" s="164"/>
      <c r="AM130" s="164"/>
      <c r="AN130" s="164"/>
      <c r="AO130" s="164"/>
      <c r="AP130" s="164"/>
      <c r="AQ130" s="167"/>
      <c r="AR130" s="172"/>
      <c r="AS130" s="164"/>
      <c r="AT130" s="164"/>
      <c r="AU130" s="164"/>
      <c r="AV130" s="164"/>
      <c r="AW130" s="164"/>
      <c r="AX130" s="164"/>
      <c r="AY130" s="167"/>
      <c r="AZ130" s="172"/>
      <c r="BA130" s="164"/>
      <c r="BB130" s="164"/>
      <c r="BC130" s="164"/>
      <c r="BD130" s="164"/>
      <c r="BE130" s="164"/>
      <c r="BF130" s="164"/>
      <c r="BG130" s="167"/>
      <c r="BH130" s="172"/>
      <c r="BI130" s="164"/>
      <c r="BJ130" s="164"/>
      <c r="BK130" s="164"/>
      <c r="BL130" s="164"/>
      <c r="BM130" s="164"/>
      <c r="BN130" s="164"/>
      <c r="BO130" s="167"/>
      <c r="BP130" s="172"/>
      <c r="BQ130" s="164"/>
      <c r="BR130" s="164"/>
      <c r="BS130" s="164"/>
      <c r="BT130" s="164"/>
      <c r="BU130" s="164"/>
      <c r="BV130" s="164"/>
      <c r="BW130" s="167"/>
      <c r="BX130" s="172"/>
      <c r="BY130" s="164"/>
      <c r="BZ130" s="164"/>
      <c r="CA130" s="164"/>
      <c r="CB130" s="164"/>
      <c r="CC130" s="164"/>
      <c r="CD130" s="164"/>
      <c r="CE130" s="167"/>
      <c r="CF130" s="172"/>
      <c r="CG130" s="164"/>
      <c r="CH130" s="164"/>
      <c r="CI130" s="164"/>
      <c r="CJ130" s="164"/>
      <c r="CK130" s="164"/>
      <c r="CL130" s="164"/>
      <c r="CM130" s="167"/>
      <c r="CN130" s="172"/>
      <c r="CO130" s="164"/>
      <c r="CP130" s="164"/>
      <c r="CQ130" s="164"/>
      <c r="CR130" s="164"/>
      <c r="CS130" s="164"/>
      <c r="CT130" s="164"/>
      <c r="CU130" s="167"/>
      <c r="CV130" s="172"/>
      <c r="CW130" s="164"/>
      <c r="CX130" s="164"/>
      <c r="CY130" s="164"/>
      <c r="CZ130" s="164"/>
      <c r="DA130" s="164"/>
      <c r="DB130" s="164"/>
    </row>
    <row r="131" spans="1:106" x14ac:dyDescent="0.2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6"/>
      <c r="L131" s="166"/>
      <c r="M131" s="164"/>
      <c r="N131" s="164"/>
      <c r="O131" s="164"/>
      <c r="P131" s="164"/>
      <c r="Q131" s="164"/>
      <c r="R131" s="164"/>
      <c r="S131" s="166"/>
      <c r="T131" s="166"/>
      <c r="U131" s="164"/>
      <c r="V131" s="164"/>
      <c r="W131" s="164"/>
      <c r="X131" s="164"/>
      <c r="Y131" s="164"/>
      <c r="Z131" s="164"/>
      <c r="AA131" s="167"/>
      <c r="AB131" s="167"/>
      <c r="AC131" s="164"/>
      <c r="AD131" s="164"/>
      <c r="AE131" s="164"/>
      <c r="AF131" s="164"/>
      <c r="AG131" s="164"/>
      <c r="AH131" s="164"/>
      <c r="AI131" s="167"/>
      <c r="AJ131" s="167"/>
      <c r="AK131" s="164"/>
      <c r="AL131" s="164"/>
      <c r="AM131" s="164"/>
      <c r="AN131" s="164"/>
      <c r="AO131" s="164"/>
      <c r="AP131" s="164"/>
      <c r="AQ131" s="167"/>
      <c r="AR131" s="167"/>
      <c r="AS131" s="164"/>
      <c r="AT131" s="164"/>
      <c r="AU131" s="164"/>
      <c r="AV131" s="164"/>
      <c r="AW131" s="164"/>
      <c r="AX131" s="164"/>
      <c r="AY131" s="167"/>
      <c r="AZ131" s="167"/>
      <c r="BA131" s="164"/>
      <c r="BB131" s="164"/>
      <c r="BC131" s="164"/>
      <c r="BD131" s="164"/>
      <c r="BE131" s="164"/>
      <c r="BF131" s="164"/>
      <c r="BG131" s="167"/>
      <c r="BH131" s="167"/>
      <c r="BI131" s="164"/>
      <c r="BJ131" s="164"/>
      <c r="BK131" s="164"/>
      <c r="BL131" s="164"/>
      <c r="BM131" s="164"/>
      <c r="BN131" s="164"/>
      <c r="BO131" s="167"/>
      <c r="BP131" s="167"/>
      <c r="BQ131" s="164"/>
      <c r="BR131" s="164"/>
      <c r="BS131" s="164"/>
      <c r="BT131" s="164"/>
      <c r="BU131" s="164"/>
      <c r="BV131" s="164"/>
      <c r="BW131" s="167"/>
      <c r="BX131" s="167"/>
      <c r="BY131" s="164"/>
      <c r="BZ131" s="164"/>
      <c r="CA131" s="164"/>
      <c r="CB131" s="164"/>
      <c r="CC131" s="164"/>
      <c r="CD131" s="164"/>
      <c r="CE131" s="167"/>
      <c r="CF131" s="167"/>
      <c r="CG131" s="164"/>
      <c r="CH131" s="164"/>
      <c r="CI131" s="164"/>
      <c r="CJ131" s="164"/>
      <c r="CK131" s="164"/>
      <c r="CL131" s="164"/>
      <c r="CM131" s="167"/>
      <c r="CN131" s="167"/>
      <c r="CO131" s="164"/>
      <c r="CP131" s="164"/>
      <c r="CQ131" s="164"/>
      <c r="CR131" s="164"/>
      <c r="CS131" s="164"/>
      <c r="CT131" s="164"/>
      <c r="CU131" s="167"/>
      <c r="CV131" s="167"/>
      <c r="CW131" s="164"/>
      <c r="CX131" s="164"/>
      <c r="CY131" s="164"/>
      <c r="CZ131" s="164"/>
      <c r="DA131" s="164"/>
      <c r="DB131" s="164"/>
    </row>
    <row r="132" spans="1:106" x14ac:dyDescent="0.2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6"/>
      <c r="L132" s="166"/>
      <c r="M132" s="164"/>
      <c r="N132" s="164"/>
      <c r="O132" s="164"/>
      <c r="P132" s="164"/>
      <c r="Q132" s="164"/>
      <c r="R132" s="164"/>
      <c r="S132" s="166"/>
      <c r="T132" s="166"/>
      <c r="U132" s="164"/>
      <c r="V132" s="164"/>
      <c r="W132" s="164"/>
      <c r="X132" s="164"/>
      <c r="Y132" s="164"/>
      <c r="Z132" s="164"/>
      <c r="AA132" s="167"/>
      <c r="AB132" s="172"/>
      <c r="AC132" s="164"/>
      <c r="AD132" s="164"/>
      <c r="AE132" s="164"/>
      <c r="AF132" s="164"/>
      <c r="AG132" s="164"/>
      <c r="AH132" s="164"/>
      <c r="AI132" s="167"/>
      <c r="AJ132" s="172"/>
      <c r="AK132" s="164"/>
      <c r="AL132" s="164"/>
      <c r="AM132" s="164"/>
      <c r="AN132" s="164"/>
      <c r="AO132" s="164"/>
      <c r="AP132" s="164"/>
      <c r="AQ132" s="167"/>
      <c r="AR132" s="172"/>
      <c r="AS132" s="164"/>
      <c r="AT132" s="164"/>
      <c r="AU132" s="164"/>
      <c r="AV132" s="164"/>
      <c r="AW132" s="164"/>
      <c r="AX132" s="164"/>
      <c r="AY132" s="167"/>
      <c r="AZ132" s="172"/>
      <c r="BA132" s="164"/>
      <c r="BB132" s="164"/>
      <c r="BC132" s="164"/>
      <c r="BD132" s="164"/>
      <c r="BE132" s="164"/>
      <c r="BF132" s="164"/>
      <c r="BG132" s="167"/>
      <c r="BH132" s="172"/>
      <c r="BI132" s="164"/>
      <c r="BJ132" s="164"/>
      <c r="BK132" s="164"/>
      <c r="BL132" s="164"/>
      <c r="BM132" s="164"/>
      <c r="BN132" s="164"/>
      <c r="BO132" s="167"/>
      <c r="BP132" s="172"/>
      <c r="BQ132" s="164"/>
      <c r="BR132" s="164"/>
      <c r="BS132" s="164"/>
      <c r="BT132" s="164"/>
      <c r="BU132" s="164"/>
      <c r="BV132" s="164"/>
      <c r="BW132" s="167"/>
      <c r="BX132" s="172"/>
      <c r="BY132" s="164"/>
      <c r="BZ132" s="164"/>
      <c r="CA132" s="164"/>
      <c r="CB132" s="164"/>
      <c r="CC132" s="164"/>
      <c r="CD132" s="164"/>
      <c r="CE132" s="167"/>
      <c r="CF132" s="172"/>
      <c r="CG132" s="164"/>
      <c r="CH132" s="164"/>
      <c r="CI132" s="164"/>
      <c r="CJ132" s="164"/>
      <c r="CK132" s="164"/>
      <c r="CL132" s="164"/>
      <c r="CM132" s="167"/>
      <c r="CN132" s="172"/>
      <c r="CO132" s="164"/>
      <c r="CP132" s="164"/>
      <c r="CQ132" s="164"/>
      <c r="CR132" s="164"/>
      <c r="CS132" s="164"/>
      <c r="CT132" s="164"/>
      <c r="CU132" s="167"/>
      <c r="CV132" s="172"/>
      <c r="CW132" s="164"/>
      <c r="CX132" s="164"/>
      <c r="CY132" s="164"/>
      <c r="CZ132" s="164"/>
      <c r="DA132" s="164"/>
      <c r="DB132" s="164"/>
    </row>
    <row r="133" spans="1:106" x14ac:dyDescent="0.2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6"/>
      <c r="L133" s="166"/>
      <c r="M133" s="164"/>
      <c r="N133" s="164"/>
      <c r="O133" s="164"/>
      <c r="P133" s="164"/>
      <c r="Q133" s="164"/>
      <c r="R133" s="164"/>
      <c r="S133" s="166"/>
      <c r="T133" s="166"/>
      <c r="U133" s="164"/>
      <c r="V133" s="164"/>
      <c r="W133" s="164"/>
      <c r="X133" s="164"/>
      <c r="Y133" s="164"/>
      <c r="Z133" s="164"/>
      <c r="AA133" s="167"/>
      <c r="AB133" s="172"/>
      <c r="AC133" s="164"/>
      <c r="AD133" s="164"/>
      <c r="AE133" s="164"/>
      <c r="AF133" s="164"/>
      <c r="AG133" s="164"/>
      <c r="AH133" s="164"/>
      <c r="AI133" s="167"/>
      <c r="AJ133" s="172"/>
      <c r="AK133" s="164"/>
      <c r="AL133" s="164"/>
      <c r="AM133" s="164"/>
      <c r="AN133" s="164"/>
      <c r="AO133" s="164"/>
      <c r="AP133" s="164"/>
      <c r="AQ133" s="167"/>
      <c r="AR133" s="172"/>
      <c r="AS133" s="164"/>
      <c r="AT133" s="164"/>
      <c r="AU133" s="164"/>
      <c r="AV133" s="164"/>
      <c r="AW133" s="164"/>
      <c r="AX133" s="164"/>
      <c r="AY133" s="167"/>
      <c r="AZ133" s="172"/>
      <c r="BA133" s="164"/>
      <c r="BB133" s="164"/>
      <c r="BC133" s="164"/>
      <c r="BD133" s="164"/>
      <c r="BE133" s="164"/>
      <c r="BF133" s="164"/>
      <c r="BG133" s="167"/>
      <c r="BH133" s="172"/>
      <c r="BI133" s="164"/>
      <c r="BJ133" s="164"/>
      <c r="BK133" s="164"/>
      <c r="BL133" s="164"/>
      <c r="BM133" s="164"/>
      <c r="BN133" s="164"/>
      <c r="BO133" s="167"/>
      <c r="BP133" s="172"/>
      <c r="BQ133" s="164"/>
      <c r="BR133" s="164"/>
      <c r="BS133" s="164"/>
      <c r="BT133" s="164"/>
      <c r="BU133" s="164"/>
      <c r="BV133" s="164"/>
      <c r="BW133" s="167"/>
      <c r="BX133" s="172"/>
      <c r="BY133" s="164"/>
      <c r="BZ133" s="164"/>
      <c r="CA133" s="164"/>
      <c r="CB133" s="164"/>
      <c r="CC133" s="164"/>
      <c r="CD133" s="164"/>
      <c r="CE133" s="167"/>
      <c r="CF133" s="172"/>
      <c r="CG133" s="164"/>
      <c r="CH133" s="164"/>
      <c r="CI133" s="164"/>
      <c r="CJ133" s="164"/>
      <c r="CK133" s="164"/>
      <c r="CL133" s="164"/>
      <c r="CM133" s="167"/>
      <c r="CN133" s="172"/>
      <c r="CO133" s="164"/>
      <c r="CP133" s="164"/>
      <c r="CQ133" s="164"/>
      <c r="CR133" s="164"/>
      <c r="CS133" s="164"/>
      <c r="CT133" s="164"/>
      <c r="CU133" s="167"/>
      <c r="CV133" s="172"/>
      <c r="CW133" s="164"/>
      <c r="CX133" s="164"/>
      <c r="CY133" s="164"/>
      <c r="CZ133" s="164"/>
      <c r="DA133" s="164"/>
      <c r="DB133" s="164"/>
    </row>
    <row r="134" spans="1:106" x14ac:dyDescent="0.2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6"/>
      <c r="L134" s="166"/>
      <c r="M134" s="164"/>
      <c r="N134" s="164"/>
      <c r="O134" s="164"/>
      <c r="P134" s="164"/>
      <c r="Q134" s="164"/>
      <c r="R134" s="164"/>
      <c r="S134" s="166"/>
      <c r="T134" s="166"/>
      <c r="U134" s="164"/>
      <c r="V134" s="164"/>
      <c r="W134" s="164"/>
      <c r="X134" s="164"/>
      <c r="Y134" s="164"/>
      <c r="Z134" s="164"/>
      <c r="AA134" s="167"/>
      <c r="AB134" s="172"/>
      <c r="AC134" s="164"/>
      <c r="AD134" s="164"/>
      <c r="AE134" s="164"/>
      <c r="AF134" s="164"/>
      <c r="AG134" s="164"/>
      <c r="AH134" s="164"/>
      <c r="AI134" s="167"/>
      <c r="AJ134" s="172"/>
      <c r="AK134" s="164"/>
      <c r="AL134" s="164"/>
      <c r="AM134" s="164"/>
      <c r="AN134" s="164"/>
      <c r="AO134" s="164"/>
      <c r="AP134" s="164"/>
      <c r="AQ134" s="167"/>
      <c r="AR134" s="172"/>
      <c r="AS134" s="164"/>
      <c r="AT134" s="164"/>
      <c r="AU134" s="164"/>
      <c r="AV134" s="164"/>
      <c r="AW134" s="164"/>
      <c r="AX134" s="164"/>
      <c r="AY134" s="167"/>
      <c r="AZ134" s="172"/>
      <c r="BA134" s="164"/>
      <c r="BB134" s="164"/>
      <c r="BC134" s="164"/>
      <c r="BD134" s="164"/>
      <c r="BE134" s="164"/>
      <c r="BF134" s="164"/>
      <c r="BG134" s="167"/>
      <c r="BH134" s="172"/>
      <c r="BI134" s="164"/>
      <c r="BJ134" s="164"/>
      <c r="BK134" s="164"/>
      <c r="BL134" s="164"/>
      <c r="BM134" s="164"/>
      <c r="BN134" s="164"/>
      <c r="BO134" s="167"/>
      <c r="BP134" s="172"/>
      <c r="BQ134" s="164"/>
      <c r="BR134" s="164"/>
      <c r="BS134" s="164"/>
      <c r="BT134" s="164"/>
      <c r="BU134" s="164"/>
      <c r="BV134" s="164"/>
      <c r="BW134" s="167"/>
      <c r="BX134" s="172"/>
      <c r="BY134" s="164"/>
      <c r="BZ134" s="164"/>
      <c r="CA134" s="164"/>
      <c r="CB134" s="164"/>
      <c r="CC134" s="164"/>
      <c r="CD134" s="164"/>
      <c r="CE134" s="167"/>
      <c r="CF134" s="172"/>
      <c r="CG134" s="164"/>
      <c r="CH134" s="164"/>
      <c r="CI134" s="164"/>
      <c r="CJ134" s="164"/>
      <c r="CK134" s="164"/>
      <c r="CL134" s="164"/>
      <c r="CM134" s="167"/>
      <c r="CN134" s="172"/>
      <c r="CO134" s="164"/>
      <c r="CP134" s="164"/>
      <c r="CQ134" s="164"/>
      <c r="CR134" s="164"/>
      <c r="CS134" s="164"/>
      <c r="CT134" s="164"/>
      <c r="CU134" s="167"/>
      <c r="CV134" s="172"/>
      <c r="CW134" s="164"/>
      <c r="CX134" s="164"/>
      <c r="CY134" s="164"/>
      <c r="CZ134" s="164"/>
      <c r="DA134" s="164"/>
      <c r="DB134" s="164"/>
    </row>
    <row r="135" spans="1:106" x14ac:dyDescent="0.2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6"/>
      <c r="L135" s="166"/>
      <c r="M135" s="164"/>
      <c r="N135" s="164"/>
      <c r="O135" s="164"/>
      <c r="P135" s="164"/>
      <c r="Q135" s="164"/>
      <c r="R135" s="164"/>
      <c r="S135" s="166"/>
      <c r="T135" s="166"/>
      <c r="U135" s="164"/>
      <c r="V135" s="164"/>
      <c r="W135" s="164"/>
      <c r="X135" s="164"/>
      <c r="Y135" s="164"/>
      <c r="Z135" s="164"/>
      <c r="AA135" s="167"/>
      <c r="AB135" s="172"/>
      <c r="AC135" s="164"/>
      <c r="AD135" s="164"/>
      <c r="AE135" s="164"/>
      <c r="AF135" s="164"/>
      <c r="AG135" s="164"/>
      <c r="AH135" s="164"/>
      <c r="AI135" s="167"/>
      <c r="AJ135" s="172"/>
      <c r="AK135" s="164"/>
      <c r="AL135" s="164"/>
      <c r="AM135" s="164"/>
      <c r="AN135" s="164"/>
      <c r="AO135" s="164"/>
      <c r="AP135" s="164"/>
      <c r="AQ135" s="167"/>
      <c r="AR135" s="172"/>
      <c r="AS135" s="164"/>
      <c r="AT135" s="164"/>
      <c r="AU135" s="164"/>
      <c r="AV135" s="164"/>
      <c r="AW135" s="164"/>
      <c r="AX135" s="164"/>
      <c r="AY135" s="167"/>
      <c r="AZ135" s="172"/>
      <c r="BA135" s="164"/>
      <c r="BB135" s="164"/>
      <c r="BC135" s="164"/>
      <c r="BD135" s="164"/>
      <c r="BE135" s="164"/>
      <c r="BF135" s="164"/>
      <c r="BG135" s="167"/>
      <c r="BH135" s="172"/>
      <c r="BI135" s="164"/>
      <c r="BJ135" s="164"/>
      <c r="BK135" s="164"/>
      <c r="BL135" s="164"/>
      <c r="BM135" s="164"/>
      <c r="BN135" s="164"/>
      <c r="BO135" s="167"/>
      <c r="BP135" s="172"/>
      <c r="BQ135" s="164"/>
      <c r="BR135" s="164"/>
      <c r="BS135" s="164"/>
      <c r="BT135" s="164"/>
      <c r="BU135" s="164"/>
      <c r="BV135" s="164"/>
      <c r="BW135" s="167"/>
      <c r="BX135" s="172"/>
      <c r="BY135" s="164"/>
      <c r="BZ135" s="164"/>
      <c r="CA135" s="164"/>
      <c r="CB135" s="164"/>
      <c r="CC135" s="164"/>
      <c r="CD135" s="164"/>
      <c r="CE135" s="167"/>
      <c r="CF135" s="172"/>
      <c r="CG135" s="164"/>
      <c r="CH135" s="164"/>
      <c r="CI135" s="164"/>
      <c r="CJ135" s="164"/>
      <c r="CK135" s="164"/>
      <c r="CL135" s="164"/>
      <c r="CM135" s="167"/>
      <c r="CN135" s="172"/>
      <c r="CO135" s="164"/>
      <c r="CP135" s="164"/>
      <c r="CQ135" s="164"/>
      <c r="CR135" s="164"/>
      <c r="CS135" s="164"/>
      <c r="CT135" s="164"/>
      <c r="CU135" s="167"/>
      <c r="CV135" s="172"/>
      <c r="CW135" s="164"/>
      <c r="CX135" s="164"/>
      <c r="CY135" s="164"/>
      <c r="CZ135" s="164"/>
      <c r="DA135" s="164"/>
      <c r="DB135" s="164"/>
    </row>
    <row r="136" spans="1:106" x14ac:dyDescent="0.2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8"/>
      <c r="L136" s="168"/>
      <c r="M136" s="164"/>
      <c r="N136" s="164"/>
      <c r="O136" s="164"/>
      <c r="P136" s="164"/>
      <c r="Q136" s="164"/>
      <c r="R136" s="164"/>
      <c r="S136" s="168"/>
      <c r="T136" s="168"/>
      <c r="U136" s="164"/>
      <c r="V136" s="164"/>
      <c r="W136" s="164"/>
      <c r="X136" s="164"/>
      <c r="Y136" s="164"/>
      <c r="Z136" s="164"/>
      <c r="AA136" s="167"/>
      <c r="AB136" s="172"/>
      <c r="AC136" s="164"/>
      <c r="AD136" s="164"/>
      <c r="AE136" s="164"/>
      <c r="AF136" s="164"/>
      <c r="AG136" s="164"/>
      <c r="AH136" s="164"/>
      <c r="AI136" s="167"/>
      <c r="AJ136" s="172"/>
      <c r="AK136" s="164"/>
      <c r="AL136" s="164"/>
      <c r="AM136" s="164"/>
      <c r="AN136" s="164"/>
      <c r="AO136" s="164"/>
      <c r="AP136" s="164"/>
      <c r="AQ136" s="167"/>
      <c r="AR136" s="172"/>
      <c r="AS136" s="164"/>
      <c r="AT136" s="164"/>
      <c r="AU136" s="164"/>
      <c r="AV136" s="164"/>
      <c r="AW136" s="164"/>
      <c r="AX136" s="164"/>
      <c r="AY136" s="167"/>
      <c r="AZ136" s="172"/>
      <c r="BA136" s="164"/>
      <c r="BB136" s="164"/>
      <c r="BC136" s="164"/>
      <c r="BD136" s="164"/>
      <c r="BE136" s="164"/>
      <c r="BF136" s="164"/>
      <c r="BG136" s="167"/>
      <c r="BH136" s="172"/>
      <c r="BI136" s="164"/>
      <c r="BJ136" s="164"/>
      <c r="BK136" s="164"/>
      <c r="BL136" s="164"/>
      <c r="BM136" s="164"/>
      <c r="BN136" s="164"/>
      <c r="BO136" s="167"/>
      <c r="BP136" s="172"/>
      <c r="BQ136" s="164"/>
      <c r="BR136" s="164"/>
      <c r="BS136" s="164"/>
      <c r="BT136" s="164"/>
      <c r="BU136" s="164"/>
      <c r="BV136" s="164"/>
      <c r="BW136" s="167"/>
      <c r="BX136" s="172"/>
      <c r="BY136" s="164"/>
      <c r="BZ136" s="164"/>
      <c r="CA136" s="164"/>
      <c r="CB136" s="164"/>
      <c r="CC136" s="164"/>
      <c r="CD136" s="164"/>
      <c r="CE136" s="167"/>
      <c r="CF136" s="172"/>
      <c r="CG136" s="164"/>
      <c r="CH136" s="164"/>
      <c r="CI136" s="164"/>
      <c r="CJ136" s="164"/>
      <c r="CK136" s="164"/>
      <c r="CL136" s="164"/>
      <c r="CM136" s="167"/>
      <c r="CN136" s="172"/>
      <c r="CO136" s="164"/>
      <c r="CP136" s="164"/>
      <c r="CQ136" s="164"/>
      <c r="CR136" s="164"/>
      <c r="CS136" s="164"/>
      <c r="CT136" s="164"/>
      <c r="CU136" s="167"/>
      <c r="CV136" s="172"/>
      <c r="CW136" s="164"/>
      <c r="CX136" s="164"/>
      <c r="CY136" s="164"/>
      <c r="CZ136" s="164"/>
      <c r="DA136" s="164"/>
      <c r="DB136" s="164"/>
    </row>
    <row r="137" spans="1:106" x14ac:dyDescent="0.2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6"/>
      <c r="L137" s="166"/>
      <c r="M137" s="164"/>
      <c r="N137" s="164"/>
      <c r="O137" s="164"/>
      <c r="P137" s="164"/>
      <c r="Q137" s="164"/>
      <c r="R137" s="164"/>
      <c r="S137" s="166"/>
      <c r="T137" s="166"/>
      <c r="U137" s="164"/>
      <c r="V137" s="164"/>
      <c r="W137" s="164"/>
      <c r="X137" s="164"/>
      <c r="Y137" s="164"/>
      <c r="Z137" s="164"/>
      <c r="AA137" s="167"/>
      <c r="AB137" s="172"/>
      <c r="AC137" s="164"/>
      <c r="AD137" s="164"/>
      <c r="AE137" s="164"/>
      <c r="AF137" s="164"/>
      <c r="AG137" s="164"/>
      <c r="AH137" s="164"/>
      <c r="AI137" s="167"/>
      <c r="AJ137" s="172"/>
      <c r="AK137" s="164"/>
      <c r="AL137" s="164"/>
      <c r="AM137" s="164"/>
      <c r="AN137" s="164"/>
      <c r="AO137" s="164"/>
      <c r="AP137" s="164"/>
      <c r="AQ137" s="167"/>
      <c r="AR137" s="172"/>
      <c r="AS137" s="164"/>
      <c r="AT137" s="164"/>
      <c r="AU137" s="164"/>
      <c r="AV137" s="164"/>
      <c r="AW137" s="164"/>
      <c r="AX137" s="164"/>
      <c r="AY137" s="167"/>
      <c r="AZ137" s="172"/>
      <c r="BA137" s="164"/>
      <c r="BB137" s="164"/>
      <c r="BC137" s="164"/>
      <c r="BD137" s="164"/>
      <c r="BE137" s="164"/>
      <c r="BF137" s="164"/>
      <c r="BG137" s="167"/>
      <c r="BH137" s="172"/>
      <c r="BI137" s="164"/>
      <c r="BJ137" s="164"/>
      <c r="BK137" s="164"/>
      <c r="BL137" s="164"/>
      <c r="BM137" s="164"/>
      <c r="BN137" s="164"/>
      <c r="BO137" s="167"/>
      <c r="BP137" s="172"/>
      <c r="BQ137" s="164"/>
      <c r="BR137" s="164"/>
      <c r="BS137" s="164"/>
      <c r="BT137" s="164"/>
      <c r="BU137" s="164"/>
      <c r="BV137" s="164"/>
      <c r="BW137" s="167"/>
      <c r="BX137" s="172"/>
      <c r="BY137" s="164"/>
      <c r="BZ137" s="164"/>
      <c r="CA137" s="164"/>
      <c r="CB137" s="164"/>
      <c r="CC137" s="164"/>
      <c r="CD137" s="164"/>
      <c r="CE137" s="167"/>
      <c r="CF137" s="172"/>
      <c r="CG137" s="164"/>
      <c r="CH137" s="164"/>
      <c r="CI137" s="164"/>
      <c r="CJ137" s="164"/>
      <c r="CK137" s="164"/>
      <c r="CL137" s="164"/>
      <c r="CM137" s="167"/>
      <c r="CN137" s="172"/>
      <c r="CO137" s="164"/>
      <c r="CP137" s="164"/>
      <c r="CQ137" s="164"/>
      <c r="CR137" s="164"/>
      <c r="CS137" s="164"/>
      <c r="CT137" s="164"/>
      <c r="CU137" s="167"/>
      <c r="CV137" s="172"/>
      <c r="CW137" s="164"/>
      <c r="CX137" s="164"/>
      <c r="CY137" s="164"/>
      <c r="CZ137" s="164"/>
      <c r="DA137" s="164"/>
      <c r="DB137" s="164"/>
    </row>
    <row r="138" spans="1:106" x14ac:dyDescent="0.2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6"/>
      <c r="L138" s="166"/>
      <c r="M138" s="164"/>
      <c r="N138" s="164"/>
      <c r="O138" s="164"/>
      <c r="P138" s="164"/>
      <c r="Q138" s="164"/>
      <c r="R138" s="164"/>
      <c r="S138" s="166"/>
      <c r="T138" s="166"/>
      <c r="U138" s="164"/>
      <c r="V138" s="164"/>
      <c r="W138" s="164"/>
      <c r="X138" s="164"/>
      <c r="Y138" s="164"/>
      <c r="Z138" s="164"/>
      <c r="AA138" s="167"/>
      <c r="AB138" s="172"/>
      <c r="AC138" s="164"/>
      <c r="AD138" s="164"/>
      <c r="AE138" s="164"/>
      <c r="AF138" s="164"/>
      <c r="AG138" s="164"/>
      <c r="AH138" s="164"/>
      <c r="AI138" s="167"/>
      <c r="AJ138" s="172"/>
      <c r="AK138" s="164"/>
      <c r="AL138" s="164"/>
      <c r="AM138" s="164"/>
      <c r="AN138" s="164"/>
      <c r="AO138" s="164"/>
      <c r="AP138" s="164"/>
      <c r="AQ138" s="167"/>
      <c r="AR138" s="172"/>
      <c r="AS138" s="164"/>
      <c r="AT138" s="164"/>
      <c r="AU138" s="164"/>
      <c r="AV138" s="164"/>
      <c r="AW138" s="164"/>
      <c r="AX138" s="164"/>
      <c r="AY138" s="167"/>
      <c r="AZ138" s="172"/>
      <c r="BA138" s="164"/>
      <c r="BB138" s="164"/>
      <c r="BC138" s="164"/>
      <c r="BD138" s="164"/>
      <c r="BE138" s="164"/>
      <c r="BF138" s="164"/>
      <c r="BG138" s="167"/>
      <c r="BH138" s="172"/>
      <c r="BI138" s="164"/>
      <c r="BJ138" s="164"/>
      <c r="BK138" s="164"/>
      <c r="BL138" s="164"/>
      <c r="BM138" s="164"/>
      <c r="BN138" s="164"/>
      <c r="BO138" s="167"/>
      <c r="BP138" s="172"/>
      <c r="BQ138" s="164"/>
      <c r="BR138" s="164"/>
      <c r="BS138" s="164"/>
      <c r="BT138" s="164"/>
      <c r="BU138" s="164"/>
      <c r="BV138" s="164"/>
      <c r="BW138" s="167"/>
      <c r="BX138" s="172"/>
      <c r="BY138" s="164"/>
      <c r="BZ138" s="164"/>
      <c r="CA138" s="164"/>
      <c r="CB138" s="164"/>
      <c r="CC138" s="164"/>
      <c r="CD138" s="164"/>
      <c r="CE138" s="167"/>
      <c r="CF138" s="172"/>
      <c r="CG138" s="164"/>
      <c r="CH138" s="164"/>
      <c r="CI138" s="164"/>
      <c r="CJ138" s="164"/>
      <c r="CK138" s="164"/>
      <c r="CL138" s="164"/>
      <c r="CM138" s="167"/>
      <c r="CN138" s="172"/>
      <c r="CO138" s="164"/>
      <c r="CP138" s="164"/>
      <c r="CQ138" s="164"/>
      <c r="CR138" s="164"/>
      <c r="CS138" s="164"/>
      <c r="CT138" s="164"/>
      <c r="CU138" s="167"/>
      <c r="CV138" s="172"/>
      <c r="CW138" s="164"/>
      <c r="CX138" s="164"/>
      <c r="CY138" s="164"/>
      <c r="CZ138" s="164"/>
      <c r="DA138" s="164"/>
      <c r="DB138" s="164"/>
    </row>
    <row r="139" spans="1:106" x14ac:dyDescent="0.2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6"/>
      <c r="L139" s="166"/>
      <c r="M139" s="164"/>
      <c r="N139" s="164"/>
      <c r="O139" s="164"/>
      <c r="P139" s="164"/>
      <c r="Q139" s="164"/>
      <c r="R139" s="164"/>
      <c r="S139" s="166"/>
      <c r="T139" s="166"/>
      <c r="U139" s="164"/>
      <c r="V139" s="164"/>
      <c r="W139" s="164"/>
      <c r="X139" s="164"/>
      <c r="Y139" s="164"/>
      <c r="Z139" s="164"/>
      <c r="AA139" s="167"/>
      <c r="AB139" s="172"/>
      <c r="AC139" s="164"/>
      <c r="AD139" s="164"/>
      <c r="AE139" s="164"/>
      <c r="AF139" s="164"/>
      <c r="AG139" s="164"/>
      <c r="AH139" s="164"/>
      <c r="AI139" s="167"/>
      <c r="AJ139" s="172"/>
      <c r="AK139" s="164"/>
      <c r="AL139" s="164"/>
      <c r="AM139" s="164"/>
      <c r="AN139" s="164"/>
      <c r="AO139" s="164"/>
      <c r="AP139" s="164"/>
      <c r="AQ139" s="167"/>
      <c r="AR139" s="172"/>
      <c r="AS139" s="164"/>
      <c r="AT139" s="164"/>
      <c r="AU139" s="164"/>
      <c r="AV139" s="164"/>
      <c r="AW139" s="164"/>
      <c r="AX139" s="164"/>
      <c r="AY139" s="167"/>
      <c r="AZ139" s="172"/>
      <c r="BA139" s="164"/>
      <c r="BB139" s="164"/>
      <c r="BC139" s="164"/>
      <c r="BD139" s="164"/>
      <c r="BE139" s="164"/>
      <c r="BF139" s="164"/>
      <c r="BG139" s="167"/>
      <c r="BH139" s="172"/>
      <c r="BI139" s="164"/>
      <c r="BJ139" s="164"/>
      <c r="BK139" s="164"/>
      <c r="BL139" s="164"/>
      <c r="BM139" s="164"/>
      <c r="BN139" s="164"/>
      <c r="BO139" s="167"/>
      <c r="BP139" s="172"/>
      <c r="BQ139" s="164"/>
      <c r="BR139" s="164"/>
      <c r="BS139" s="164"/>
      <c r="BT139" s="164"/>
      <c r="BU139" s="164"/>
      <c r="BV139" s="164"/>
      <c r="BW139" s="167"/>
      <c r="BX139" s="172"/>
      <c r="BY139" s="164"/>
      <c r="BZ139" s="164"/>
      <c r="CA139" s="164"/>
      <c r="CB139" s="164"/>
      <c r="CC139" s="164"/>
      <c r="CD139" s="164"/>
      <c r="CE139" s="167"/>
      <c r="CF139" s="172"/>
      <c r="CG139" s="164"/>
      <c r="CH139" s="164"/>
      <c r="CI139" s="164"/>
      <c r="CJ139" s="164"/>
      <c r="CK139" s="164"/>
      <c r="CL139" s="164"/>
      <c r="CM139" s="167"/>
      <c r="CN139" s="172"/>
      <c r="CO139" s="164"/>
      <c r="CP139" s="164"/>
      <c r="CQ139" s="164"/>
      <c r="CR139" s="164"/>
      <c r="CS139" s="164"/>
      <c r="CT139" s="164"/>
      <c r="CU139" s="167"/>
      <c r="CV139" s="172"/>
      <c r="CW139" s="164"/>
      <c r="CX139" s="164"/>
      <c r="CY139" s="164"/>
      <c r="CZ139" s="164"/>
      <c r="DA139" s="164"/>
      <c r="DB139" s="164"/>
    </row>
    <row r="140" spans="1:106" x14ac:dyDescent="0.2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6"/>
      <c r="L140" s="166"/>
      <c r="M140" s="164"/>
      <c r="N140" s="164"/>
      <c r="O140" s="164"/>
      <c r="P140" s="164"/>
      <c r="Q140" s="164"/>
      <c r="R140" s="164"/>
      <c r="S140" s="166"/>
      <c r="T140" s="166"/>
      <c r="U140" s="164"/>
      <c r="V140" s="164"/>
      <c r="W140" s="164"/>
      <c r="X140" s="164"/>
      <c r="Y140" s="164"/>
      <c r="Z140" s="164"/>
      <c r="AA140" s="167"/>
      <c r="AB140" s="172"/>
      <c r="AC140" s="164"/>
      <c r="AD140" s="164"/>
      <c r="AE140" s="164"/>
      <c r="AF140" s="164"/>
      <c r="AG140" s="164"/>
      <c r="AH140" s="164"/>
      <c r="AI140" s="167"/>
      <c r="AJ140" s="172"/>
      <c r="AK140" s="164"/>
      <c r="AL140" s="164"/>
      <c r="AM140" s="164"/>
      <c r="AN140" s="164"/>
      <c r="AO140" s="164"/>
      <c r="AP140" s="164"/>
      <c r="AQ140" s="167"/>
      <c r="AR140" s="172"/>
      <c r="AS140" s="164"/>
      <c r="AT140" s="164"/>
      <c r="AU140" s="164"/>
      <c r="AV140" s="164"/>
      <c r="AW140" s="164"/>
      <c r="AX140" s="164"/>
      <c r="AY140" s="167"/>
      <c r="AZ140" s="172"/>
      <c r="BA140" s="164"/>
      <c r="BB140" s="164"/>
      <c r="BC140" s="164"/>
      <c r="BD140" s="164"/>
      <c r="BE140" s="164"/>
      <c r="BF140" s="164"/>
      <c r="BG140" s="167"/>
      <c r="BH140" s="172"/>
      <c r="BI140" s="164"/>
      <c r="BJ140" s="164"/>
      <c r="BK140" s="164"/>
      <c r="BL140" s="164"/>
      <c r="BM140" s="164"/>
      <c r="BN140" s="164"/>
      <c r="BO140" s="167"/>
      <c r="BP140" s="172"/>
      <c r="BQ140" s="164"/>
      <c r="BR140" s="164"/>
      <c r="BS140" s="164"/>
      <c r="BT140" s="164"/>
      <c r="BU140" s="164"/>
      <c r="BV140" s="164"/>
      <c r="BW140" s="167"/>
      <c r="BX140" s="172"/>
      <c r="BY140" s="164"/>
      <c r="BZ140" s="164"/>
      <c r="CA140" s="164"/>
      <c r="CB140" s="164"/>
      <c r="CC140" s="164"/>
      <c r="CD140" s="164"/>
      <c r="CE140" s="167"/>
      <c r="CF140" s="172"/>
      <c r="CG140" s="164"/>
      <c r="CH140" s="164"/>
      <c r="CI140" s="164"/>
      <c r="CJ140" s="164"/>
      <c r="CK140" s="164"/>
      <c r="CL140" s="164"/>
      <c r="CM140" s="167"/>
      <c r="CN140" s="172"/>
      <c r="CO140" s="164"/>
      <c r="CP140" s="164"/>
      <c r="CQ140" s="164"/>
      <c r="CR140" s="164"/>
      <c r="CS140" s="164"/>
      <c r="CT140" s="164"/>
      <c r="CU140" s="167"/>
      <c r="CV140" s="172"/>
      <c r="CW140" s="164"/>
      <c r="CX140" s="164"/>
      <c r="CY140" s="164"/>
      <c r="CZ140" s="164"/>
      <c r="DA140" s="164"/>
      <c r="DB140" s="164"/>
    </row>
    <row r="141" spans="1:106" x14ac:dyDescent="0.2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6"/>
      <c r="L141" s="166"/>
      <c r="M141" s="164"/>
      <c r="N141" s="164"/>
      <c r="O141" s="164"/>
      <c r="P141" s="164"/>
      <c r="Q141" s="164"/>
      <c r="R141" s="164"/>
      <c r="S141" s="166"/>
      <c r="T141" s="166"/>
      <c r="U141" s="164"/>
      <c r="V141" s="164"/>
      <c r="W141" s="164"/>
      <c r="X141" s="164"/>
      <c r="Y141" s="164"/>
      <c r="Z141" s="164"/>
      <c r="AA141" s="167"/>
      <c r="AB141" s="172"/>
      <c r="AC141" s="164"/>
      <c r="AD141" s="164"/>
      <c r="AE141" s="164"/>
      <c r="AF141" s="164"/>
      <c r="AG141" s="164"/>
      <c r="AH141" s="164"/>
      <c r="AI141" s="167"/>
      <c r="AJ141" s="172"/>
      <c r="AK141" s="164"/>
      <c r="AL141" s="164"/>
      <c r="AM141" s="164"/>
      <c r="AN141" s="164"/>
      <c r="AO141" s="164"/>
      <c r="AP141" s="164"/>
      <c r="AQ141" s="167"/>
      <c r="AR141" s="172"/>
      <c r="AS141" s="164"/>
      <c r="AT141" s="164"/>
      <c r="AU141" s="164"/>
      <c r="AV141" s="164"/>
      <c r="AW141" s="164"/>
      <c r="AX141" s="164"/>
      <c r="AY141" s="167"/>
      <c r="AZ141" s="172"/>
      <c r="BA141" s="164"/>
      <c r="BB141" s="164"/>
      <c r="BC141" s="164"/>
      <c r="BD141" s="164"/>
      <c r="BE141" s="164"/>
      <c r="BF141" s="164"/>
      <c r="BG141" s="167"/>
      <c r="BH141" s="172"/>
      <c r="BI141" s="164"/>
      <c r="BJ141" s="164"/>
      <c r="BK141" s="164"/>
      <c r="BL141" s="164"/>
      <c r="BM141" s="164"/>
      <c r="BN141" s="164"/>
      <c r="BO141" s="167"/>
      <c r="BP141" s="172"/>
      <c r="BQ141" s="164"/>
      <c r="BR141" s="164"/>
      <c r="BS141" s="164"/>
      <c r="BT141" s="164"/>
      <c r="BU141" s="164"/>
      <c r="BV141" s="164"/>
      <c r="BW141" s="167"/>
      <c r="BX141" s="172"/>
      <c r="BY141" s="164"/>
      <c r="BZ141" s="164"/>
      <c r="CA141" s="164"/>
      <c r="CB141" s="164"/>
      <c r="CC141" s="164"/>
      <c r="CD141" s="164"/>
      <c r="CE141" s="167"/>
      <c r="CF141" s="172"/>
      <c r="CG141" s="164"/>
      <c r="CH141" s="164"/>
      <c r="CI141" s="164"/>
      <c r="CJ141" s="164"/>
      <c r="CK141" s="164"/>
      <c r="CL141" s="164"/>
      <c r="CM141" s="167"/>
      <c r="CN141" s="172"/>
      <c r="CO141" s="164"/>
      <c r="CP141" s="164"/>
      <c r="CQ141" s="164"/>
      <c r="CR141" s="164"/>
      <c r="CS141" s="164"/>
      <c r="CT141" s="164"/>
      <c r="CU141" s="167"/>
      <c r="CV141" s="172"/>
      <c r="CW141" s="164"/>
      <c r="CX141" s="164"/>
      <c r="CY141" s="164"/>
      <c r="CZ141" s="164"/>
      <c r="DA141" s="164"/>
      <c r="DB141" s="164"/>
    </row>
    <row r="142" spans="1:106" x14ac:dyDescent="0.2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8"/>
      <c r="L142" s="168"/>
      <c r="M142" s="164"/>
      <c r="N142" s="164"/>
      <c r="O142" s="164"/>
      <c r="P142" s="164"/>
      <c r="Q142" s="164"/>
      <c r="R142" s="164"/>
      <c r="S142" s="168"/>
      <c r="T142" s="168"/>
      <c r="U142" s="164"/>
      <c r="V142" s="164"/>
      <c r="W142" s="164"/>
      <c r="X142" s="164"/>
      <c r="Y142" s="164"/>
      <c r="Z142" s="164"/>
      <c r="AA142" s="167"/>
      <c r="AB142" s="167"/>
      <c r="AC142" s="164"/>
      <c r="AD142" s="164"/>
      <c r="AE142" s="164"/>
      <c r="AF142" s="164"/>
      <c r="AG142" s="164"/>
      <c r="AH142" s="164"/>
      <c r="AI142" s="167"/>
      <c r="AJ142" s="167"/>
      <c r="AK142" s="164"/>
      <c r="AL142" s="164"/>
      <c r="AM142" s="164"/>
      <c r="AN142" s="164"/>
      <c r="AO142" s="164"/>
      <c r="AP142" s="164"/>
      <c r="AQ142" s="167"/>
      <c r="AR142" s="167"/>
      <c r="AS142" s="164"/>
      <c r="AT142" s="164"/>
      <c r="AU142" s="164"/>
      <c r="AV142" s="164"/>
      <c r="AW142" s="164"/>
      <c r="AX142" s="164"/>
      <c r="AY142" s="167"/>
      <c r="AZ142" s="167"/>
      <c r="BA142" s="164"/>
      <c r="BB142" s="164"/>
      <c r="BC142" s="164"/>
      <c r="BD142" s="164"/>
      <c r="BE142" s="164"/>
      <c r="BF142" s="164"/>
      <c r="BG142" s="167"/>
      <c r="BH142" s="167"/>
      <c r="BI142" s="164"/>
      <c r="BJ142" s="164"/>
      <c r="BK142" s="164"/>
      <c r="BL142" s="164"/>
      <c r="BM142" s="164"/>
      <c r="BN142" s="164"/>
      <c r="BO142" s="167"/>
      <c r="BP142" s="167"/>
      <c r="BQ142" s="164"/>
      <c r="BR142" s="164"/>
      <c r="BS142" s="164"/>
      <c r="BT142" s="164"/>
      <c r="BU142" s="164"/>
      <c r="BV142" s="164"/>
      <c r="BW142" s="167"/>
      <c r="BX142" s="167"/>
      <c r="BY142" s="164"/>
      <c r="BZ142" s="164"/>
      <c r="CA142" s="164"/>
      <c r="CB142" s="164"/>
      <c r="CC142" s="164"/>
      <c r="CD142" s="164"/>
      <c r="CE142" s="167"/>
      <c r="CF142" s="167"/>
      <c r="CG142" s="164"/>
      <c r="CH142" s="164"/>
      <c r="CI142" s="164"/>
      <c r="CJ142" s="164"/>
      <c r="CK142" s="164"/>
      <c r="CL142" s="164"/>
      <c r="CM142" s="167"/>
      <c r="CN142" s="167"/>
      <c r="CO142" s="164"/>
      <c r="CP142" s="164"/>
      <c r="CQ142" s="164"/>
      <c r="CR142" s="164"/>
      <c r="CS142" s="164"/>
      <c r="CT142" s="164"/>
      <c r="CU142" s="167"/>
      <c r="CV142" s="167"/>
      <c r="CW142" s="164"/>
      <c r="CX142" s="164"/>
      <c r="CY142" s="164"/>
      <c r="CZ142" s="164"/>
      <c r="DA142" s="164"/>
      <c r="DB142" s="164"/>
    </row>
    <row r="143" spans="1:106" x14ac:dyDescent="0.2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6"/>
      <c r="L143" s="166"/>
      <c r="M143" s="164"/>
      <c r="N143" s="164"/>
      <c r="O143" s="164"/>
      <c r="P143" s="164"/>
      <c r="Q143" s="164"/>
      <c r="R143" s="164"/>
      <c r="S143" s="166"/>
      <c r="T143" s="166"/>
      <c r="U143" s="164"/>
      <c r="V143" s="164"/>
      <c r="W143" s="164"/>
      <c r="X143" s="164"/>
      <c r="Y143" s="164"/>
      <c r="Z143" s="164"/>
      <c r="AA143" s="167"/>
      <c r="AB143" s="172"/>
      <c r="AC143" s="164"/>
      <c r="AD143" s="164"/>
      <c r="AE143" s="164"/>
      <c r="AF143" s="164"/>
      <c r="AG143" s="164"/>
      <c r="AH143" s="164"/>
      <c r="AI143" s="167"/>
      <c r="AJ143" s="172"/>
      <c r="AK143" s="164"/>
      <c r="AL143" s="164"/>
      <c r="AM143" s="164"/>
      <c r="AN143" s="164"/>
      <c r="AO143" s="164"/>
      <c r="AP143" s="164"/>
      <c r="AQ143" s="167"/>
      <c r="AR143" s="172"/>
      <c r="AS143" s="164"/>
      <c r="AT143" s="164"/>
      <c r="AU143" s="164"/>
      <c r="AV143" s="164"/>
      <c r="AW143" s="164"/>
      <c r="AX143" s="164"/>
      <c r="AY143" s="167"/>
      <c r="AZ143" s="172"/>
      <c r="BA143" s="164"/>
      <c r="BB143" s="164"/>
      <c r="BC143" s="164"/>
      <c r="BD143" s="164"/>
      <c r="BE143" s="164"/>
      <c r="BF143" s="164"/>
      <c r="BG143" s="167"/>
      <c r="BH143" s="172"/>
      <c r="BI143" s="164"/>
      <c r="BJ143" s="164"/>
      <c r="BK143" s="164"/>
      <c r="BL143" s="164"/>
      <c r="BM143" s="164"/>
      <c r="BN143" s="164"/>
      <c r="BO143" s="167"/>
      <c r="BP143" s="172"/>
      <c r="BQ143" s="164"/>
      <c r="BR143" s="164"/>
      <c r="BS143" s="164"/>
      <c r="BT143" s="164"/>
      <c r="BU143" s="164"/>
      <c r="BV143" s="164"/>
      <c r="BW143" s="167"/>
      <c r="BX143" s="172"/>
      <c r="BY143" s="164"/>
      <c r="BZ143" s="164"/>
      <c r="CA143" s="164"/>
      <c r="CB143" s="164"/>
      <c r="CC143" s="164"/>
      <c r="CD143" s="164"/>
      <c r="CE143" s="167"/>
      <c r="CF143" s="172"/>
      <c r="CG143" s="164"/>
      <c r="CH143" s="164"/>
      <c r="CI143" s="164"/>
      <c r="CJ143" s="164"/>
      <c r="CK143" s="164"/>
      <c r="CL143" s="164"/>
      <c r="CM143" s="167"/>
      <c r="CN143" s="172"/>
      <c r="CO143" s="164"/>
      <c r="CP143" s="164"/>
      <c r="CQ143" s="164"/>
      <c r="CR143" s="164"/>
      <c r="CS143" s="164"/>
      <c r="CT143" s="164"/>
      <c r="CU143" s="167"/>
      <c r="CV143" s="172"/>
      <c r="CW143" s="164"/>
      <c r="CX143" s="164"/>
      <c r="CY143" s="164"/>
      <c r="CZ143" s="164"/>
      <c r="DA143" s="164"/>
      <c r="DB143" s="164"/>
    </row>
    <row r="144" spans="1:106" x14ac:dyDescent="0.2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8"/>
      <c r="L144" s="168"/>
      <c r="M144" s="164"/>
      <c r="N144" s="164"/>
      <c r="O144" s="164"/>
      <c r="P144" s="164"/>
      <c r="Q144" s="164"/>
      <c r="R144" s="164"/>
      <c r="S144" s="168"/>
      <c r="T144" s="168"/>
      <c r="U144" s="164"/>
      <c r="V144" s="164"/>
      <c r="W144" s="164"/>
      <c r="X144" s="164"/>
      <c r="Y144" s="164"/>
      <c r="Z144" s="164"/>
      <c r="AA144" s="167"/>
      <c r="AB144" s="172"/>
      <c r="AC144" s="164"/>
      <c r="AD144" s="164"/>
      <c r="AE144" s="164"/>
      <c r="AF144" s="164"/>
      <c r="AG144" s="164"/>
      <c r="AH144" s="164"/>
      <c r="AI144" s="167"/>
      <c r="AJ144" s="172"/>
      <c r="AK144" s="164"/>
      <c r="AL144" s="164"/>
      <c r="AM144" s="164"/>
      <c r="AN144" s="164"/>
      <c r="AO144" s="164"/>
      <c r="AP144" s="164"/>
      <c r="AQ144" s="167"/>
      <c r="AR144" s="172"/>
      <c r="AS144" s="164"/>
      <c r="AT144" s="164"/>
      <c r="AU144" s="164"/>
      <c r="AV144" s="164"/>
      <c r="AW144" s="164"/>
      <c r="AX144" s="164"/>
      <c r="AY144" s="167"/>
      <c r="AZ144" s="172"/>
      <c r="BA144" s="164"/>
      <c r="BB144" s="164"/>
      <c r="BC144" s="164"/>
      <c r="BD144" s="164"/>
      <c r="BE144" s="164"/>
      <c r="BF144" s="164"/>
      <c r="BG144" s="167"/>
      <c r="BH144" s="172"/>
      <c r="BI144" s="164"/>
      <c r="BJ144" s="164"/>
      <c r="BK144" s="164"/>
      <c r="BL144" s="164"/>
      <c r="BM144" s="164"/>
      <c r="BN144" s="164"/>
      <c r="BO144" s="167"/>
      <c r="BP144" s="172"/>
      <c r="BQ144" s="164"/>
      <c r="BR144" s="164"/>
      <c r="BS144" s="164"/>
      <c r="BT144" s="164"/>
      <c r="BU144" s="164"/>
      <c r="BV144" s="164"/>
      <c r="BW144" s="167"/>
      <c r="BX144" s="172"/>
      <c r="BY144" s="164"/>
      <c r="BZ144" s="164"/>
      <c r="CA144" s="164"/>
      <c r="CB144" s="164"/>
      <c r="CC144" s="164"/>
      <c r="CD144" s="164"/>
      <c r="CE144" s="167"/>
      <c r="CF144" s="172"/>
      <c r="CG144" s="164"/>
      <c r="CH144" s="164"/>
      <c r="CI144" s="164"/>
      <c r="CJ144" s="164"/>
      <c r="CK144" s="164"/>
      <c r="CL144" s="164"/>
      <c r="CM144" s="167"/>
      <c r="CN144" s="172"/>
      <c r="CO144" s="164"/>
      <c r="CP144" s="164"/>
      <c r="CQ144" s="164"/>
      <c r="CR144" s="164"/>
      <c r="CS144" s="164"/>
      <c r="CT144" s="164"/>
      <c r="CU144" s="167"/>
      <c r="CV144" s="172"/>
      <c r="CW144" s="164"/>
      <c r="CX144" s="164"/>
      <c r="CY144" s="164"/>
      <c r="CZ144" s="164"/>
      <c r="DA144" s="164"/>
      <c r="DB144" s="164"/>
    </row>
    <row r="145" spans="1:106" x14ac:dyDescent="0.2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6"/>
      <c r="L145" s="166"/>
      <c r="M145" s="164"/>
      <c r="N145" s="164"/>
      <c r="O145" s="164"/>
      <c r="P145" s="164"/>
      <c r="Q145" s="164"/>
      <c r="R145" s="164"/>
      <c r="S145" s="166"/>
      <c r="T145" s="166"/>
      <c r="U145" s="164"/>
      <c r="V145" s="164"/>
      <c r="W145" s="164"/>
      <c r="X145" s="164"/>
      <c r="Y145" s="164"/>
      <c r="Z145" s="164"/>
      <c r="AA145" s="167"/>
      <c r="AB145" s="172"/>
      <c r="AC145" s="164"/>
      <c r="AD145" s="164"/>
      <c r="AE145" s="164"/>
      <c r="AF145" s="164"/>
      <c r="AG145" s="164"/>
      <c r="AH145" s="164"/>
      <c r="AI145" s="167"/>
      <c r="AJ145" s="172"/>
      <c r="AK145" s="164"/>
      <c r="AL145" s="164"/>
      <c r="AM145" s="164"/>
      <c r="AN145" s="164"/>
      <c r="AO145" s="164"/>
      <c r="AP145" s="164"/>
      <c r="AQ145" s="167"/>
      <c r="AR145" s="172"/>
      <c r="AS145" s="164"/>
      <c r="AT145" s="164"/>
      <c r="AU145" s="164"/>
      <c r="AV145" s="164"/>
      <c r="AW145" s="164"/>
      <c r="AX145" s="164"/>
      <c r="AY145" s="167"/>
      <c r="AZ145" s="172"/>
      <c r="BA145" s="164"/>
      <c r="BB145" s="164"/>
      <c r="BC145" s="164"/>
      <c r="BD145" s="164"/>
      <c r="BE145" s="164"/>
      <c r="BF145" s="164"/>
      <c r="BG145" s="167"/>
      <c r="BH145" s="172"/>
      <c r="BI145" s="164"/>
      <c r="BJ145" s="164"/>
      <c r="BK145" s="164"/>
      <c r="BL145" s="164"/>
      <c r="BM145" s="164"/>
      <c r="BN145" s="164"/>
      <c r="BO145" s="167"/>
      <c r="BP145" s="172"/>
      <c r="BQ145" s="164"/>
      <c r="BR145" s="164"/>
      <c r="BS145" s="164"/>
      <c r="BT145" s="164"/>
      <c r="BU145" s="164"/>
      <c r="BV145" s="164"/>
      <c r="BW145" s="167"/>
      <c r="BX145" s="172"/>
      <c r="BY145" s="164"/>
      <c r="BZ145" s="164"/>
      <c r="CA145" s="164"/>
      <c r="CB145" s="164"/>
      <c r="CC145" s="164"/>
      <c r="CD145" s="164"/>
      <c r="CE145" s="167"/>
      <c r="CF145" s="172"/>
      <c r="CG145" s="164"/>
      <c r="CH145" s="164"/>
      <c r="CI145" s="164"/>
      <c r="CJ145" s="164"/>
      <c r="CK145" s="164"/>
      <c r="CL145" s="164"/>
      <c r="CM145" s="167"/>
      <c r="CN145" s="172"/>
      <c r="CO145" s="164"/>
      <c r="CP145" s="164"/>
      <c r="CQ145" s="164"/>
      <c r="CR145" s="164"/>
      <c r="CS145" s="164"/>
      <c r="CT145" s="164"/>
      <c r="CU145" s="167"/>
      <c r="CV145" s="172"/>
      <c r="CW145" s="164"/>
      <c r="CX145" s="164"/>
      <c r="CY145" s="164"/>
      <c r="CZ145" s="164"/>
      <c r="DA145" s="164"/>
      <c r="DB145" s="164"/>
    </row>
    <row r="146" spans="1:106" x14ac:dyDescent="0.2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8"/>
      <c r="L146" s="168"/>
      <c r="M146" s="164"/>
      <c r="N146" s="164"/>
      <c r="O146" s="164"/>
      <c r="P146" s="164"/>
      <c r="Q146" s="164"/>
      <c r="R146" s="164"/>
      <c r="S146" s="168"/>
      <c r="T146" s="168"/>
      <c r="U146" s="164"/>
      <c r="V146" s="164"/>
      <c r="W146" s="164"/>
      <c r="X146" s="164"/>
      <c r="Y146" s="164"/>
      <c r="Z146" s="164"/>
      <c r="AA146" s="167"/>
      <c r="AB146" s="172"/>
      <c r="AC146" s="164"/>
      <c r="AD146" s="164"/>
      <c r="AE146" s="164"/>
      <c r="AF146" s="164"/>
      <c r="AG146" s="164"/>
      <c r="AH146" s="164"/>
      <c r="AI146" s="167"/>
      <c r="AJ146" s="172"/>
      <c r="AK146" s="164"/>
      <c r="AL146" s="164"/>
      <c r="AM146" s="164"/>
      <c r="AN146" s="164"/>
      <c r="AO146" s="164"/>
      <c r="AP146" s="164"/>
      <c r="AQ146" s="167"/>
      <c r="AR146" s="172"/>
      <c r="AS146" s="164"/>
      <c r="AT146" s="164"/>
      <c r="AU146" s="164"/>
      <c r="AV146" s="164"/>
      <c r="AW146" s="164"/>
      <c r="AX146" s="164"/>
      <c r="AY146" s="167"/>
      <c r="AZ146" s="172"/>
      <c r="BA146" s="164"/>
      <c r="BB146" s="164"/>
      <c r="BC146" s="164"/>
      <c r="BD146" s="164"/>
      <c r="BE146" s="164"/>
      <c r="BF146" s="164"/>
      <c r="BG146" s="167"/>
      <c r="BH146" s="172"/>
      <c r="BI146" s="164"/>
      <c r="BJ146" s="164"/>
      <c r="BK146" s="164"/>
      <c r="BL146" s="164"/>
      <c r="BM146" s="164"/>
      <c r="BN146" s="164"/>
      <c r="BO146" s="167"/>
      <c r="BP146" s="172"/>
      <c r="BQ146" s="164"/>
      <c r="BR146" s="164"/>
      <c r="BS146" s="164"/>
      <c r="BT146" s="164"/>
      <c r="BU146" s="164"/>
      <c r="BV146" s="164"/>
      <c r="BW146" s="167"/>
      <c r="BX146" s="172"/>
      <c r="BY146" s="164"/>
      <c r="BZ146" s="164"/>
      <c r="CA146" s="164"/>
      <c r="CB146" s="164"/>
      <c r="CC146" s="164"/>
      <c r="CD146" s="164"/>
      <c r="CE146" s="167"/>
      <c r="CF146" s="172"/>
      <c r="CG146" s="164"/>
      <c r="CH146" s="164"/>
      <c r="CI146" s="164"/>
      <c r="CJ146" s="164"/>
      <c r="CK146" s="164"/>
      <c r="CL146" s="164"/>
      <c r="CM146" s="167"/>
      <c r="CN146" s="172"/>
      <c r="CO146" s="164"/>
      <c r="CP146" s="164"/>
      <c r="CQ146" s="164"/>
      <c r="CR146" s="164"/>
      <c r="CS146" s="164"/>
      <c r="CT146" s="164"/>
      <c r="CU146" s="167"/>
      <c r="CV146" s="172"/>
      <c r="CW146" s="164"/>
      <c r="CX146" s="164"/>
      <c r="CY146" s="164"/>
      <c r="CZ146" s="164"/>
      <c r="DA146" s="164"/>
      <c r="DB146" s="164"/>
    </row>
    <row r="147" spans="1:106" x14ac:dyDescent="0.2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6"/>
      <c r="L147" s="166"/>
      <c r="M147" s="164"/>
      <c r="N147" s="164"/>
      <c r="O147" s="164"/>
      <c r="P147" s="164"/>
      <c r="Q147" s="164"/>
      <c r="R147" s="164"/>
      <c r="S147" s="166"/>
      <c r="T147" s="166"/>
      <c r="U147" s="164"/>
      <c r="V147" s="164"/>
      <c r="W147" s="164"/>
      <c r="X147" s="164"/>
      <c r="Y147" s="164"/>
      <c r="Z147" s="164"/>
      <c r="AA147" s="167"/>
      <c r="AB147" s="172"/>
      <c r="AC147" s="164"/>
      <c r="AD147" s="164"/>
      <c r="AE147" s="164"/>
      <c r="AF147" s="164"/>
      <c r="AG147" s="164"/>
      <c r="AH147" s="164"/>
      <c r="AI147" s="167"/>
      <c r="AJ147" s="172"/>
      <c r="AK147" s="164"/>
      <c r="AL147" s="164"/>
      <c r="AM147" s="164"/>
      <c r="AN147" s="164"/>
      <c r="AO147" s="164"/>
      <c r="AP147" s="164"/>
      <c r="AQ147" s="167"/>
      <c r="AR147" s="172"/>
      <c r="AS147" s="164"/>
      <c r="AT147" s="164"/>
      <c r="AU147" s="164"/>
      <c r="AV147" s="164"/>
      <c r="AW147" s="164"/>
      <c r="AX147" s="164"/>
      <c r="AY147" s="167"/>
      <c r="AZ147" s="172"/>
      <c r="BA147" s="164"/>
      <c r="BB147" s="164"/>
      <c r="BC147" s="164"/>
      <c r="BD147" s="164"/>
      <c r="BE147" s="164"/>
      <c r="BF147" s="164"/>
      <c r="BG147" s="167"/>
      <c r="BH147" s="172"/>
      <c r="BI147" s="164"/>
      <c r="BJ147" s="164"/>
      <c r="BK147" s="164"/>
      <c r="BL147" s="164"/>
      <c r="BM147" s="164"/>
      <c r="BN147" s="164"/>
      <c r="BO147" s="167"/>
      <c r="BP147" s="172"/>
      <c r="BQ147" s="164"/>
      <c r="BR147" s="164"/>
      <c r="BS147" s="164"/>
      <c r="BT147" s="164"/>
      <c r="BU147" s="164"/>
      <c r="BV147" s="164"/>
      <c r="BW147" s="167"/>
      <c r="BX147" s="172"/>
      <c r="BY147" s="164"/>
      <c r="BZ147" s="164"/>
      <c r="CA147" s="164"/>
      <c r="CB147" s="164"/>
      <c r="CC147" s="164"/>
      <c r="CD147" s="164"/>
      <c r="CE147" s="167"/>
      <c r="CF147" s="172"/>
      <c r="CG147" s="164"/>
      <c r="CH147" s="164"/>
      <c r="CI147" s="164"/>
      <c r="CJ147" s="164"/>
      <c r="CK147" s="164"/>
      <c r="CL147" s="164"/>
      <c r="CM147" s="167"/>
      <c r="CN147" s="172"/>
      <c r="CO147" s="164"/>
      <c r="CP147" s="164"/>
      <c r="CQ147" s="164"/>
      <c r="CR147" s="164"/>
      <c r="CS147" s="164"/>
      <c r="CT147" s="164"/>
      <c r="CU147" s="167"/>
      <c r="CV147" s="172"/>
      <c r="CW147" s="164"/>
      <c r="CX147" s="164"/>
      <c r="CY147" s="164"/>
      <c r="CZ147" s="164"/>
      <c r="DA147" s="164"/>
      <c r="DB147" s="164"/>
    </row>
    <row r="148" spans="1:106" x14ac:dyDescent="0.2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8"/>
      <c r="L148" s="168"/>
      <c r="M148" s="164"/>
      <c r="N148" s="164"/>
      <c r="O148" s="164"/>
      <c r="P148" s="164"/>
      <c r="Q148" s="164"/>
      <c r="R148" s="164"/>
      <c r="S148" s="168"/>
      <c r="T148" s="168"/>
      <c r="U148" s="164"/>
      <c r="V148" s="164"/>
      <c r="W148" s="164"/>
      <c r="X148" s="164"/>
      <c r="Y148" s="164"/>
      <c r="Z148" s="164"/>
      <c r="AA148" s="167"/>
      <c r="AB148" s="172"/>
      <c r="AC148" s="164"/>
      <c r="AD148" s="164"/>
      <c r="AE148" s="164"/>
      <c r="AF148" s="164"/>
      <c r="AG148" s="164"/>
      <c r="AH148" s="164"/>
      <c r="AI148" s="167"/>
      <c r="AJ148" s="172"/>
      <c r="AK148" s="164"/>
      <c r="AL148" s="164"/>
      <c r="AM148" s="164"/>
      <c r="AN148" s="164"/>
      <c r="AO148" s="164"/>
      <c r="AP148" s="164"/>
      <c r="AQ148" s="167"/>
      <c r="AR148" s="172"/>
      <c r="AS148" s="164"/>
      <c r="AT148" s="164"/>
      <c r="AU148" s="164"/>
      <c r="AV148" s="164"/>
      <c r="AW148" s="164"/>
      <c r="AX148" s="164"/>
      <c r="AY148" s="167"/>
      <c r="AZ148" s="172"/>
      <c r="BA148" s="164"/>
      <c r="BB148" s="164"/>
      <c r="BC148" s="164"/>
      <c r="BD148" s="164"/>
      <c r="BE148" s="164"/>
      <c r="BF148" s="164"/>
      <c r="BG148" s="167"/>
      <c r="BH148" s="172"/>
      <c r="BI148" s="164"/>
      <c r="BJ148" s="164"/>
      <c r="BK148" s="164"/>
      <c r="BL148" s="164"/>
      <c r="BM148" s="164"/>
      <c r="BN148" s="164"/>
      <c r="BO148" s="167"/>
      <c r="BP148" s="172"/>
      <c r="BQ148" s="164"/>
      <c r="BR148" s="164"/>
      <c r="BS148" s="164"/>
      <c r="BT148" s="164"/>
      <c r="BU148" s="164"/>
      <c r="BV148" s="164"/>
      <c r="BW148" s="167"/>
      <c r="BX148" s="172"/>
      <c r="BY148" s="164"/>
      <c r="BZ148" s="164"/>
      <c r="CA148" s="164"/>
      <c r="CB148" s="164"/>
      <c r="CC148" s="164"/>
      <c r="CD148" s="164"/>
      <c r="CE148" s="167"/>
      <c r="CF148" s="172"/>
      <c r="CG148" s="164"/>
      <c r="CH148" s="164"/>
      <c r="CI148" s="164"/>
      <c r="CJ148" s="164"/>
      <c r="CK148" s="164"/>
      <c r="CL148" s="164"/>
      <c r="CM148" s="167"/>
      <c r="CN148" s="172"/>
      <c r="CO148" s="164"/>
      <c r="CP148" s="164"/>
      <c r="CQ148" s="164"/>
      <c r="CR148" s="164"/>
      <c r="CS148" s="164"/>
      <c r="CT148" s="164"/>
      <c r="CU148" s="167"/>
      <c r="CV148" s="172"/>
      <c r="CW148" s="164"/>
      <c r="CX148" s="164"/>
      <c r="CY148" s="164"/>
      <c r="CZ148" s="164"/>
      <c r="DA148" s="164"/>
      <c r="DB148" s="164"/>
    </row>
    <row r="149" spans="1:106" x14ac:dyDescent="0.2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8"/>
      <c r="L149" s="168"/>
      <c r="M149" s="164"/>
      <c r="N149" s="164"/>
      <c r="O149" s="164"/>
      <c r="P149" s="164"/>
      <c r="Q149" s="164"/>
      <c r="R149" s="164"/>
      <c r="S149" s="168"/>
      <c r="T149" s="168"/>
      <c r="U149" s="164"/>
      <c r="V149" s="164"/>
      <c r="W149" s="164"/>
      <c r="X149" s="164"/>
      <c r="Y149" s="164"/>
      <c r="Z149" s="164"/>
      <c r="AA149" s="167"/>
      <c r="AB149" s="172"/>
      <c r="AC149" s="164"/>
      <c r="AD149" s="164"/>
      <c r="AE149" s="164"/>
      <c r="AF149" s="164"/>
      <c r="AG149" s="164"/>
      <c r="AH149" s="164"/>
      <c r="AI149" s="167"/>
      <c r="AJ149" s="172"/>
      <c r="AK149" s="164"/>
      <c r="AL149" s="164"/>
      <c r="AM149" s="164"/>
      <c r="AN149" s="164"/>
      <c r="AO149" s="164"/>
      <c r="AP149" s="164"/>
      <c r="AQ149" s="167"/>
      <c r="AR149" s="172"/>
      <c r="AS149" s="164"/>
      <c r="AT149" s="164"/>
      <c r="AU149" s="164"/>
      <c r="AV149" s="164"/>
      <c r="AW149" s="164"/>
      <c r="AX149" s="164"/>
      <c r="AY149" s="167"/>
      <c r="AZ149" s="172"/>
      <c r="BA149" s="164"/>
      <c r="BB149" s="164"/>
      <c r="BC149" s="164"/>
      <c r="BD149" s="164"/>
      <c r="BE149" s="164"/>
      <c r="BF149" s="164"/>
      <c r="BG149" s="167"/>
      <c r="BH149" s="172"/>
      <c r="BI149" s="164"/>
      <c r="BJ149" s="164"/>
      <c r="BK149" s="164"/>
      <c r="BL149" s="164"/>
      <c r="BM149" s="164"/>
      <c r="BN149" s="164"/>
      <c r="BO149" s="167"/>
      <c r="BP149" s="172"/>
      <c r="BQ149" s="164"/>
      <c r="BR149" s="164"/>
      <c r="BS149" s="164"/>
      <c r="BT149" s="164"/>
      <c r="BU149" s="164"/>
      <c r="BV149" s="164"/>
      <c r="BW149" s="167"/>
      <c r="BX149" s="172"/>
      <c r="BY149" s="164"/>
      <c r="BZ149" s="164"/>
      <c r="CA149" s="164"/>
      <c r="CB149" s="164"/>
      <c r="CC149" s="164"/>
      <c r="CD149" s="164"/>
      <c r="CE149" s="167"/>
      <c r="CF149" s="172"/>
      <c r="CG149" s="164"/>
      <c r="CH149" s="164"/>
      <c r="CI149" s="164"/>
      <c r="CJ149" s="164"/>
      <c r="CK149" s="164"/>
      <c r="CL149" s="164"/>
      <c r="CM149" s="167"/>
      <c r="CN149" s="172"/>
      <c r="CO149" s="164"/>
      <c r="CP149" s="164"/>
      <c r="CQ149" s="164"/>
      <c r="CR149" s="164"/>
      <c r="CS149" s="164"/>
      <c r="CT149" s="164"/>
      <c r="CU149" s="167"/>
      <c r="CV149" s="172"/>
      <c r="CW149" s="164"/>
      <c r="CX149" s="164"/>
      <c r="CY149" s="164"/>
      <c r="CZ149" s="164"/>
      <c r="DA149" s="164"/>
      <c r="DB149" s="164"/>
    </row>
    <row r="150" spans="1:106" x14ac:dyDescent="0.2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8"/>
      <c r="L150" s="168"/>
      <c r="M150" s="164"/>
      <c r="N150" s="164"/>
      <c r="O150" s="164"/>
      <c r="P150" s="164"/>
      <c r="Q150" s="164"/>
      <c r="R150" s="164"/>
      <c r="S150" s="168"/>
      <c r="T150" s="168"/>
      <c r="U150" s="164"/>
      <c r="V150" s="164"/>
      <c r="W150" s="164"/>
      <c r="X150" s="164"/>
      <c r="Y150" s="164"/>
      <c r="Z150" s="164"/>
      <c r="AA150" s="167"/>
      <c r="AB150" s="172"/>
      <c r="AC150" s="164"/>
      <c r="AD150" s="164"/>
      <c r="AE150" s="164"/>
      <c r="AF150" s="164"/>
      <c r="AG150" s="164"/>
      <c r="AH150" s="164"/>
      <c r="AI150" s="167"/>
      <c r="AJ150" s="172"/>
      <c r="AK150" s="164"/>
      <c r="AL150" s="164"/>
      <c r="AM150" s="164"/>
      <c r="AN150" s="164"/>
      <c r="AO150" s="164"/>
      <c r="AP150" s="164"/>
      <c r="AQ150" s="167"/>
      <c r="AR150" s="172"/>
      <c r="AS150" s="164"/>
      <c r="AT150" s="164"/>
      <c r="AU150" s="164"/>
      <c r="AV150" s="164"/>
      <c r="AW150" s="164"/>
      <c r="AX150" s="164"/>
      <c r="AY150" s="167"/>
      <c r="AZ150" s="172"/>
      <c r="BA150" s="164"/>
      <c r="BB150" s="164"/>
      <c r="BC150" s="164"/>
      <c r="BD150" s="164"/>
      <c r="BE150" s="164"/>
      <c r="BF150" s="164"/>
      <c r="BG150" s="167"/>
      <c r="BH150" s="172"/>
      <c r="BI150" s="164"/>
      <c r="BJ150" s="164"/>
      <c r="BK150" s="164"/>
      <c r="BL150" s="164"/>
      <c r="BM150" s="164"/>
      <c r="BN150" s="164"/>
      <c r="BO150" s="167"/>
      <c r="BP150" s="172"/>
      <c r="BQ150" s="164"/>
      <c r="BR150" s="164"/>
      <c r="BS150" s="164"/>
      <c r="BT150" s="164"/>
      <c r="BU150" s="164"/>
      <c r="BV150" s="164"/>
      <c r="BW150" s="167"/>
      <c r="BX150" s="172"/>
      <c r="BY150" s="164"/>
      <c r="BZ150" s="164"/>
      <c r="CA150" s="164"/>
      <c r="CB150" s="164"/>
      <c r="CC150" s="164"/>
      <c r="CD150" s="164"/>
      <c r="CE150" s="167"/>
      <c r="CF150" s="172"/>
      <c r="CG150" s="164"/>
      <c r="CH150" s="164"/>
      <c r="CI150" s="164"/>
      <c r="CJ150" s="164"/>
      <c r="CK150" s="164"/>
      <c r="CL150" s="164"/>
      <c r="CM150" s="167"/>
      <c r="CN150" s="172"/>
      <c r="CO150" s="164"/>
      <c r="CP150" s="164"/>
      <c r="CQ150" s="164"/>
      <c r="CR150" s="164"/>
      <c r="CS150" s="164"/>
      <c r="CT150" s="164"/>
      <c r="CU150" s="167"/>
      <c r="CV150" s="172"/>
      <c r="CW150" s="164"/>
      <c r="CX150" s="164"/>
      <c r="CY150" s="164"/>
      <c r="CZ150" s="164"/>
      <c r="DA150" s="164"/>
      <c r="DB150" s="164"/>
    </row>
    <row r="151" spans="1:106" x14ac:dyDescent="0.2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6"/>
      <c r="L151" s="166"/>
      <c r="M151" s="164"/>
      <c r="N151" s="164"/>
      <c r="O151" s="164"/>
      <c r="P151" s="164"/>
      <c r="Q151" s="164"/>
      <c r="R151" s="164"/>
      <c r="S151" s="166"/>
      <c r="T151" s="166"/>
      <c r="U151" s="164"/>
      <c r="V151" s="164"/>
      <c r="W151" s="164"/>
      <c r="X151" s="164"/>
      <c r="Y151" s="164"/>
      <c r="Z151" s="164"/>
      <c r="AA151" s="167"/>
      <c r="AB151" s="172"/>
      <c r="AC151" s="164"/>
      <c r="AD151" s="164"/>
      <c r="AE151" s="164"/>
      <c r="AF151" s="164"/>
      <c r="AG151" s="164"/>
      <c r="AH151" s="164"/>
      <c r="AI151" s="167"/>
      <c r="AJ151" s="172"/>
      <c r="AK151" s="164"/>
      <c r="AL151" s="164"/>
      <c r="AM151" s="164"/>
      <c r="AN151" s="164"/>
      <c r="AO151" s="164"/>
      <c r="AP151" s="164"/>
      <c r="AQ151" s="167"/>
      <c r="AR151" s="172"/>
      <c r="AS151" s="164"/>
      <c r="AT151" s="164"/>
      <c r="AU151" s="164"/>
      <c r="AV151" s="164"/>
      <c r="AW151" s="164"/>
      <c r="AX151" s="164"/>
      <c r="AY151" s="167"/>
      <c r="AZ151" s="172"/>
      <c r="BA151" s="164"/>
      <c r="BB151" s="164"/>
      <c r="BC151" s="164"/>
      <c r="BD151" s="164"/>
      <c r="BE151" s="164"/>
      <c r="BF151" s="164"/>
      <c r="BG151" s="167"/>
      <c r="BH151" s="172"/>
      <c r="BI151" s="164"/>
      <c r="BJ151" s="164"/>
      <c r="BK151" s="164"/>
      <c r="BL151" s="164"/>
      <c r="BM151" s="164"/>
      <c r="BN151" s="164"/>
      <c r="BO151" s="167"/>
      <c r="BP151" s="172"/>
      <c r="BQ151" s="164"/>
      <c r="BR151" s="164"/>
      <c r="BS151" s="164"/>
      <c r="BT151" s="164"/>
      <c r="BU151" s="164"/>
      <c r="BV151" s="164"/>
      <c r="BW151" s="167"/>
      <c r="BX151" s="172"/>
      <c r="BY151" s="164"/>
      <c r="BZ151" s="164"/>
      <c r="CA151" s="164"/>
      <c r="CB151" s="164"/>
      <c r="CC151" s="164"/>
      <c r="CD151" s="164"/>
      <c r="CE151" s="167"/>
      <c r="CF151" s="172"/>
      <c r="CG151" s="164"/>
      <c r="CH151" s="164"/>
      <c r="CI151" s="164"/>
      <c r="CJ151" s="164"/>
      <c r="CK151" s="164"/>
      <c r="CL151" s="164"/>
      <c r="CM151" s="167"/>
      <c r="CN151" s="172"/>
      <c r="CO151" s="164"/>
      <c r="CP151" s="164"/>
      <c r="CQ151" s="164"/>
      <c r="CR151" s="164"/>
      <c r="CS151" s="164"/>
      <c r="CT151" s="164"/>
      <c r="CU151" s="167"/>
      <c r="CV151" s="172"/>
      <c r="CW151" s="164"/>
      <c r="CX151" s="164"/>
      <c r="CY151" s="164"/>
      <c r="CZ151" s="164"/>
      <c r="DA151" s="164"/>
      <c r="DB151" s="164"/>
    </row>
    <row r="152" spans="1:106" x14ac:dyDescent="0.2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8"/>
      <c r="L152" s="168"/>
      <c r="M152" s="164"/>
      <c r="N152" s="164"/>
      <c r="O152" s="164"/>
      <c r="P152" s="164"/>
      <c r="Q152" s="164"/>
      <c r="R152" s="164"/>
      <c r="S152" s="168"/>
      <c r="T152" s="168"/>
      <c r="U152" s="164"/>
      <c r="V152" s="164"/>
      <c r="W152" s="164"/>
      <c r="X152" s="164"/>
      <c r="Y152" s="164"/>
      <c r="Z152" s="164"/>
      <c r="AA152" s="167"/>
      <c r="AB152" s="172"/>
      <c r="AC152" s="164"/>
      <c r="AD152" s="164"/>
      <c r="AE152" s="164"/>
      <c r="AF152" s="164"/>
      <c r="AG152" s="164"/>
      <c r="AH152" s="164"/>
      <c r="AI152" s="167"/>
      <c r="AJ152" s="172"/>
      <c r="AK152" s="164"/>
      <c r="AL152" s="164"/>
      <c r="AM152" s="164"/>
      <c r="AN152" s="164"/>
      <c r="AO152" s="164"/>
      <c r="AP152" s="164"/>
      <c r="AQ152" s="167"/>
      <c r="AR152" s="172"/>
      <c r="AS152" s="164"/>
      <c r="AT152" s="164"/>
      <c r="AU152" s="164"/>
      <c r="AV152" s="164"/>
      <c r="AW152" s="164"/>
      <c r="AX152" s="164"/>
      <c r="AY152" s="167"/>
      <c r="AZ152" s="172"/>
      <c r="BA152" s="164"/>
      <c r="BB152" s="164"/>
      <c r="BC152" s="164"/>
      <c r="BD152" s="164"/>
      <c r="BE152" s="164"/>
      <c r="BF152" s="164"/>
      <c r="BG152" s="167"/>
      <c r="BH152" s="172"/>
      <c r="BI152" s="164"/>
      <c r="BJ152" s="164"/>
      <c r="BK152" s="164"/>
      <c r="BL152" s="164"/>
      <c r="BM152" s="164"/>
      <c r="BN152" s="164"/>
      <c r="BO152" s="167"/>
      <c r="BP152" s="172"/>
      <c r="BQ152" s="164"/>
      <c r="BR152" s="164"/>
      <c r="BS152" s="164"/>
      <c r="BT152" s="164"/>
      <c r="BU152" s="164"/>
      <c r="BV152" s="164"/>
      <c r="BW152" s="167"/>
      <c r="BX152" s="172"/>
      <c r="BY152" s="164"/>
      <c r="BZ152" s="164"/>
      <c r="CA152" s="164"/>
      <c r="CB152" s="164"/>
      <c r="CC152" s="164"/>
      <c r="CD152" s="164"/>
      <c r="CE152" s="167"/>
      <c r="CF152" s="172"/>
      <c r="CG152" s="164"/>
      <c r="CH152" s="164"/>
      <c r="CI152" s="164"/>
      <c r="CJ152" s="164"/>
      <c r="CK152" s="164"/>
      <c r="CL152" s="164"/>
      <c r="CM152" s="167"/>
      <c r="CN152" s="172"/>
      <c r="CO152" s="164"/>
      <c r="CP152" s="164"/>
      <c r="CQ152" s="164"/>
      <c r="CR152" s="164"/>
      <c r="CS152" s="164"/>
      <c r="CT152" s="164"/>
      <c r="CU152" s="167"/>
      <c r="CV152" s="172"/>
      <c r="CW152" s="164"/>
      <c r="CX152" s="164"/>
      <c r="CY152" s="164"/>
      <c r="CZ152" s="164"/>
      <c r="DA152" s="164"/>
      <c r="DB152" s="164"/>
    </row>
    <row r="153" spans="1:106" x14ac:dyDescent="0.2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75"/>
      <c r="L153" s="175"/>
      <c r="M153" s="164"/>
      <c r="N153" s="164"/>
      <c r="O153" s="164"/>
      <c r="P153" s="164"/>
      <c r="Q153" s="164"/>
      <c r="R153" s="164"/>
      <c r="S153" s="175"/>
      <c r="T153" s="175"/>
      <c r="U153" s="164"/>
      <c r="V153" s="164"/>
      <c r="W153" s="164"/>
      <c r="X153" s="164"/>
      <c r="Y153" s="164"/>
      <c r="Z153" s="164"/>
      <c r="AA153" s="167"/>
      <c r="AB153" s="172"/>
      <c r="AC153" s="164"/>
      <c r="AD153" s="164"/>
      <c r="AE153" s="164"/>
      <c r="AF153" s="164"/>
      <c r="AG153" s="164"/>
      <c r="AH153" s="164"/>
      <c r="AI153" s="167"/>
      <c r="AJ153" s="172"/>
      <c r="AK153" s="164"/>
      <c r="AL153" s="164"/>
      <c r="AM153" s="164"/>
      <c r="AN153" s="164"/>
      <c r="AO153" s="164"/>
      <c r="AP153" s="164"/>
      <c r="AQ153" s="167"/>
      <c r="AR153" s="172"/>
      <c r="AS153" s="164"/>
      <c r="AT153" s="164"/>
      <c r="AU153" s="164"/>
      <c r="AV153" s="164"/>
      <c r="AW153" s="164"/>
      <c r="AX153" s="164"/>
      <c r="AY153" s="167"/>
      <c r="AZ153" s="172"/>
      <c r="BA153" s="164"/>
      <c r="BB153" s="164"/>
      <c r="BC153" s="164"/>
      <c r="BD153" s="164"/>
      <c r="BE153" s="164"/>
      <c r="BF153" s="164"/>
      <c r="BG153" s="167"/>
      <c r="BH153" s="172"/>
      <c r="BI153" s="164"/>
      <c r="BJ153" s="164"/>
      <c r="BK153" s="164"/>
      <c r="BL153" s="164"/>
      <c r="BM153" s="164"/>
      <c r="BN153" s="164"/>
      <c r="BO153" s="167"/>
      <c r="BP153" s="172"/>
      <c r="BQ153" s="164"/>
      <c r="BR153" s="164"/>
      <c r="BS153" s="164"/>
      <c r="BT153" s="164"/>
      <c r="BU153" s="164"/>
      <c r="BV153" s="164"/>
      <c r="BW153" s="167"/>
      <c r="BX153" s="172"/>
      <c r="BY153" s="164"/>
      <c r="BZ153" s="164"/>
      <c r="CA153" s="164"/>
      <c r="CB153" s="164"/>
      <c r="CC153" s="164"/>
      <c r="CD153" s="164"/>
      <c r="CE153" s="167"/>
      <c r="CF153" s="172"/>
      <c r="CG153" s="164"/>
      <c r="CH153" s="164"/>
      <c r="CI153" s="164"/>
      <c r="CJ153" s="164"/>
      <c r="CK153" s="164"/>
      <c r="CL153" s="164"/>
      <c r="CM153" s="167"/>
      <c r="CN153" s="172"/>
      <c r="CO153" s="164"/>
      <c r="CP153" s="164"/>
      <c r="CQ153" s="164"/>
      <c r="CR153" s="164"/>
      <c r="CS153" s="164"/>
      <c r="CT153" s="164"/>
      <c r="CU153" s="167"/>
      <c r="CV153" s="172"/>
      <c r="CW153" s="164"/>
      <c r="CX153" s="164"/>
      <c r="CY153" s="164"/>
      <c r="CZ153" s="164"/>
      <c r="DA153" s="164"/>
      <c r="DB153" s="164"/>
    </row>
    <row r="154" spans="1:106" s="171" customFormat="1" x14ac:dyDescent="0.2">
      <c r="A154" s="169"/>
      <c r="B154" s="169"/>
      <c r="C154" s="263"/>
      <c r="D154" s="169"/>
      <c r="E154" s="169"/>
      <c r="F154" s="169"/>
      <c r="G154" s="169"/>
      <c r="H154" s="169"/>
      <c r="I154" s="169"/>
      <c r="J154" s="169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  <c r="AA154" s="170"/>
      <c r="AB154" s="170"/>
      <c r="AC154" s="170"/>
      <c r="AD154" s="170"/>
      <c r="AE154" s="170"/>
      <c r="AF154" s="170"/>
      <c r="AG154" s="170"/>
      <c r="AH154" s="170"/>
      <c r="AI154" s="170"/>
      <c r="AJ154" s="170"/>
      <c r="AK154" s="170"/>
      <c r="AL154" s="170"/>
      <c r="AM154" s="170"/>
      <c r="AN154" s="170"/>
      <c r="AO154" s="170"/>
      <c r="AP154" s="170"/>
      <c r="AQ154" s="170"/>
      <c r="AR154" s="170"/>
      <c r="AS154" s="170"/>
      <c r="AT154" s="170"/>
      <c r="AU154" s="170"/>
      <c r="AV154" s="170"/>
      <c r="AW154" s="170"/>
      <c r="AX154" s="170"/>
      <c r="AY154" s="170"/>
      <c r="AZ154" s="170"/>
      <c r="BA154" s="170"/>
      <c r="BB154" s="170"/>
      <c r="BC154" s="170"/>
      <c r="BD154" s="170"/>
      <c r="BE154" s="170"/>
      <c r="BF154" s="170"/>
      <c r="BG154" s="170"/>
      <c r="BH154" s="170"/>
      <c r="BI154" s="170"/>
      <c r="BJ154" s="170"/>
      <c r="BK154" s="170"/>
      <c r="BL154" s="170"/>
      <c r="BM154" s="170"/>
      <c r="BN154" s="170"/>
      <c r="BO154" s="170"/>
      <c r="BP154" s="170"/>
      <c r="BQ154" s="170"/>
      <c r="BR154" s="170"/>
      <c r="BS154" s="170"/>
      <c r="BT154" s="170"/>
      <c r="BU154" s="170"/>
      <c r="BV154" s="170"/>
      <c r="BW154" s="170"/>
      <c r="BX154" s="170"/>
      <c r="BY154" s="170"/>
      <c r="BZ154" s="170"/>
      <c r="CA154" s="170"/>
      <c r="CB154" s="170"/>
      <c r="CC154" s="170"/>
      <c r="CD154" s="170"/>
      <c r="CE154" s="170"/>
      <c r="CF154" s="170"/>
      <c r="CG154" s="170"/>
      <c r="CH154" s="170"/>
      <c r="CI154" s="170"/>
      <c r="CJ154" s="170"/>
      <c r="CK154" s="170"/>
      <c r="CL154" s="170"/>
      <c r="CM154" s="170"/>
      <c r="CN154" s="170"/>
      <c r="CO154" s="170"/>
      <c r="CP154" s="170"/>
      <c r="CQ154" s="170"/>
      <c r="CR154" s="170"/>
      <c r="CS154" s="170"/>
      <c r="CT154" s="170"/>
      <c r="CU154" s="170"/>
      <c r="CV154" s="170"/>
      <c r="CW154" s="170"/>
      <c r="CX154" s="170"/>
      <c r="CY154" s="170"/>
      <c r="CZ154" s="170"/>
      <c r="DA154" s="170"/>
      <c r="DB154" s="170"/>
    </row>
    <row r="155" spans="1:106" x14ac:dyDescent="0.2">
      <c r="AB155" s="176"/>
    </row>
  </sheetData>
  <mergeCells count="80">
    <mergeCell ref="A1:AH2"/>
    <mergeCell ref="A5:A7"/>
    <mergeCell ref="B5:B7"/>
    <mergeCell ref="C5:C7"/>
    <mergeCell ref="D5:D7"/>
    <mergeCell ref="E5:E7"/>
    <mergeCell ref="F5:I6"/>
    <mergeCell ref="J5:J7"/>
    <mergeCell ref="K5:R5"/>
    <mergeCell ref="S5:Z5"/>
    <mergeCell ref="AQ5:AX5"/>
    <mergeCell ref="AY5:BF5"/>
    <mergeCell ref="K6:K7"/>
    <mergeCell ref="L6:L7"/>
    <mergeCell ref="M6:M7"/>
    <mergeCell ref="N6:Q6"/>
    <mergeCell ref="R6:R7"/>
    <mergeCell ref="AJ6:AJ7"/>
    <mergeCell ref="AK6:AK7"/>
    <mergeCell ref="AL6:AO6"/>
    <mergeCell ref="S6:S7"/>
    <mergeCell ref="AA5:AH5"/>
    <mergeCell ref="AI5:AP5"/>
    <mergeCell ref="BW5:CD5"/>
    <mergeCell ref="CE5:CL5"/>
    <mergeCell ref="CM5:CT5"/>
    <mergeCell ref="CU5:DB5"/>
    <mergeCell ref="BG5:BN5"/>
    <mergeCell ref="BO5:BV5"/>
    <mergeCell ref="AC6:AC7"/>
    <mergeCell ref="AD6:AG6"/>
    <mergeCell ref="AH6:AH7"/>
    <mergeCell ref="AI6:AI7"/>
    <mergeCell ref="AB6:AB7"/>
    <mergeCell ref="T6:T7"/>
    <mergeCell ref="U6:U7"/>
    <mergeCell ref="V6:Y6"/>
    <mergeCell ref="Z6:Z7"/>
    <mergeCell ref="AA6:AA7"/>
    <mergeCell ref="AP6:AP7"/>
    <mergeCell ref="AQ6:AQ7"/>
    <mergeCell ref="AR6:AR7"/>
    <mergeCell ref="AS6:AS7"/>
    <mergeCell ref="BO6:BO7"/>
    <mergeCell ref="AX6:AX7"/>
    <mergeCell ref="AY6:AY7"/>
    <mergeCell ref="AZ6:AZ7"/>
    <mergeCell ref="BA6:BA7"/>
    <mergeCell ref="BB6:BE6"/>
    <mergeCell ref="AT6:AW6"/>
    <mergeCell ref="BX6:BX7"/>
    <mergeCell ref="BY6:BY7"/>
    <mergeCell ref="BZ6:CC6"/>
    <mergeCell ref="CD6:CD7"/>
    <mergeCell ref="BF6:BF7"/>
    <mergeCell ref="BG6:BG7"/>
    <mergeCell ref="BH6:BH7"/>
    <mergeCell ref="BI6:BI7"/>
    <mergeCell ref="BJ6:BM6"/>
    <mergeCell ref="BN6:BN7"/>
    <mergeCell ref="BP6:BP7"/>
    <mergeCell ref="BQ6:BQ7"/>
    <mergeCell ref="BR6:BU6"/>
    <mergeCell ref="BV6:BV7"/>
    <mergeCell ref="BW6:BW7"/>
    <mergeCell ref="DB6:DB7"/>
    <mergeCell ref="CH6:CK6"/>
    <mergeCell ref="CL6:CL7"/>
    <mergeCell ref="CM6:CM7"/>
    <mergeCell ref="CN6:CN7"/>
    <mergeCell ref="CO6:CO7"/>
    <mergeCell ref="CP6:CS6"/>
    <mergeCell ref="CT6:CT7"/>
    <mergeCell ref="CU6:CU7"/>
    <mergeCell ref="CV6:CV7"/>
    <mergeCell ref="CW6:CW7"/>
    <mergeCell ref="CX6:DA6"/>
    <mergeCell ref="CE6:CE7"/>
    <mergeCell ref="CF6:CF7"/>
    <mergeCell ref="CG6:CG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AK14"/>
  <sheetViews>
    <sheetView zoomScale="85" zoomScaleNormal="85" workbookViewId="0">
      <selection activeCell="K6" sqref="K6:AK7"/>
    </sheetView>
  </sheetViews>
  <sheetFormatPr baseColWidth="10" defaultColWidth="10" defaultRowHeight="15" x14ac:dyDescent="0.2"/>
  <cols>
    <col min="1" max="1" width="10" style="267"/>
    <col min="2" max="2" width="10" style="267" customWidth="1"/>
    <col min="3" max="261" width="10" style="267"/>
    <col min="262" max="262" width="10" style="267" customWidth="1"/>
    <col min="263" max="517" width="10" style="267"/>
    <col min="518" max="518" width="10" style="267" customWidth="1"/>
    <col min="519" max="773" width="10" style="267"/>
    <col min="774" max="774" width="10" style="267" customWidth="1"/>
    <col min="775" max="1029" width="10" style="267"/>
    <col min="1030" max="1030" width="10" style="267" customWidth="1"/>
    <col min="1031" max="1285" width="10" style="267"/>
    <col min="1286" max="1286" width="10" style="267" customWidth="1"/>
    <col min="1287" max="1541" width="10" style="267"/>
    <col min="1542" max="1542" width="10" style="267" customWidth="1"/>
    <col min="1543" max="1797" width="10" style="267"/>
    <col min="1798" max="1798" width="10" style="267" customWidth="1"/>
    <col min="1799" max="2053" width="10" style="267"/>
    <col min="2054" max="2054" width="10" style="267" customWidth="1"/>
    <col min="2055" max="2309" width="10" style="267"/>
    <col min="2310" max="2310" width="10" style="267" customWidth="1"/>
    <col min="2311" max="2565" width="10" style="267"/>
    <col min="2566" max="2566" width="10" style="267" customWidth="1"/>
    <col min="2567" max="2821" width="10" style="267"/>
    <col min="2822" max="2822" width="10" style="267" customWidth="1"/>
    <col min="2823" max="3077" width="10" style="267"/>
    <col min="3078" max="3078" width="10" style="267" customWidth="1"/>
    <col min="3079" max="3333" width="10" style="267"/>
    <col min="3334" max="3334" width="10" style="267" customWidth="1"/>
    <col min="3335" max="3589" width="10" style="267"/>
    <col min="3590" max="3590" width="10" style="267" customWidth="1"/>
    <col min="3591" max="3845" width="10" style="267"/>
    <col min="3846" max="3846" width="10" style="267" customWidth="1"/>
    <col min="3847" max="4101" width="10" style="267"/>
    <col min="4102" max="4102" width="10" style="267" customWidth="1"/>
    <col min="4103" max="4357" width="10" style="267"/>
    <col min="4358" max="4358" width="10" style="267" customWidth="1"/>
    <col min="4359" max="4613" width="10" style="267"/>
    <col min="4614" max="4614" width="10" style="267" customWidth="1"/>
    <col min="4615" max="4869" width="10" style="267"/>
    <col min="4870" max="4870" width="10" style="267" customWidth="1"/>
    <col min="4871" max="5125" width="10" style="267"/>
    <col min="5126" max="5126" width="10" style="267" customWidth="1"/>
    <col min="5127" max="5381" width="10" style="267"/>
    <col min="5382" max="5382" width="10" style="267" customWidth="1"/>
    <col min="5383" max="5637" width="10" style="267"/>
    <col min="5638" max="5638" width="10" style="267" customWidth="1"/>
    <col min="5639" max="5893" width="10" style="267"/>
    <col min="5894" max="5894" width="10" style="267" customWidth="1"/>
    <col min="5895" max="6149" width="10" style="267"/>
    <col min="6150" max="6150" width="10" style="267" customWidth="1"/>
    <col min="6151" max="6405" width="10" style="267"/>
    <col min="6406" max="6406" width="10" style="267" customWidth="1"/>
    <col min="6407" max="6661" width="10" style="267"/>
    <col min="6662" max="6662" width="10" style="267" customWidth="1"/>
    <col min="6663" max="6917" width="10" style="267"/>
    <col min="6918" max="6918" width="10" style="267" customWidth="1"/>
    <col min="6919" max="7173" width="10" style="267"/>
    <col min="7174" max="7174" width="10" style="267" customWidth="1"/>
    <col min="7175" max="7429" width="10" style="267"/>
    <col min="7430" max="7430" width="10" style="267" customWidth="1"/>
    <col min="7431" max="7685" width="10" style="267"/>
    <col min="7686" max="7686" width="10" style="267" customWidth="1"/>
    <col min="7687" max="7941" width="10" style="267"/>
    <col min="7942" max="7942" width="10" style="267" customWidth="1"/>
    <col min="7943" max="8197" width="10" style="267"/>
    <col min="8198" max="8198" width="10" style="267" customWidth="1"/>
    <col min="8199" max="8453" width="10" style="267"/>
    <col min="8454" max="8454" width="10" style="267" customWidth="1"/>
    <col min="8455" max="8709" width="10" style="267"/>
    <col min="8710" max="8710" width="10" style="267" customWidth="1"/>
    <col min="8711" max="8965" width="10" style="267"/>
    <col min="8966" max="8966" width="10" style="267" customWidth="1"/>
    <col min="8967" max="9221" width="10" style="267"/>
    <col min="9222" max="9222" width="10" style="267" customWidth="1"/>
    <col min="9223" max="9477" width="10" style="267"/>
    <col min="9478" max="9478" width="10" style="267" customWidth="1"/>
    <col min="9479" max="9733" width="10" style="267"/>
    <col min="9734" max="9734" width="10" style="267" customWidth="1"/>
    <col min="9735" max="9989" width="10" style="267"/>
    <col min="9990" max="9990" width="10" style="267" customWidth="1"/>
    <col min="9991" max="10245" width="10" style="267"/>
    <col min="10246" max="10246" width="10" style="267" customWidth="1"/>
    <col min="10247" max="10501" width="10" style="267"/>
    <col min="10502" max="10502" width="10" style="267" customWidth="1"/>
    <col min="10503" max="10757" width="10" style="267"/>
    <col min="10758" max="10758" width="10" style="267" customWidth="1"/>
    <col min="10759" max="11013" width="10" style="267"/>
    <col min="11014" max="11014" width="10" style="267" customWidth="1"/>
    <col min="11015" max="11269" width="10" style="267"/>
    <col min="11270" max="11270" width="10" style="267" customWidth="1"/>
    <col min="11271" max="11525" width="10" style="267"/>
    <col min="11526" max="11526" width="10" style="267" customWidth="1"/>
    <col min="11527" max="11781" width="10" style="267"/>
    <col min="11782" max="11782" width="10" style="267" customWidth="1"/>
    <col min="11783" max="12037" width="10" style="267"/>
    <col min="12038" max="12038" width="10" style="267" customWidth="1"/>
    <col min="12039" max="12293" width="10" style="267"/>
    <col min="12294" max="12294" width="10" style="267" customWidth="1"/>
    <col min="12295" max="12549" width="10" style="267"/>
    <col min="12550" max="12550" width="10" style="267" customWidth="1"/>
    <col min="12551" max="12805" width="10" style="267"/>
    <col min="12806" max="12806" width="10" style="267" customWidth="1"/>
    <col min="12807" max="13061" width="10" style="267"/>
    <col min="13062" max="13062" width="10" style="267" customWidth="1"/>
    <col min="13063" max="13317" width="10" style="267"/>
    <col min="13318" max="13318" width="10" style="267" customWidth="1"/>
    <col min="13319" max="13573" width="10" style="267"/>
    <col min="13574" max="13574" width="10" style="267" customWidth="1"/>
    <col min="13575" max="13829" width="10" style="267"/>
    <col min="13830" max="13830" width="10" style="267" customWidth="1"/>
    <col min="13831" max="14085" width="10" style="267"/>
    <col min="14086" max="14086" width="10" style="267" customWidth="1"/>
    <col min="14087" max="14341" width="10" style="267"/>
    <col min="14342" max="14342" width="10" style="267" customWidth="1"/>
    <col min="14343" max="14597" width="10" style="267"/>
    <col min="14598" max="14598" width="10" style="267" customWidth="1"/>
    <col min="14599" max="14853" width="10" style="267"/>
    <col min="14854" max="14854" width="10" style="267" customWidth="1"/>
    <col min="14855" max="15109" width="10" style="267"/>
    <col min="15110" max="15110" width="10" style="267" customWidth="1"/>
    <col min="15111" max="15365" width="10" style="267"/>
    <col min="15366" max="15366" width="10" style="267" customWidth="1"/>
    <col min="15367" max="15621" width="10" style="267"/>
    <col min="15622" max="15622" width="10" style="267" customWidth="1"/>
    <col min="15623" max="15877" width="10" style="267"/>
    <col min="15878" max="15878" width="10" style="267" customWidth="1"/>
    <col min="15879" max="16133" width="10" style="267"/>
    <col min="16134" max="16134" width="10" style="267" customWidth="1"/>
    <col min="16135" max="16384" width="10" style="267"/>
  </cols>
  <sheetData>
    <row r="1" spans="1:37" x14ac:dyDescent="0.2">
      <c r="A1" s="383" t="s">
        <v>456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3"/>
      <c r="AI1" s="383"/>
      <c r="AJ1" s="383"/>
    </row>
    <row r="2" spans="1:37" x14ac:dyDescent="0.2">
      <c r="A2" s="383"/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3"/>
      <c r="Z2" s="383"/>
      <c r="AA2" s="383"/>
      <c r="AB2" s="383"/>
      <c r="AC2" s="383"/>
      <c r="AD2" s="383"/>
      <c r="AE2" s="383"/>
      <c r="AF2" s="383"/>
      <c r="AG2" s="383"/>
      <c r="AH2" s="383"/>
      <c r="AI2" s="383"/>
      <c r="AJ2" s="383"/>
    </row>
    <row r="3" spans="1:37" x14ac:dyDescent="0.2">
      <c r="A3" s="274" t="s">
        <v>1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3"/>
      <c r="AC3" s="273"/>
      <c r="AD3" s="273"/>
      <c r="AE3" s="273"/>
      <c r="AF3" s="273"/>
      <c r="AG3" s="273"/>
      <c r="AH3" s="273"/>
      <c r="AI3" s="273"/>
      <c r="AJ3" s="273"/>
    </row>
    <row r="4" spans="1:37" x14ac:dyDescent="0.2">
      <c r="A4" s="273"/>
      <c r="B4" s="273"/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273"/>
      <c r="AA4" s="273"/>
      <c r="AB4" s="273"/>
      <c r="AC4" s="273"/>
      <c r="AD4" s="273"/>
      <c r="AE4" s="273"/>
      <c r="AF4" s="273"/>
      <c r="AG4" s="273"/>
      <c r="AH4" s="273"/>
      <c r="AI4" s="273"/>
      <c r="AJ4" s="273"/>
    </row>
    <row r="5" spans="1:37" ht="15" customHeight="1" x14ac:dyDescent="0.2">
      <c r="A5" s="384" t="s">
        <v>5</v>
      </c>
      <c r="B5" s="387" t="s">
        <v>457</v>
      </c>
      <c r="C5" s="387"/>
      <c r="D5" s="387"/>
      <c r="E5" s="387"/>
      <c r="F5" s="387"/>
      <c r="G5" s="387"/>
      <c r="H5" s="387"/>
      <c r="I5" s="387"/>
      <c r="J5" s="387"/>
      <c r="K5" s="387"/>
      <c r="L5" s="387"/>
      <c r="M5" s="387"/>
      <c r="N5" s="387"/>
      <c r="O5" s="387"/>
      <c r="P5" s="387"/>
      <c r="Q5" s="387"/>
      <c r="R5" s="387"/>
      <c r="S5" s="387"/>
      <c r="T5" s="387"/>
      <c r="U5" s="387"/>
      <c r="V5" s="387"/>
      <c r="W5" s="387"/>
      <c r="X5" s="387"/>
      <c r="Y5" s="387"/>
      <c r="Z5" s="387"/>
      <c r="AA5" s="387"/>
      <c r="AB5" s="387"/>
      <c r="AC5" s="387"/>
      <c r="AD5" s="387"/>
      <c r="AE5" s="387"/>
      <c r="AF5" s="387"/>
      <c r="AG5" s="387"/>
      <c r="AH5" s="387"/>
      <c r="AI5" s="387"/>
      <c r="AJ5" s="387"/>
      <c r="AK5" s="387"/>
    </row>
    <row r="6" spans="1:37" ht="15" customHeight="1" x14ac:dyDescent="0.2">
      <c r="A6" s="385"/>
      <c r="B6" s="388" t="s">
        <v>458</v>
      </c>
      <c r="C6" s="389"/>
      <c r="D6" s="389"/>
      <c r="E6" s="389"/>
      <c r="F6" s="389"/>
      <c r="G6" s="389"/>
      <c r="H6" s="389"/>
      <c r="I6" s="389"/>
      <c r="J6" s="390"/>
      <c r="K6" s="387" t="s">
        <v>11</v>
      </c>
      <c r="L6" s="387"/>
      <c r="M6" s="387"/>
      <c r="N6" s="387"/>
      <c r="O6" s="387"/>
      <c r="P6" s="387"/>
      <c r="Q6" s="387"/>
      <c r="R6" s="387"/>
      <c r="S6" s="387"/>
      <c r="T6" s="387"/>
      <c r="U6" s="387"/>
      <c r="V6" s="387"/>
      <c r="W6" s="387"/>
      <c r="X6" s="387"/>
      <c r="Y6" s="387"/>
      <c r="Z6" s="387"/>
      <c r="AA6" s="387"/>
      <c r="AB6" s="387"/>
      <c r="AC6" s="387"/>
      <c r="AD6" s="387"/>
      <c r="AE6" s="387"/>
      <c r="AF6" s="387"/>
      <c r="AG6" s="387"/>
      <c r="AH6" s="387"/>
      <c r="AI6" s="387"/>
      <c r="AJ6" s="387"/>
      <c r="AK6" s="387"/>
    </row>
    <row r="7" spans="1:37" x14ac:dyDescent="0.2">
      <c r="A7" s="385"/>
      <c r="B7" s="391"/>
      <c r="C7" s="392"/>
      <c r="D7" s="392"/>
      <c r="E7" s="392"/>
      <c r="F7" s="392"/>
      <c r="G7" s="392"/>
      <c r="H7" s="392"/>
      <c r="I7" s="392"/>
      <c r="J7" s="393"/>
      <c r="K7" s="394" t="s">
        <v>13</v>
      </c>
      <c r="L7" s="395"/>
      <c r="M7" s="395"/>
      <c r="N7" s="395"/>
      <c r="O7" s="395"/>
      <c r="P7" s="395"/>
      <c r="Q7" s="395"/>
      <c r="R7" s="395"/>
      <c r="S7" s="396"/>
      <c r="T7" s="394" t="s">
        <v>14</v>
      </c>
      <c r="U7" s="395"/>
      <c r="V7" s="395"/>
      <c r="W7" s="395"/>
      <c r="X7" s="395"/>
      <c r="Y7" s="395"/>
      <c r="Z7" s="395"/>
      <c r="AA7" s="395"/>
      <c r="AB7" s="396"/>
      <c r="AC7" s="394" t="s">
        <v>15</v>
      </c>
      <c r="AD7" s="395"/>
      <c r="AE7" s="395"/>
      <c r="AF7" s="395"/>
      <c r="AG7" s="395"/>
      <c r="AH7" s="395"/>
      <c r="AI7" s="395"/>
      <c r="AJ7" s="395"/>
      <c r="AK7" s="396"/>
    </row>
    <row r="8" spans="1:37" ht="60" customHeight="1" x14ac:dyDescent="0.2">
      <c r="A8" s="385"/>
      <c r="B8" s="397" t="s">
        <v>744</v>
      </c>
      <c r="C8" s="397" t="s">
        <v>743</v>
      </c>
      <c r="D8" s="397" t="s">
        <v>742</v>
      </c>
      <c r="E8" s="400" t="s">
        <v>741</v>
      </c>
      <c r="F8" s="401"/>
      <c r="G8" s="401"/>
      <c r="H8" s="401"/>
      <c r="I8" s="401"/>
      <c r="J8" s="402"/>
      <c r="K8" s="397" t="s">
        <v>744</v>
      </c>
      <c r="L8" s="397" t="s">
        <v>743</v>
      </c>
      <c r="M8" s="397" t="s">
        <v>742</v>
      </c>
      <c r="N8" s="400" t="s">
        <v>741</v>
      </c>
      <c r="O8" s="401"/>
      <c r="P8" s="401"/>
      <c r="Q8" s="401"/>
      <c r="R8" s="401"/>
      <c r="S8" s="402"/>
      <c r="T8" s="397" t="s">
        <v>744</v>
      </c>
      <c r="U8" s="397" t="s">
        <v>743</v>
      </c>
      <c r="V8" s="397" t="s">
        <v>742</v>
      </c>
      <c r="W8" s="400" t="s">
        <v>741</v>
      </c>
      <c r="X8" s="401"/>
      <c r="Y8" s="401"/>
      <c r="Z8" s="401"/>
      <c r="AA8" s="401"/>
      <c r="AB8" s="402"/>
      <c r="AC8" s="397" t="s">
        <v>744</v>
      </c>
      <c r="AD8" s="397" t="s">
        <v>743</v>
      </c>
      <c r="AE8" s="397" t="s">
        <v>742</v>
      </c>
      <c r="AF8" s="400" t="s">
        <v>741</v>
      </c>
      <c r="AG8" s="401"/>
      <c r="AH8" s="401"/>
      <c r="AI8" s="401"/>
      <c r="AJ8" s="401"/>
      <c r="AK8" s="402"/>
    </row>
    <row r="9" spans="1:37" ht="30" customHeight="1" x14ac:dyDescent="0.2">
      <c r="A9" s="385"/>
      <c r="B9" s="398"/>
      <c r="C9" s="398"/>
      <c r="D9" s="398"/>
      <c r="E9" s="403" t="s">
        <v>733</v>
      </c>
      <c r="F9" s="403" t="s">
        <v>740</v>
      </c>
      <c r="G9" s="400" t="s">
        <v>739</v>
      </c>
      <c r="H9" s="401"/>
      <c r="I9" s="401"/>
      <c r="J9" s="402"/>
      <c r="K9" s="398"/>
      <c r="L9" s="398"/>
      <c r="M9" s="398"/>
      <c r="N9" s="403" t="s">
        <v>733</v>
      </c>
      <c r="O9" s="403" t="s">
        <v>740</v>
      </c>
      <c r="P9" s="400" t="s">
        <v>739</v>
      </c>
      <c r="Q9" s="401"/>
      <c r="R9" s="401"/>
      <c r="S9" s="402"/>
      <c r="T9" s="398"/>
      <c r="U9" s="398"/>
      <c r="V9" s="398"/>
      <c r="W9" s="403" t="s">
        <v>733</v>
      </c>
      <c r="X9" s="403" t="s">
        <v>740</v>
      </c>
      <c r="Y9" s="400" t="s">
        <v>739</v>
      </c>
      <c r="Z9" s="401"/>
      <c r="AA9" s="401"/>
      <c r="AB9" s="402"/>
      <c r="AC9" s="398"/>
      <c r="AD9" s="398"/>
      <c r="AE9" s="398"/>
      <c r="AF9" s="403" t="s">
        <v>733</v>
      </c>
      <c r="AG9" s="403" t="s">
        <v>740</v>
      </c>
      <c r="AH9" s="400" t="s">
        <v>739</v>
      </c>
      <c r="AI9" s="401"/>
      <c r="AJ9" s="401"/>
      <c r="AK9" s="402"/>
    </row>
    <row r="10" spans="1:37" ht="48" x14ac:dyDescent="0.2">
      <c r="A10" s="386"/>
      <c r="B10" s="399"/>
      <c r="C10" s="399"/>
      <c r="D10" s="399"/>
      <c r="E10" s="404"/>
      <c r="F10" s="404"/>
      <c r="G10" s="271" t="s">
        <v>738</v>
      </c>
      <c r="H10" s="271" t="s">
        <v>737</v>
      </c>
      <c r="I10" s="271" t="s">
        <v>736</v>
      </c>
      <c r="J10" s="271" t="s">
        <v>735</v>
      </c>
      <c r="K10" s="399"/>
      <c r="L10" s="399"/>
      <c r="M10" s="399"/>
      <c r="N10" s="404"/>
      <c r="O10" s="404"/>
      <c r="P10" s="271" t="s">
        <v>738</v>
      </c>
      <c r="Q10" s="271" t="s">
        <v>737</v>
      </c>
      <c r="R10" s="271" t="s">
        <v>736</v>
      </c>
      <c r="S10" s="271" t="s">
        <v>735</v>
      </c>
      <c r="T10" s="399"/>
      <c r="U10" s="399"/>
      <c r="V10" s="399"/>
      <c r="W10" s="404"/>
      <c r="X10" s="404"/>
      <c r="Y10" s="271" t="s">
        <v>738</v>
      </c>
      <c r="Z10" s="271" t="s">
        <v>737</v>
      </c>
      <c r="AA10" s="271" t="s">
        <v>736</v>
      </c>
      <c r="AB10" s="271" t="s">
        <v>735</v>
      </c>
      <c r="AC10" s="399"/>
      <c r="AD10" s="399"/>
      <c r="AE10" s="399"/>
      <c r="AF10" s="404"/>
      <c r="AG10" s="404"/>
      <c r="AH10" s="272" t="s">
        <v>738</v>
      </c>
      <c r="AI10" s="271" t="s">
        <v>737</v>
      </c>
      <c r="AJ10" s="271" t="s">
        <v>736</v>
      </c>
      <c r="AK10" s="271" t="s">
        <v>735</v>
      </c>
    </row>
    <row r="11" spans="1:37" x14ac:dyDescent="0.2">
      <c r="A11" s="270">
        <v>3</v>
      </c>
      <c r="B11" s="269"/>
      <c r="C11" s="269"/>
      <c r="D11" s="269"/>
      <c r="E11" s="269"/>
      <c r="F11" s="269"/>
      <c r="G11" s="269"/>
      <c r="H11" s="269"/>
      <c r="I11" s="269"/>
      <c r="J11" s="269"/>
      <c r="K11" s="269"/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  <c r="AA11" s="268"/>
      <c r="AB11" s="268"/>
      <c r="AC11" s="268"/>
      <c r="AD11" s="268"/>
      <c r="AE11" s="268"/>
      <c r="AF11" s="268"/>
      <c r="AG11" s="268"/>
      <c r="AH11" s="268"/>
      <c r="AI11" s="268"/>
      <c r="AJ11" s="268"/>
      <c r="AK11" s="268"/>
    </row>
    <row r="12" spans="1:37" x14ac:dyDescent="0.2">
      <c r="A12" s="270">
        <v>4</v>
      </c>
      <c r="B12" s="269"/>
      <c r="C12" s="269"/>
      <c r="D12" s="269"/>
      <c r="E12" s="269"/>
      <c r="F12" s="269"/>
      <c r="G12" s="269"/>
      <c r="H12" s="269"/>
      <c r="I12" s="269"/>
      <c r="J12" s="269"/>
      <c r="K12" s="269"/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  <c r="AA12" s="268"/>
      <c r="AB12" s="268"/>
      <c r="AC12" s="268"/>
      <c r="AD12" s="268"/>
      <c r="AE12" s="268"/>
      <c r="AF12" s="268"/>
      <c r="AG12" s="268"/>
      <c r="AH12" s="268"/>
      <c r="AI12" s="268"/>
      <c r="AJ12" s="268"/>
      <c r="AK12" s="268"/>
    </row>
    <row r="13" spans="1:37" x14ac:dyDescent="0.2">
      <c r="A13" s="270">
        <v>5</v>
      </c>
      <c r="B13" s="269"/>
      <c r="C13" s="269"/>
      <c r="D13" s="269"/>
      <c r="E13" s="269"/>
      <c r="F13" s="269"/>
      <c r="G13" s="269"/>
      <c r="H13" s="269"/>
      <c r="I13" s="269"/>
      <c r="J13" s="269"/>
      <c r="K13" s="269"/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  <c r="AA13" s="268"/>
      <c r="AB13" s="268"/>
      <c r="AC13" s="268"/>
      <c r="AD13" s="268"/>
      <c r="AE13" s="268"/>
      <c r="AF13" s="268"/>
      <c r="AG13" s="268"/>
      <c r="AH13" s="268"/>
      <c r="AI13" s="268"/>
      <c r="AJ13" s="268"/>
      <c r="AK13" s="268"/>
    </row>
    <row r="14" spans="1:37" x14ac:dyDescent="0.2">
      <c r="A14" s="270">
        <v>6</v>
      </c>
      <c r="B14" s="269"/>
      <c r="C14" s="269"/>
      <c r="D14" s="269"/>
      <c r="E14" s="269"/>
      <c r="F14" s="269"/>
      <c r="G14" s="269"/>
      <c r="H14" s="269"/>
      <c r="I14" s="269"/>
      <c r="J14" s="269"/>
      <c r="K14" s="269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  <c r="AA14" s="268"/>
      <c r="AB14" s="268"/>
      <c r="AC14" s="268"/>
      <c r="AD14" s="268"/>
      <c r="AE14" s="268"/>
      <c r="AF14" s="268"/>
      <c r="AG14" s="268"/>
      <c r="AH14" s="268"/>
      <c r="AI14" s="268"/>
      <c r="AJ14" s="268"/>
      <c r="AK14" s="268"/>
    </row>
  </sheetData>
  <mergeCells count="36">
    <mergeCell ref="E9:E10"/>
    <mergeCell ref="F9:F10"/>
    <mergeCell ref="G9:J9"/>
    <mergeCell ref="N9:N10"/>
    <mergeCell ref="O9:O10"/>
    <mergeCell ref="AF9:AF10"/>
    <mergeCell ref="AG9:AG10"/>
    <mergeCell ref="AH9:AK9"/>
    <mergeCell ref="AE8:AE10"/>
    <mergeCell ref="AF8:AK8"/>
    <mergeCell ref="X9:X10"/>
    <mergeCell ref="T8:T10"/>
    <mergeCell ref="U8:U10"/>
    <mergeCell ref="V8:V10"/>
    <mergeCell ref="W8:AB8"/>
    <mergeCell ref="L8:L10"/>
    <mergeCell ref="M8:M10"/>
    <mergeCell ref="N8:S8"/>
    <mergeCell ref="P9:S9"/>
    <mergeCell ref="W9:W10"/>
    <mergeCell ref="A1:AJ2"/>
    <mergeCell ref="A5:A10"/>
    <mergeCell ref="B5:AK5"/>
    <mergeCell ref="B6:J7"/>
    <mergeCell ref="K6:AK6"/>
    <mergeCell ref="K7:S7"/>
    <mergeCell ref="T7:AB7"/>
    <mergeCell ref="AC7:AK7"/>
    <mergeCell ref="B8:B10"/>
    <mergeCell ref="C8:C10"/>
    <mergeCell ref="AC8:AC10"/>
    <mergeCell ref="AD8:AD10"/>
    <mergeCell ref="Y9:AB9"/>
    <mergeCell ref="D8:D10"/>
    <mergeCell ref="E8:J8"/>
    <mergeCell ref="K8:K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Y70"/>
  <sheetViews>
    <sheetView workbookViewId="0">
      <selection activeCell="CP30" sqref="CP30"/>
    </sheetView>
  </sheetViews>
  <sheetFormatPr baseColWidth="10" defaultColWidth="10.5" defaultRowHeight="15" x14ac:dyDescent="0.2"/>
  <cols>
    <col min="1" max="1" width="5.5" style="189" customWidth="1"/>
    <col min="2" max="2" width="6" style="189" customWidth="1"/>
    <col min="3" max="4" width="11.1640625" style="189" customWidth="1"/>
    <col min="5" max="5" width="12.5" style="189" customWidth="1"/>
    <col min="6" max="6" width="11.83203125" style="189" customWidth="1"/>
    <col min="7" max="7" width="12" style="189" customWidth="1"/>
    <col min="8" max="14" width="10.5" style="189" customWidth="1"/>
    <col min="15" max="15" width="22.6640625" style="189" customWidth="1"/>
    <col min="16" max="16384" width="10.5" style="189"/>
  </cols>
  <sheetData>
    <row r="1" spans="1:25" ht="14.5" customHeight="1" x14ac:dyDescent="0.2">
      <c r="A1" s="405"/>
      <c r="B1" s="405"/>
      <c r="C1" s="406" t="s">
        <v>666</v>
      </c>
      <c r="D1" s="406"/>
      <c r="E1" s="406"/>
      <c r="F1" s="406"/>
      <c r="G1" s="406"/>
      <c r="H1" s="406"/>
      <c r="I1" s="406"/>
      <c r="J1" s="406"/>
      <c r="K1" s="406"/>
      <c r="L1" s="407" t="s">
        <v>667</v>
      </c>
      <c r="M1" s="407"/>
      <c r="N1" s="407" t="s">
        <v>668</v>
      </c>
      <c r="O1" s="407"/>
    </row>
    <row r="2" spans="1:25" ht="14.5" customHeight="1" x14ac:dyDescent="0.2">
      <c r="A2" s="405"/>
      <c r="B2" s="405"/>
      <c r="C2" s="406"/>
      <c r="D2" s="406"/>
      <c r="E2" s="406"/>
      <c r="F2" s="406"/>
      <c r="G2" s="406"/>
      <c r="H2" s="406"/>
      <c r="I2" s="406"/>
      <c r="J2" s="406"/>
      <c r="K2" s="406"/>
      <c r="L2" s="407" t="s">
        <v>669</v>
      </c>
      <c r="M2" s="407"/>
      <c r="N2" s="408" t="s">
        <v>670</v>
      </c>
      <c r="O2" s="408"/>
    </row>
    <row r="3" spans="1:25" ht="14.5" customHeight="1" x14ac:dyDescent="0.2">
      <c r="A3" s="405"/>
      <c r="B3" s="405"/>
      <c r="C3" s="406"/>
      <c r="D3" s="406"/>
      <c r="E3" s="406"/>
      <c r="F3" s="406"/>
      <c r="G3" s="406"/>
      <c r="H3" s="406"/>
      <c r="I3" s="406"/>
      <c r="J3" s="406"/>
      <c r="K3" s="406"/>
      <c r="L3" s="407" t="s">
        <v>671</v>
      </c>
      <c r="M3" s="407"/>
      <c r="N3" s="409" t="s">
        <v>672</v>
      </c>
      <c r="O3" s="409"/>
    </row>
    <row r="4" spans="1:25" ht="14.5" customHeight="1" x14ac:dyDescent="0.2">
      <c r="A4" s="405"/>
      <c r="B4" s="405"/>
      <c r="C4" s="406"/>
      <c r="D4" s="406"/>
      <c r="E4" s="406"/>
      <c r="F4" s="406"/>
      <c r="G4" s="406"/>
      <c r="H4" s="406"/>
      <c r="I4" s="406"/>
      <c r="J4" s="406"/>
      <c r="K4" s="406"/>
      <c r="L4" s="407" t="s">
        <v>673</v>
      </c>
      <c r="M4" s="407"/>
      <c r="N4" s="407" t="s">
        <v>674</v>
      </c>
      <c r="O4" s="407"/>
    </row>
    <row r="5" spans="1:25" ht="20.5" customHeight="1" x14ac:dyDescent="0.25">
      <c r="A5" s="190" t="s">
        <v>675</v>
      </c>
      <c r="B5" s="190"/>
      <c r="C5" s="191"/>
      <c r="D5" s="191"/>
      <c r="E5" s="191" t="s">
        <v>623</v>
      </c>
      <c r="F5" s="192"/>
      <c r="G5" s="192"/>
      <c r="H5" s="192"/>
      <c r="I5" s="192"/>
      <c r="J5" s="192"/>
      <c r="K5" s="192"/>
      <c r="L5" s="192"/>
      <c r="M5" s="192"/>
      <c r="N5" s="192"/>
      <c r="O5" s="192"/>
    </row>
    <row r="6" spans="1:25" ht="20.5" customHeight="1" x14ac:dyDescent="0.2">
      <c r="A6" s="410" t="s">
        <v>676</v>
      </c>
      <c r="B6" s="410"/>
      <c r="C6" s="410"/>
      <c r="D6" s="410"/>
      <c r="E6" s="410"/>
      <c r="F6" s="410"/>
      <c r="G6" s="410"/>
      <c r="H6" s="410"/>
      <c r="I6" s="410"/>
      <c r="J6" s="410"/>
      <c r="K6" s="410"/>
      <c r="L6" s="410"/>
      <c r="M6" s="410"/>
      <c r="N6" s="410"/>
      <c r="O6" s="410"/>
      <c r="Q6" s="410" t="s">
        <v>677</v>
      </c>
      <c r="R6" s="410"/>
      <c r="S6" s="410"/>
      <c r="T6" s="410"/>
      <c r="U6" s="410"/>
      <c r="V6" s="410"/>
      <c r="W6" s="410"/>
      <c r="X6" s="410"/>
      <c r="Y6" s="410"/>
    </row>
    <row r="7" spans="1:25" s="193" customFormat="1" ht="21" customHeight="1" x14ac:dyDescent="0.2">
      <c r="A7" s="411" t="s">
        <v>678</v>
      </c>
      <c r="B7" s="411" t="s">
        <v>679</v>
      </c>
      <c r="C7" s="411" t="s">
        <v>616</v>
      </c>
      <c r="D7" s="411" t="s">
        <v>617</v>
      </c>
      <c r="E7" s="411" t="s">
        <v>613</v>
      </c>
      <c r="F7" s="411" t="s">
        <v>680</v>
      </c>
      <c r="G7" s="413" t="s">
        <v>681</v>
      </c>
      <c r="H7" s="414"/>
      <c r="I7" s="413" t="s">
        <v>682</v>
      </c>
      <c r="J7" s="414"/>
      <c r="K7" s="413" t="s">
        <v>683</v>
      </c>
      <c r="L7" s="414"/>
      <c r="M7" s="413" t="s">
        <v>614</v>
      </c>
      <c r="N7" s="414"/>
      <c r="O7" s="411" t="s">
        <v>568</v>
      </c>
      <c r="Q7" s="413" t="s">
        <v>681</v>
      </c>
      <c r="R7" s="414"/>
      <c r="S7" s="413" t="s">
        <v>682</v>
      </c>
      <c r="T7" s="414"/>
      <c r="U7" s="413" t="s">
        <v>683</v>
      </c>
      <c r="V7" s="414"/>
      <c r="W7" s="413" t="s">
        <v>614</v>
      </c>
      <c r="X7" s="414"/>
      <c r="Y7" s="411" t="s">
        <v>568</v>
      </c>
    </row>
    <row r="8" spans="1:25" s="193" customFormat="1" ht="21" customHeight="1" x14ac:dyDescent="0.2">
      <c r="A8" s="412"/>
      <c r="B8" s="412"/>
      <c r="C8" s="412"/>
      <c r="D8" s="412"/>
      <c r="E8" s="412"/>
      <c r="F8" s="412"/>
      <c r="G8" s="194" t="s">
        <v>71</v>
      </c>
      <c r="H8" s="194" t="s">
        <v>684</v>
      </c>
      <c r="I8" s="194" t="s">
        <v>71</v>
      </c>
      <c r="J8" s="194" t="s">
        <v>684</v>
      </c>
      <c r="K8" s="194" t="s">
        <v>71</v>
      </c>
      <c r="L8" s="194" t="s">
        <v>684</v>
      </c>
      <c r="M8" s="194" t="s">
        <v>71</v>
      </c>
      <c r="N8" s="194" t="s">
        <v>684</v>
      </c>
      <c r="O8" s="412"/>
      <c r="Q8" s="194" t="s">
        <v>71</v>
      </c>
      <c r="R8" s="194" t="s">
        <v>684</v>
      </c>
      <c r="S8" s="194" t="s">
        <v>71</v>
      </c>
      <c r="T8" s="194" t="s">
        <v>684</v>
      </c>
      <c r="U8" s="194" t="s">
        <v>71</v>
      </c>
      <c r="V8" s="194" t="s">
        <v>684</v>
      </c>
      <c r="W8" s="194" t="s">
        <v>71</v>
      </c>
      <c r="X8" s="194" t="s">
        <v>684</v>
      </c>
      <c r="Y8" s="412"/>
    </row>
    <row r="9" spans="1:25" x14ac:dyDescent="0.2">
      <c r="A9" s="195"/>
      <c r="B9" s="195"/>
      <c r="C9" s="195"/>
      <c r="D9" s="195"/>
      <c r="E9" s="196"/>
      <c r="F9" s="195"/>
      <c r="G9" s="195"/>
      <c r="H9" s="197">
        <f t="shared" ref="H9:J24" si="0">IFERROR(G9/$F9%,0)</f>
        <v>0</v>
      </c>
      <c r="I9" s="195"/>
      <c r="J9" s="197">
        <f t="shared" si="0"/>
        <v>0</v>
      </c>
      <c r="K9" s="195"/>
      <c r="L9" s="197">
        <f t="shared" ref="L9:L58" si="1">IFERROR(K9/$F9%,0)</f>
        <v>0</v>
      </c>
      <c r="M9" s="195"/>
      <c r="N9" s="197">
        <f t="shared" ref="N9:N58" si="2">IFERROR(M9/$F9%,0)</f>
        <v>0</v>
      </c>
      <c r="O9" s="195"/>
      <c r="Q9" s="195"/>
      <c r="R9" s="197">
        <f t="shared" ref="R9:R58" si="3">IFERROR(Q9/$F9%,0)</f>
        <v>0</v>
      </c>
      <c r="S9" s="195"/>
      <c r="T9" s="197">
        <f t="shared" ref="T9:T58" si="4">IFERROR(S9/$F9%,0)</f>
        <v>0</v>
      </c>
      <c r="U9" s="195"/>
      <c r="V9" s="197">
        <f t="shared" ref="V9:V58" si="5">IFERROR(U9/$F9%,0)</f>
        <v>0</v>
      </c>
      <c r="W9" s="195"/>
      <c r="X9" s="197">
        <f t="shared" ref="X9:X58" si="6">IFERROR(W9/$F9%,0)</f>
        <v>0</v>
      </c>
      <c r="Y9" s="195"/>
    </row>
    <row r="10" spans="1:25" x14ac:dyDescent="0.2">
      <c r="A10" s="195"/>
      <c r="B10" s="195"/>
      <c r="C10" s="195"/>
      <c r="D10" s="195"/>
      <c r="E10" s="196"/>
      <c r="F10" s="195"/>
      <c r="G10" s="195"/>
      <c r="H10" s="197">
        <f t="shared" si="0"/>
        <v>0</v>
      </c>
      <c r="I10" s="195"/>
      <c r="J10" s="197">
        <f t="shared" si="0"/>
        <v>0</v>
      </c>
      <c r="K10" s="195"/>
      <c r="L10" s="197">
        <f t="shared" si="1"/>
        <v>0</v>
      </c>
      <c r="M10" s="195"/>
      <c r="N10" s="197">
        <f t="shared" si="2"/>
        <v>0</v>
      </c>
      <c r="O10" s="195"/>
      <c r="Q10" s="195"/>
      <c r="R10" s="197">
        <f t="shared" si="3"/>
        <v>0</v>
      </c>
      <c r="S10" s="195"/>
      <c r="T10" s="197">
        <f t="shared" si="4"/>
        <v>0</v>
      </c>
      <c r="U10" s="195"/>
      <c r="V10" s="197">
        <f t="shared" si="5"/>
        <v>0</v>
      </c>
      <c r="W10" s="195"/>
      <c r="X10" s="197">
        <f t="shared" si="6"/>
        <v>0</v>
      </c>
      <c r="Y10" s="195"/>
    </row>
    <row r="11" spans="1:25" x14ac:dyDescent="0.2">
      <c r="A11" s="195"/>
      <c r="B11" s="195"/>
      <c r="C11" s="195"/>
      <c r="D11" s="195"/>
      <c r="E11" s="196"/>
      <c r="F11" s="195"/>
      <c r="G11" s="195"/>
      <c r="H11" s="197">
        <f t="shared" si="0"/>
        <v>0</v>
      </c>
      <c r="I11" s="195"/>
      <c r="J11" s="197">
        <f t="shared" si="0"/>
        <v>0</v>
      </c>
      <c r="K11" s="195"/>
      <c r="L11" s="197">
        <f t="shared" si="1"/>
        <v>0</v>
      </c>
      <c r="M11" s="195"/>
      <c r="N11" s="197">
        <f t="shared" si="2"/>
        <v>0</v>
      </c>
      <c r="O11" s="195"/>
      <c r="Q11" s="195"/>
      <c r="R11" s="197">
        <f t="shared" si="3"/>
        <v>0</v>
      </c>
      <c r="S11" s="195"/>
      <c r="T11" s="197">
        <f t="shared" si="4"/>
        <v>0</v>
      </c>
      <c r="U11" s="195"/>
      <c r="V11" s="197">
        <f t="shared" si="5"/>
        <v>0</v>
      </c>
      <c r="W11" s="195"/>
      <c r="X11" s="197">
        <f t="shared" si="6"/>
        <v>0</v>
      </c>
      <c r="Y11" s="195"/>
    </row>
    <row r="12" spans="1:25" x14ac:dyDescent="0.2">
      <c r="A12" s="195"/>
      <c r="B12" s="195"/>
      <c r="C12" s="195"/>
      <c r="D12" s="195"/>
      <c r="E12" s="195"/>
      <c r="F12" s="195"/>
      <c r="G12" s="195"/>
      <c r="H12" s="197">
        <f t="shared" si="0"/>
        <v>0</v>
      </c>
      <c r="I12" s="195"/>
      <c r="J12" s="197">
        <f t="shared" si="0"/>
        <v>0</v>
      </c>
      <c r="K12" s="195"/>
      <c r="L12" s="197">
        <f t="shared" si="1"/>
        <v>0</v>
      </c>
      <c r="M12" s="195"/>
      <c r="N12" s="197">
        <f t="shared" si="2"/>
        <v>0</v>
      </c>
      <c r="O12" s="195"/>
      <c r="Q12" s="195"/>
      <c r="R12" s="197">
        <f t="shared" si="3"/>
        <v>0</v>
      </c>
      <c r="S12" s="195"/>
      <c r="T12" s="197">
        <f t="shared" si="4"/>
        <v>0</v>
      </c>
      <c r="U12" s="195"/>
      <c r="V12" s="197">
        <f t="shared" si="5"/>
        <v>0</v>
      </c>
      <c r="W12" s="195"/>
      <c r="X12" s="197">
        <f t="shared" si="6"/>
        <v>0</v>
      </c>
      <c r="Y12" s="195"/>
    </row>
    <row r="13" spans="1:25" x14ac:dyDescent="0.2">
      <c r="A13" s="195"/>
      <c r="B13" s="195"/>
      <c r="C13" s="195"/>
      <c r="D13" s="195"/>
      <c r="E13" s="195"/>
      <c r="F13" s="195"/>
      <c r="G13" s="195"/>
      <c r="H13" s="197">
        <f t="shared" si="0"/>
        <v>0</v>
      </c>
      <c r="I13" s="195"/>
      <c r="J13" s="197">
        <f t="shared" si="0"/>
        <v>0</v>
      </c>
      <c r="K13" s="195"/>
      <c r="L13" s="197">
        <f t="shared" si="1"/>
        <v>0</v>
      </c>
      <c r="M13" s="195"/>
      <c r="N13" s="197">
        <f t="shared" si="2"/>
        <v>0</v>
      </c>
      <c r="O13" s="195"/>
      <c r="Q13" s="195"/>
      <c r="R13" s="197">
        <f t="shared" si="3"/>
        <v>0</v>
      </c>
      <c r="S13" s="195"/>
      <c r="T13" s="197">
        <f t="shared" si="4"/>
        <v>0</v>
      </c>
      <c r="U13" s="195"/>
      <c r="V13" s="197">
        <f t="shared" si="5"/>
        <v>0</v>
      </c>
      <c r="W13" s="195"/>
      <c r="X13" s="197">
        <f t="shared" si="6"/>
        <v>0</v>
      </c>
      <c r="Y13" s="195"/>
    </row>
    <row r="14" spans="1:25" x14ac:dyDescent="0.2">
      <c r="A14" s="195"/>
      <c r="B14" s="195"/>
      <c r="C14" s="195"/>
      <c r="D14" s="195"/>
      <c r="E14" s="195"/>
      <c r="F14" s="195"/>
      <c r="G14" s="195"/>
      <c r="H14" s="197">
        <f t="shared" si="0"/>
        <v>0</v>
      </c>
      <c r="I14" s="195"/>
      <c r="J14" s="197">
        <f t="shared" si="0"/>
        <v>0</v>
      </c>
      <c r="K14" s="195"/>
      <c r="L14" s="197">
        <f t="shared" si="1"/>
        <v>0</v>
      </c>
      <c r="M14" s="195"/>
      <c r="N14" s="197">
        <f t="shared" si="2"/>
        <v>0</v>
      </c>
      <c r="O14" s="195"/>
      <c r="Q14" s="195"/>
      <c r="R14" s="197">
        <f t="shared" si="3"/>
        <v>0</v>
      </c>
      <c r="S14" s="195"/>
      <c r="T14" s="197">
        <f t="shared" si="4"/>
        <v>0</v>
      </c>
      <c r="U14" s="195"/>
      <c r="V14" s="197">
        <f t="shared" si="5"/>
        <v>0</v>
      </c>
      <c r="W14" s="195"/>
      <c r="X14" s="197">
        <f t="shared" si="6"/>
        <v>0</v>
      </c>
      <c r="Y14" s="195"/>
    </row>
    <row r="15" spans="1:25" x14ac:dyDescent="0.2">
      <c r="A15" s="195"/>
      <c r="B15" s="195"/>
      <c r="C15" s="195"/>
      <c r="D15" s="195"/>
      <c r="E15" s="195"/>
      <c r="F15" s="195"/>
      <c r="G15" s="195"/>
      <c r="H15" s="197">
        <f t="shared" si="0"/>
        <v>0</v>
      </c>
      <c r="I15" s="195"/>
      <c r="J15" s="197">
        <f t="shared" si="0"/>
        <v>0</v>
      </c>
      <c r="K15" s="195"/>
      <c r="L15" s="197">
        <f t="shared" si="1"/>
        <v>0</v>
      </c>
      <c r="M15" s="195"/>
      <c r="N15" s="197">
        <f t="shared" si="2"/>
        <v>0</v>
      </c>
      <c r="O15" s="195"/>
      <c r="Q15" s="195"/>
      <c r="R15" s="197">
        <f t="shared" si="3"/>
        <v>0</v>
      </c>
      <c r="S15" s="195"/>
      <c r="T15" s="197">
        <f t="shared" si="4"/>
        <v>0</v>
      </c>
      <c r="U15" s="195"/>
      <c r="V15" s="197">
        <f t="shared" si="5"/>
        <v>0</v>
      </c>
      <c r="W15" s="195"/>
      <c r="X15" s="197">
        <f t="shared" si="6"/>
        <v>0</v>
      </c>
      <c r="Y15" s="195"/>
    </row>
    <row r="16" spans="1:25" x14ac:dyDescent="0.2">
      <c r="A16" s="195"/>
      <c r="B16" s="195"/>
      <c r="C16" s="195"/>
      <c r="D16" s="195"/>
      <c r="E16" s="195"/>
      <c r="F16" s="195"/>
      <c r="G16" s="195"/>
      <c r="H16" s="197">
        <f t="shared" si="0"/>
        <v>0</v>
      </c>
      <c r="I16" s="195"/>
      <c r="J16" s="197">
        <f t="shared" si="0"/>
        <v>0</v>
      </c>
      <c r="K16" s="195"/>
      <c r="L16" s="197">
        <f t="shared" si="1"/>
        <v>0</v>
      </c>
      <c r="M16" s="195"/>
      <c r="N16" s="197">
        <f t="shared" si="2"/>
        <v>0</v>
      </c>
      <c r="O16" s="195"/>
      <c r="Q16" s="195"/>
      <c r="R16" s="197">
        <f t="shared" si="3"/>
        <v>0</v>
      </c>
      <c r="S16" s="195"/>
      <c r="T16" s="197">
        <f t="shared" si="4"/>
        <v>0</v>
      </c>
      <c r="U16" s="195"/>
      <c r="V16" s="197">
        <f t="shared" si="5"/>
        <v>0</v>
      </c>
      <c r="W16" s="195"/>
      <c r="X16" s="197">
        <f t="shared" si="6"/>
        <v>0</v>
      </c>
      <c r="Y16" s="195"/>
    </row>
    <row r="17" spans="1:25" x14ac:dyDescent="0.2">
      <c r="A17" s="195"/>
      <c r="B17" s="195"/>
      <c r="C17" s="195"/>
      <c r="D17" s="195"/>
      <c r="E17" s="195"/>
      <c r="F17" s="195"/>
      <c r="G17" s="195"/>
      <c r="H17" s="197">
        <f t="shared" si="0"/>
        <v>0</v>
      </c>
      <c r="I17" s="195"/>
      <c r="J17" s="197">
        <f t="shared" si="0"/>
        <v>0</v>
      </c>
      <c r="K17" s="195"/>
      <c r="L17" s="197">
        <f t="shared" si="1"/>
        <v>0</v>
      </c>
      <c r="M17" s="195"/>
      <c r="N17" s="197">
        <f t="shared" si="2"/>
        <v>0</v>
      </c>
      <c r="O17" s="195"/>
      <c r="Q17" s="195"/>
      <c r="R17" s="197">
        <f t="shared" si="3"/>
        <v>0</v>
      </c>
      <c r="S17" s="195"/>
      <c r="T17" s="197">
        <f t="shared" si="4"/>
        <v>0</v>
      </c>
      <c r="U17" s="195"/>
      <c r="V17" s="197">
        <f t="shared" si="5"/>
        <v>0</v>
      </c>
      <c r="W17" s="195"/>
      <c r="X17" s="197">
        <f t="shared" si="6"/>
        <v>0</v>
      </c>
      <c r="Y17" s="195"/>
    </row>
    <row r="18" spans="1:25" x14ac:dyDescent="0.2">
      <c r="A18" s="195"/>
      <c r="B18" s="195"/>
      <c r="C18" s="195"/>
      <c r="D18" s="195"/>
      <c r="E18" s="195"/>
      <c r="F18" s="195"/>
      <c r="G18" s="195"/>
      <c r="H18" s="197">
        <f t="shared" si="0"/>
        <v>0</v>
      </c>
      <c r="I18" s="195"/>
      <c r="J18" s="197">
        <f t="shared" si="0"/>
        <v>0</v>
      </c>
      <c r="K18" s="195"/>
      <c r="L18" s="197">
        <f t="shared" si="1"/>
        <v>0</v>
      </c>
      <c r="M18" s="195"/>
      <c r="N18" s="197">
        <f t="shared" si="2"/>
        <v>0</v>
      </c>
      <c r="O18" s="195"/>
      <c r="Q18" s="195"/>
      <c r="R18" s="197">
        <f t="shared" si="3"/>
        <v>0</v>
      </c>
      <c r="S18" s="195"/>
      <c r="T18" s="197">
        <f t="shared" si="4"/>
        <v>0</v>
      </c>
      <c r="U18" s="195"/>
      <c r="V18" s="197">
        <f t="shared" si="5"/>
        <v>0</v>
      </c>
      <c r="W18" s="195"/>
      <c r="X18" s="197">
        <f t="shared" si="6"/>
        <v>0</v>
      </c>
      <c r="Y18" s="195"/>
    </row>
    <row r="19" spans="1:25" x14ac:dyDescent="0.2">
      <c r="A19" s="195"/>
      <c r="B19" s="195"/>
      <c r="C19" s="195"/>
      <c r="D19" s="195"/>
      <c r="E19" s="195"/>
      <c r="F19" s="195"/>
      <c r="G19" s="195"/>
      <c r="H19" s="197">
        <f t="shared" si="0"/>
        <v>0</v>
      </c>
      <c r="I19" s="195"/>
      <c r="J19" s="197">
        <f t="shared" si="0"/>
        <v>0</v>
      </c>
      <c r="K19" s="195"/>
      <c r="L19" s="197">
        <f t="shared" si="1"/>
        <v>0</v>
      </c>
      <c r="M19" s="195"/>
      <c r="N19" s="197">
        <f t="shared" si="2"/>
        <v>0</v>
      </c>
      <c r="O19" s="195"/>
      <c r="Q19" s="195"/>
      <c r="R19" s="197">
        <f t="shared" si="3"/>
        <v>0</v>
      </c>
      <c r="S19" s="195"/>
      <c r="T19" s="197">
        <f t="shared" si="4"/>
        <v>0</v>
      </c>
      <c r="U19" s="195"/>
      <c r="V19" s="197">
        <f t="shared" si="5"/>
        <v>0</v>
      </c>
      <c r="W19" s="195"/>
      <c r="X19" s="197">
        <f t="shared" si="6"/>
        <v>0</v>
      </c>
      <c r="Y19" s="195"/>
    </row>
    <row r="20" spans="1:25" x14ac:dyDescent="0.2">
      <c r="A20" s="195"/>
      <c r="B20" s="195"/>
      <c r="C20" s="195"/>
      <c r="D20" s="195"/>
      <c r="E20" s="195"/>
      <c r="F20" s="195"/>
      <c r="G20" s="195"/>
      <c r="H20" s="197">
        <f t="shared" si="0"/>
        <v>0</v>
      </c>
      <c r="I20" s="195"/>
      <c r="J20" s="197">
        <f t="shared" si="0"/>
        <v>0</v>
      </c>
      <c r="K20" s="195"/>
      <c r="L20" s="197">
        <f t="shared" si="1"/>
        <v>0</v>
      </c>
      <c r="M20" s="195"/>
      <c r="N20" s="197">
        <f t="shared" si="2"/>
        <v>0</v>
      </c>
      <c r="O20" s="195"/>
      <c r="Q20" s="195"/>
      <c r="R20" s="197">
        <f t="shared" si="3"/>
        <v>0</v>
      </c>
      <c r="S20" s="195"/>
      <c r="T20" s="197">
        <f t="shared" si="4"/>
        <v>0</v>
      </c>
      <c r="U20" s="195"/>
      <c r="V20" s="197">
        <f t="shared" si="5"/>
        <v>0</v>
      </c>
      <c r="W20" s="195"/>
      <c r="X20" s="197">
        <f t="shared" si="6"/>
        <v>0</v>
      </c>
      <c r="Y20" s="195"/>
    </row>
    <row r="21" spans="1:25" x14ac:dyDescent="0.2">
      <c r="A21" s="195"/>
      <c r="B21" s="195"/>
      <c r="C21" s="195"/>
      <c r="D21" s="195"/>
      <c r="E21" s="195"/>
      <c r="F21" s="195"/>
      <c r="G21" s="195"/>
      <c r="H21" s="197">
        <f t="shared" si="0"/>
        <v>0</v>
      </c>
      <c r="I21" s="195"/>
      <c r="J21" s="197">
        <f t="shared" si="0"/>
        <v>0</v>
      </c>
      <c r="K21" s="195"/>
      <c r="L21" s="197">
        <f t="shared" si="1"/>
        <v>0</v>
      </c>
      <c r="M21" s="195"/>
      <c r="N21" s="197">
        <f t="shared" si="2"/>
        <v>0</v>
      </c>
      <c r="O21" s="195"/>
      <c r="Q21" s="195"/>
      <c r="R21" s="197">
        <f t="shared" si="3"/>
        <v>0</v>
      </c>
      <c r="S21" s="195"/>
      <c r="T21" s="197">
        <f t="shared" si="4"/>
        <v>0</v>
      </c>
      <c r="U21" s="195"/>
      <c r="V21" s="197">
        <f t="shared" si="5"/>
        <v>0</v>
      </c>
      <c r="W21" s="195"/>
      <c r="X21" s="197">
        <f t="shared" si="6"/>
        <v>0</v>
      </c>
      <c r="Y21" s="195"/>
    </row>
    <row r="22" spans="1:25" x14ac:dyDescent="0.2">
      <c r="A22" s="195"/>
      <c r="B22" s="195"/>
      <c r="C22" s="195"/>
      <c r="D22" s="195"/>
      <c r="E22" s="195"/>
      <c r="F22" s="195"/>
      <c r="G22" s="195"/>
      <c r="H22" s="197">
        <f t="shared" si="0"/>
        <v>0</v>
      </c>
      <c r="I22" s="195"/>
      <c r="J22" s="197">
        <f t="shared" si="0"/>
        <v>0</v>
      </c>
      <c r="K22" s="195"/>
      <c r="L22" s="197">
        <f t="shared" si="1"/>
        <v>0</v>
      </c>
      <c r="M22" s="195"/>
      <c r="N22" s="197">
        <f t="shared" si="2"/>
        <v>0</v>
      </c>
      <c r="O22" s="195"/>
      <c r="Q22" s="195"/>
      <c r="R22" s="197">
        <f t="shared" si="3"/>
        <v>0</v>
      </c>
      <c r="S22" s="195"/>
      <c r="T22" s="197">
        <f t="shared" si="4"/>
        <v>0</v>
      </c>
      <c r="U22" s="195"/>
      <c r="V22" s="197">
        <f t="shared" si="5"/>
        <v>0</v>
      </c>
      <c r="W22" s="195"/>
      <c r="X22" s="197">
        <f t="shared" si="6"/>
        <v>0</v>
      </c>
      <c r="Y22" s="195"/>
    </row>
    <row r="23" spans="1:25" x14ac:dyDescent="0.2">
      <c r="A23" s="195"/>
      <c r="B23" s="195"/>
      <c r="C23" s="195"/>
      <c r="D23" s="195"/>
      <c r="E23" s="195"/>
      <c r="F23" s="195"/>
      <c r="G23" s="195"/>
      <c r="H23" s="197">
        <f t="shared" si="0"/>
        <v>0</v>
      </c>
      <c r="I23" s="195"/>
      <c r="J23" s="197">
        <f t="shared" si="0"/>
        <v>0</v>
      </c>
      <c r="K23" s="195"/>
      <c r="L23" s="197">
        <f t="shared" si="1"/>
        <v>0</v>
      </c>
      <c r="M23" s="195"/>
      <c r="N23" s="197">
        <f t="shared" si="2"/>
        <v>0</v>
      </c>
      <c r="O23" s="195"/>
      <c r="Q23" s="195"/>
      <c r="R23" s="197">
        <f t="shared" si="3"/>
        <v>0</v>
      </c>
      <c r="S23" s="195"/>
      <c r="T23" s="197">
        <f t="shared" si="4"/>
        <v>0</v>
      </c>
      <c r="U23" s="195"/>
      <c r="V23" s="197">
        <f t="shared" si="5"/>
        <v>0</v>
      </c>
      <c r="W23" s="195"/>
      <c r="X23" s="197">
        <f t="shared" si="6"/>
        <v>0</v>
      </c>
      <c r="Y23" s="195"/>
    </row>
    <row r="24" spans="1:25" x14ac:dyDescent="0.2">
      <c r="A24" s="195"/>
      <c r="B24" s="195"/>
      <c r="C24" s="195"/>
      <c r="D24" s="195"/>
      <c r="E24" s="195"/>
      <c r="F24" s="195"/>
      <c r="G24" s="195"/>
      <c r="H24" s="197">
        <f t="shared" si="0"/>
        <v>0</v>
      </c>
      <c r="I24" s="195"/>
      <c r="J24" s="197">
        <f t="shared" si="0"/>
        <v>0</v>
      </c>
      <c r="K24" s="195"/>
      <c r="L24" s="197">
        <f t="shared" si="1"/>
        <v>0</v>
      </c>
      <c r="M24" s="195"/>
      <c r="N24" s="197">
        <f t="shared" si="2"/>
        <v>0</v>
      </c>
      <c r="O24" s="195"/>
      <c r="Q24" s="195"/>
      <c r="R24" s="197">
        <f t="shared" si="3"/>
        <v>0</v>
      </c>
      <c r="S24" s="195"/>
      <c r="T24" s="197">
        <f t="shared" si="4"/>
        <v>0</v>
      </c>
      <c r="U24" s="195"/>
      <c r="V24" s="197">
        <f t="shared" si="5"/>
        <v>0</v>
      </c>
      <c r="W24" s="195"/>
      <c r="X24" s="197">
        <f t="shared" si="6"/>
        <v>0</v>
      </c>
      <c r="Y24" s="195"/>
    </row>
    <row r="25" spans="1:25" x14ac:dyDescent="0.2">
      <c r="A25" s="195"/>
      <c r="B25" s="195"/>
      <c r="C25" s="195"/>
      <c r="D25" s="195"/>
      <c r="E25" s="195"/>
      <c r="F25" s="195"/>
      <c r="G25" s="195"/>
      <c r="H25" s="197">
        <f t="shared" ref="H25:J40" si="7">IFERROR(G25/$F25%,0)</f>
        <v>0</v>
      </c>
      <c r="I25" s="195"/>
      <c r="J25" s="197">
        <f t="shared" si="7"/>
        <v>0</v>
      </c>
      <c r="K25" s="195"/>
      <c r="L25" s="197">
        <f t="shared" si="1"/>
        <v>0</v>
      </c>
      <c r="M25" s="195"/>
      <c r="N25" s="197">
        <f t="shared" si="2"/>
        <v>0</v>
      </c>
      <c r="O25" s="195"/>
      <c r="Q25" s="195"/>
      <c r="R25" s="197">
        <f t="shared" si="3"/>
        <v>0</v>
      </c>
      <c r="S25" s="195"/>
      <c r="T25" s="197">
        <f t="shared" si="4"/>
        <v>0</v>
      </c>
      <c r="U25" s="195"/>
      <c r="V25" s="197">
        <f t="shared" si="5"/>
        <v>0</v>
      </c>
      <c r="W25" s="195"/>
      <c r="X25" s="197">
        <f t="shared" si="6"/>
        <v>0</v>
      </c>
      <c r="Y25" s="195"/>
    </row>
    <row r="26" spans="1:25" x14ac:dyDescent="0.2">
      <c r="A26" s="195"/>
      <c r="B26" s="195"/>
      <c r="C26" s="195"/>
      <c r="D26" s="195"/>
      <c r="E26" s="195"/>
      <c r="F26" s="195"/>
      <c r="G26" s="195"/>
      <c r="H26" s="197">
        <f t="shared" si="7"/>
        <v>0</v>
      </c>
      <c r="I26" s="195"/>
      <c r="J26" s="197">
        <f t="shared" si="7"/>
        <v>0</v>
      </c>
      <c r="K26" s="195"/>
      <c r="L26" s="197">
        <f t="shared" si="1"/>
        <v>0</v>
      </c>
      <c r="M26" s="195"/>
      <c r="N26" s="197">
        <f t="shared" si="2"/>
        <v>0</v>
      </c>
      <c r="O26" s="195"/>
      <c r="Q26" s="195"/>
      <c r="R26" s="197">
        <f t="shared" si="3"/>
        <v>0</v>
      </c>
      <c r="S26" s="195"/>
      <c r="T26" s="197">
        <f t="shared" si="4"/>
        <v>0</v>
      </c>
      <c r="U26" s="195"/>
      <c r="V26" s="197">
        <f t="shared" si="5"/>
        <v>0</v>
      </c>
      <c r="W26" s="195"/>
      <c r="X26" s="197">
        <f t="shared" si="6"/>
        <v>0</v>
      </c>
      <c r="Y26" s="195"/>
    </row>
    <row r="27" spans="1:25" x14ac:dyDescent="0.2">
      <c r="A27" s="195"/>
      <c r="B27" s="195"/>
      <c r="C27" s="195"/>
      <c r="D27" s="195"/>
      <c r="E27" s="195"/>
      <c r="F27" s="195"/>
      <c r="G27" s="195"/>
      <c r="H27" s="197">
        <f t="shared" si="7"/>
        <v>0</v>
      </c>
      <c r="I27" s="195"/>
      <c r="J27" s="197">
        <f t="shared" si="7"/>
        <v>0</v>
      </c>
      <c r="K27" s="195"/>
      <c r="L27" s="197">
        <f t="shared" si="1"/>
        <v>0</v>
      </c>
      <c r="M27" s="195"/>
      <c r="N27" s="197">
        <f t="shared" si="2"/>
        <v>0</v>
      </c>
      <c r="O27" s="195"/>
      <c r="Q27" s="195"/>
      <c r="R27" s="197">
        <f t="shared" si="3"/>
        <v>0</v>
      </c>
      <c r="S27" s="195"/>
      <c r="T27" s="197">
        <f t="shared" si="4"/>
        <v>0</v>
      </c>
      <c r="U27" s="195"/>
      <c r="V27" s="197">
        <f t="shared" si="5"/>
        <v>0</v>
      </c>
      <c r="W27" s="195"/>
      <c r="X27" s="197">
        <f t="shared" si="6"/>
        <v>0</v>
      </c>
      <c r="Y27" s="195"/>
    </row>
    <row r="28" spans="1:25" x14ac:dyDescent="0.2">
      <c r="A28" s="195"/>
      <c r="B28" s="195"/>
      <c r="C28" s="195"/>
      <c r="D28" s="195"/>
      <c r="E28" s="195"/>
      <c r="F28" s="195"/>
      <c r="G28" s="195"/>
      <c r="H28" s="197">
        <f t="shared" si="7"/>
        <v>0</v>
      </c>
      <c r="I28" s="195"/>
      <c r="J28" s="197">
        <f t="shared" si="7"/>
        <v>0</v>
      </c>
      <c r="K28" s="195"/>
      <c r="L28" s="197">
        <f t="shared" si="1"/>
        <v>0</v>
      </c>
      <c r="M28" s="195"/>
      <c r="N28" s="197">
        <f t="shared" si="2"/>
        <v>0</v>
      </c>
      <c r="O28" s="195"/>
      <c r="Q28" s="195"/>
      <c r="R28" s="197">
        <f t="shared" si="3"/>
        <v>0</v>
      </c>
      <c r="S28" s="195"/>
      <c r="T28" s="197">
        <f t="shared" si="4"/>
        <v>0</v>
      </c>
      <c r="U28" s="195"/>
      <c r="V28" s="197">
        <f t="shared" si="5"/>
        <v>0</v>
      </c>
      <c r="W28" s="195"/>
      <c r="X28" s="197">
        <f t="shared" si="6"/>
        <v>0</v>
      </c>
      <c r="Y28" s="195"/>
    </row>
    <row r="29" spans="1:25" x14ac:dyDescent="0.2">
      <c r="A29" s="195"/>
      <c r="B29" s="195"/>
      <c r="C29" s="195"/>
      <c r="D29" s="195"/>
      <c r="E29" s="195"/>
      <c r="F29" s="195"/>
      <c r="G29" s="195"/>
      <c r="H29" s="197">
        <f t="shared" si="7"/>
        <v>0</v>
      </c>
      <c r="I29" s="195"/>
      <c r="J29" s="197">
        <f t="shared" si="7"/>
        <v>0</v>
      </c>
      <c r="K29" s="195"/>
      <c r="L29" s="197">
        <f t="shared" si="1"/>
        <v>0</v>
      </c>
      <c r="M29" s="195"/>
      <c r="N29" s="197">
        <f t="shared" si="2"/>
        <v>0</v>
      </c>
      <c r="O29" s="195"/>
      <c r="Q29" s="195"/>
      <c r="R29" s="197">
        <f t="shared" si="3"/>
        <v>0</v>
      </c>
      <c r="S29" s="195"/>
      <c r="T29" s="197">
        <f t="shared" si="4"/>
        <v>0</v>
      </c>
      <c r="U29" s="195"/>
      <c r="V29" s="197">
        <f t="shared" si="5"/>
        <v>0</v>
      </c>
      <c r="W29" s="195"/>
      <c r="X29" s="197">
        <f t="shared" si="6"/>
        <v>0</v>
      </c>
      <c r="Y29" s="195"/>
    </row>
    <row r="30" spans="1:25" x14ac:dyDescent="0.2">
      <c r="A30" s="195"/>
      <c r="B30" s="195"/>
      <c r="C30" s="195"/>
      <c r="D30" s="195"/>
      <c r="E30" s="195"/>
      <c r="F30" s="195"/>
      <c r="G30" s="195"/>
      <c r="H30" s="197">
        <f t="shared" si="7"/>
        <v>0</v>
      </c>
      <c r="I30" s="195"/>
      <c r="J30" s="197">
        <f t="shared" si="7"/>
        <v>0</v>
      </c>
      <c r="K30" s="195"/>
      <c r="L30" s="197">
        <f t="shared" si="1"/>
        <v>0</v>
      </c>
      <c r="M30" s="195"/>
      <c r="N30" s="197">
        <f t="shared" si="2"/>
        <v>0</v>
      </c>
      <c r="O30" s="195"/>
      <c r="Q30" s="195"/>
      <c r="R30" s="197">
        <f t="shared" si="3"/>
        <v>0</v>
      </c>
      <c r="S30" s="195"/>
      <c r="T30" s="197">
        <f t="shared" si="4"/>
        <v>0</v>
      </c>
      <c r="U30" s="195"/>
      <c r="V30" s="197">
        <f t="shared" si="5"/>
        <v>0</v>
      </c>
      <c r="W30" s="195"/>
      <c r="X30" s="197">
        <f t="shared" si="6"/>
        <v>0</v>
      </c>
      <c r="Y30" s="195"/>
    </row>
    <row r="31" spans="1:25" x14ac:dyDescent="0.2">
      <c r="A31" s="195"/>
      <c r="B31" s="195"/>
      <c r="C31" s="195"/>
      <c r="D31" s="195"/>
      <c r="E31" s="195"/>
      <c r="F31" s="195"/>
      <c r="G31" s="195"/>
      <c r="H31" s="197">
        <f t="shared" si="7"/>
        <v>0</v>
      </c>
      <c r="I31" s="195"/>
      <c r="J31" s="197">
        <f t="shared" si="7"/>
        <v>0</v>
      </c>
      <c r="K31" s="195"/>
      <c r="L31" s="197">
        <f t="shared" si="1"/>
        <v>0</v>
      </c>
      <c r="M31" s="195"/>
      <c r="N31" s="197">
        <f t="shared" si="2"/>
        <v>0</v>
      </c>
      <c r="O31" s="195"/>
      <c r="Q31" s="195"/>
      <c r="R31" s="197">
        <f t="shared" si="3"/>
        <v>0</v>
      </c>
      <c r="S31" s="195"/>
      <c r="T31" s="197">
        <f t="shared" si="4"/>
        <v>0</v>
      </c>
      <c r="U31" s="195"/>
      <c r="V31" s="197">
        <f t="shared" si="5"/>
        <v>0</v>
      </c>
      <c r="W31" s="195"/>
      <c r="X31" s="197">
        <f t="shared" si="6"/>
        <v>0</v>
      </c>
      <c r="Y31" s="195"/>
    </row>
    <row r="32" spans="1:25" x14ac:dyDescent="0.2">
      <c r="A32" s="195"/>
      <c r="B32" s="195"/>
      <c r="C32" s="195"/>
      <c r="D32" s="195"/>
      <c r="E32" s="195"/>
      <c r="F32" s="195"/>
      <c r="G32" s="195"/>
      <c r="H32" s="197">
        <f t="shared" si="7"/>
        <v>0</v>
      </c>
      <c r="I32" s="195"/>
      <c r="J32" s="197">
        <f t="shared" si="7"/>
        <v>0</v>
      </c>
      <c r="K32" s="195"/>
      <c r="L32" s="197">
        <f t="shared" si="1"/>
        <v>0</v>
      </c>
      <c r="M32" s="195"/>
      <c r="N32" s="197">
        <f t="shared" si="2"/>
        <v>0</v>
      </c>
      <c r="O32" s="195"/>
      <c r="Q32" s="195"/>
      <c r="R32" s="197">
        <f t="shared" si="3"/>
        <v>0</v>
      </c>
      <c r="S32" s="195"/>
      <c r="T32" s="197">
        <f t="shared" si="4"/>
        <v>0</v>
      </c>
      <c r="U32" s="195"/>
      <c r="V32" s="197">
        <f t="shared" si="5"/>
        <v>0</v>
      </c>
      <c r="W32" s="195"/>
      <c r="X32" s="197">
        <f t="shared" si="6"/>
        <v>0</v>
      </c>
      <c r="Y32" s="195"/>
    </row>
    <row r="33" spans="1:25" x14ac:dyDescent="0.2">
      <c r="A33" s="195"/>
      <c r="B33" s="195"/>
      <c r="C33" s="195"/>
      <c r="D33" s="195"/>
      <c r="E33" s="195"/>
      <c r="F33" s="195"/>
      <c r="G33" s="195"/>
      <c r="H33" s="197">
        <f t="shared" si="7"/>
        <v>0</v>
      </c>
      <c r="I33" s="195"/>
      <c r="J33" s="197">
        <f t="shared" si="7"/>
        <v>0</v>
      </c>
      <c r="K33" s="195"/>
      <c r="L33" s="197">
        <f t="shared" si="1"/>
        <v>0</v>
      </c>
      <c r="M33" s="195"/>
      <c r="N33" s="197">
        <f t="shared" si="2"/>
        <v>0</v>
      </c>
      <c r="O33" s="195"/>
      <c r="Q33" s="195"/>
      <c r="R33" s="197">
        <f t="shared" si="3"/>
        <v>0</v>
      </c>
      <c r="S33" s="195"/>
      <c r="T33" s="197">
        <f t="shared" si="4"/>
        <v>0</v>
      </c>
      <c r="U33" s="195"/>
      <c r="V33" s="197">
        <f t="shared" si="5"/>
        <v>0</v>
      </c>
      <c r="W33" s="195"/>
      <c r="X33" s="197">
        <f t="shared" si="6"/>
        <v>0</v>
      </c>
      <c r="Y33" s="195"/>
    </row>
    <row r="34" spans="1:25" x14ac:dyDescent="0.2">
      <c r="A34" s="195"/>
      <c r="B34" s="195"/>
      <c r="C34" s="195"/>
      <c r="D34" s="195"/>
      <c r="E34" s="195"/>
      <c r="F34" s="195"/>
      <c r="G34" s="195"/>
      <c r="H34" s="197">
        <f t="shared" si="7"/>
        <v>0</v>
      </c>
      <c r="I34" s="195"/>
      <c r="J34" s="197">
        <f t="shared" si="7"/>
        <v>0</v>
      </c>
      <c r="K34" s="195"/>
      <c r="L34" s="197">
        <f t="shared" si="1"/>
        <v>0</v>
      </c>
      <c r="M34" s="195"/>
      <c r="N34" s="197">
        <f t="shared" si="2"/>
        <v>0</v>
      </c>
      <c r="O34" s="195"/>
      <c r="Q34" s="195"/>
      <c r="R34" s="197">
        <f t="shared" si="3"/>
        <v>0</v>
      </c>
      <c r="S34" s="195"/>
      <c r="T34" s="197">
        <f t="shared" si="4"/>
        <v>0</v>
      </c>
      <c r="U34" s="195"/>
      <c r="V34" s="197">
        <f t="shared" si="5"/>
        <v>0</v>
      </c>
      <c r="W34" s="195"/>
      <c r="X34" s="197">
        <f t="shared" si="6"/>
        <v>0</v>
      </c>
      <c r="Y34" s="195"/>
    </row>
    <row r="35" spans="1:25" x14ac:dyDescent="0.2">
      <c r="A35" s="195"/>
      <c r="B35" s="195"/>
      <c r="C35" s="195"/>
      <c r="D35" s="195"/>
      <c r="E35" s="195"/>
      <c r="F35" s="195"/>
      <c r="G35" s="195"/>
      <c r="H35" s="197">
        <f t="shared" si="7"/>
        <v>0</v>
      </c>
      <c r="I35" s="195"/>
      <c r="J35" s="197">
        <f t="shared" si="7"/>
        <v>0</v>
      </c>
      <c r="K35" s="195"/>
      <c r="L35" s="197">
        <f t="shared" si="1"/>
        <v>0</v>
      </c>
      <c r="M35" s="195"/>
      <c r="N35" s="197">
        <f t="shared" si="2"/>
        <v>0</v>
      </c>
      <c r="O35" s="195"/>
      <c r="Q35" s="195"/>
      <c r="R35" s="197">
        <f t="shared" si="3"/>
        <v>0</v>
      </c>
      <c r="S35" s="195"/>
      <c r="T35" s="197">
        <f t="shared" si="4"/>
        <v>0</v>
      </c>
      <c r="U35" s="195"/>
      <c r="V35" s="197">
        <f t="shared" si="5"/>
        <v>0</v>
      </c>
      <c r="W35" s="195"/>
      <c r="X35" s="197">
        <f t="shared" si="6"/>
        <v>0</v>
      </c>
      <c r="Y35" s="195"/>
    </row>
    <row r="36" spans="1:25" x14ac:dyDescent="0.2">
      <c r="A36" s="195"/>
      <c r="B36" s="195"/>
      <c r="C36" s="195"/>
      <c r="D36" s="195"/>
      <c r="E36" s="195"/>
      <c r="F36" s="195"/>
      <c r="G36" s="195"/>
      <c r="H36" s="197">
        <f t="shared" si="7"/>
        <v>0</v>
      </c>
      <c r="I36" s="195"/>
      <c r="J36" s="197">
        <f t="shared" si="7"/>
        <v>0</v>
      </c>
      <c r="K36" s="195"/>
      <c r="L36" s="197">
        <f t="shared" si="1"/>
        <v>0</v>
      </c>
      <c r="M36" s="195"/>
      <c r="N36" s="197">
        <f t="shared" si="2"/>
        <v>0</v>
      </c>
      <c r="O36" s="195"/>
      <c r="Q36" s="195"/>
      <c r="R36" s="197">
        <f t="shared" si="3"/>
        <v>0</v>
      </c>
      <c r="S36" s="195"/>
      <c r="T36" s="197">
        <f t="shared" si="4"/>
        <v>0</v>
      </c>
      <c r="U36" s="195"/>
      <c r="V36" s="197">
        <f t="shared" si="5"/>
        <v>0</v>
      </c>
      <c r="W36" s="195"/>
      <c r="X36" s="197">
        <f t="shared" si="6"/>
        <v>0</v>
      </c>
      <c r="Y36" s="195"/>
    </row>
    <row r="37" spans="1:25" x14ac:dyDescent="0.2">
      <c r="A37" s="195"/>
      <c r="B37" s="195"/>
      <c r="C37" s="195"/>
      <c r="D37" s="195"/>
      <c r="E37" s="195"/>
      <c r="F37" s="195"/>
      <c r="G37" s="195"/>
      <c r="H37" s="197">
        <f t="shared" si="7"/>
        <v>0</v>
      </c>
      <c r="I37" s="195"/>
      <c r="J37" s="197">
        <f t="shared" si="7"/>
        <v>0</v>
      </c>
      <c r="K37" s="195"/>
      <c r="L37" s="197">
        <f t="shared" si="1"/>
        <v>0</v>
      </c>
      <c r="M37" s="195"/>
      <c r="N37" s="197">
        <f t="shared" si="2"/>
        <v>0</v>
      </c>
      <c r="O37" s="195"/>
      <c r="Q37" s="195"/>
      <c r="R37" s="197">
        <f t="shared" si="3"/>
        <v>0</v>
      </c>
      <c r="S37" s="195"/>
      <c r="T37" s="197">
        <f t="shared" si="4"/>
        <v>0</v>
      </c>
      <c r="U37" s="195"/>
      <c r="V37" s="197">
        <f t="shared" si="5"/>
        <v>0</v>
      </c>
      <c r="W37" s="195"/>
      <c r="X37" s="197">
        <f t="shared" si="6"/>
        <v>0</v>
      </c>
      <c r="Y37" s="195"/>
    </row>
    <row r="38" spans="1:25" x14ac:dyDescent="0.2">
      <c r="A38" s="195"/>
      <c r="B38" s="195"/>
      <c r="C38" s="195"/>
      <c r="D38" s="195"/>
      <c r="E38" s="195"/>
      <c r="F38" s="195"/>
      <c r="G38" s="195"/>
      <c r="H38" s="197">
        <f t="shared" si="7"/>
        <v>0</v>
      </c>
      <c r="I38" s="195"/>
      <c r="J38" s="197">
        <f t="shared" si="7"/>
        <v>0</v>
      </c>
      <c r="K38" s="195"/>
      <c r="L38" s="197">
        <f t="shared" si="1"/>
        <v>0</v>
      </c>
      <c r="M38" s="195"/>
      <c r="N38" s="197">
        <f t="shared" si="2"/>
        <v>0</v>
      </c>
      <c r="O38" s="195"/>
      <c r="Q38" s="195"/>
      <c r="R38" s="197">
        <f t="shared" si="3"/>
        <v>0</v>
      </c>
      <c r="S38" s="195"/>
      <c r="T38" s="197">
        <f t="shared" si="4"/>
        <v>0</v>
      </c>
      <c r="U38" s="195"/>
      <c r="V38" s="197">
        <f t="shared" si="5"/>
        <v>0</v>
      </c>
      <c r="W38" s="195"/>
      <c r="X38" s="197">
        <f t="shared" si="6"/>
        <v>0</v>
      </c>
      <c r="Y38" s="195"/>
    </row>
    <row r="39" spans="1:25" x14ac:dyDescent="0.2">
      <c r="A39" s="195"/>
      <c r="B39" s="195"/>
      <c r="C39" s="195"/>
      <c r="D39" s="195"/>
      <c r="E39" s="195"/>
      <c r="F39" s="195"/>
      <c r="G39" s="195"/>
      <c r="H39" s="197">
        <f t="shared" si="7"/>
        <v>0</v>
      </c>
      <c r="I39" s="195"/>
      <c r="J39" s="197">
        <f t="shared" si="7"/>
        <v>0</v>
      </c>
      <c r="K39" s="195"/>
      <c r="L39" s="197">
        <f t="shared" si="1"/>
        <v>0</v>
      </c>
      <c r="M39" s="195"/>
      <c r="N39" s="197">
        <f t="shared" si="2"/>
        <v>0</v>
      </c>
      <c r="O39" s="195"/>
      <c r="Q39" s="195"/>
      <c r="R39" s="197">
        <f t="shared" si="3"/>
        <v>0</v>
      </c>
      <c r="S39" s="195"/>
      <c r="T39" s="197">
        <f t="shared" si="4"/>
        <v>0</v>
      </c>
      <c r="U39" s="195"/>
      <c r="V39" s="197">
        <f t="shared" si="5"/>
        <v>0</v>
      </c>
      <c r="W39" s="195"/>
      <c r="X39" s="197">
        <f t="shared" si="6"/>
        <v>0</v>
      </c>
      <c r="Y39" s="195"/>
    </row>
    <row r="40" spans="1:25" x14ac:dyDescent="0.2">
      <c r="A40" s="195"/>
      <c r="B40" s="195"/>
      <c r="C40" s="195"/>
      <c r="D40" s="195"/>
      <c r="E40" s="195"/>
      <c r="F40" s="195"/>
      <c r="G40" s="195"/>
      <c r="H40" s="197">
        <f t="shared" si="7"/>
        <v>0</v>
      </c>
      <c r="I40" s="195"/>
      <c r="J40" s="197">
        <f t="shared" si="7"/>
        <v>0</v>
      </c>
      <c r="K40" s="195"/>
      <c r="L40" s="197">
        <f t="shared" si="1"/>
        <v>0</v>
      </c>
      <c r="M40" s="195"/>
      <c r="N40" s="197">
        <f t="shared" si="2"/>
        <v>0</v>
      </c>
      <c r="O40" s="195"/>
      <c r="Q40" s="195"/>
      <c r="R40" s="197">
        <f t="shared" si="3"/>
        <v>0</v>
      </c>
      <c r="S40" s="195"/>
      <c r="T40" s="197">
        <f t="shared" si="4"/>
        <v>0</v>
      </c>
      <c r="U40" s="195"/>
      <c r="V40" s="197">
        <f t="shared" si="5"/>
        <v>0</v>
      </c>
      <c r="W40" s="195"/>
      <c r="X40" s="197">
        <f t="shared" si="6"/>
        <v>0</v>
      </c>
      <c r="Y40" s="195"/>
    </row>
    <row r="41" spans="1:25" x14ac:dyDescent="0.2">
      <c r="A41" s="195"/>
      <c r="B41" s="195"/>
      <c r="C41" s="195"/>
      <c r="D41" s="195"/>
      <c r="E41" s="195"/>
      <c r="F41" s="195"/>
      <c r="G41" s="195"/>
      <c r="H41" s="197">
        <f t="shared" ref="H41:J56" si="8">IFERROR(G41/$F41%,0)</f>
        <v>0</v>
      </c>
      <c r="I41" s="195"/>
      <c r="J41" s="197">
        <f t="shared" si="8"/>
        <v>0</v>
      </c>
      <c r="K41" s="195"/>
      <c r="L41" s="197">
        <f t="shared" si="1"/>
        <v>0</v>
      </c>
      <c r="M41" s="195"/>
      <c r="N41" s="197">
        <f t="shared" si="2"/>
        <v>0</v>
      </c>
      <c r="O41" s="195"/>
      <c r="Q41" s="195"/>
      <c r="R41" s="197">
        <f t="shared" si="3"/>
        <v>0</v>
      </c>
      <c r="S41" s="195"/>
      <c r="T41" s="197">
        <f t="shared" si="4"/>
        <v>0</v>
      </c>
      <c r="U41" s="195"/>
      <c r="V41" s="197">
        <f t="shared" si="5"/>
        <v>0</v>
      </c>
      <c r="W41" s="195"/>
      <c r="X41" s="197">
        <f t="shared" si="6"/>
        <v>0</v>
      </c>
      <c r="Y41" s="195"/>
    </row>
    <row r="42" spans="1:25" x14ac:dyDescent="0.2">
      <c r="A42" s="195"/>
      <c r="B42" s="195"/>
      <c r="C42" s="195"/>
      <c r="D42" s="195"/>
      <c r="E42" s="195"/>
      <c r="F42" s="195"/>
      <c r="G42" s="195"/>
      <c r="H42" s="197">
        <f t="shared" si="8"/>
        <v>0</v>
      </c>
      <c r="I42" s="195"/>
      <c r="J42" s="197">
        <f t="shared" si="8"/>
        <v>0</v>
      </c>
      <c r="K42" s="195"/>
      <c r="L42" s="197">
        <f t="shared" si="1"/>
        <v>0</v>
      </c>
      <c r="M42" s="195"/>
      <c r="N42" s="197">
        <f t="shared" si="2"/>
        <v>0</v>
      </c>
      <c r="O42" s="195"/>
      <c r="Q42" s="195"/>
      <c r="R42" s="197">
        <f t="shared" si="3"/>
        <v>0</v>
      </c>
      <c r="S42" s="195"/>
      <c r="T42" s="197">
        <f t="shared" si="4"/>
        <v>0</v>
      </c>
      <c r="U42" s="195"/>
      <c r="V42" s="197">
        <f t="shared" si="5"/>
        <v>0</v>
      </c>
      <c r="W42" s="195"/>
      <c r="X42" s="197">
        <f t="shared" si="6"/>
        <v>0</v>
      </c>
      <c r="Y42" s="195"/>
    </row>
    <row r="43" spans="1:25" x14ac:dyDescent="0.2">
      <c r="A43" s="195"/>
      <c r="B43" s="195"/>
      <c r="C43" s="195"/>
      <c r="D43" s="195"/>
      <c r="E43" s="195"/>
      <c r="F43" s="195"/>
      <c r="G43" s="195"/>
      <c r="H43" s="197">
        <f t="shared" si="8"/>
        <v>0</v>
      </c>
      <c r="I43" s="195"/>
      <c r="J43" s="197">
        <f t="shared" si="8"/>
        <v>0</v>
      </c>
      <c r="K43" s="195"/>
      <c r="L43" s="197">
        <f t="shared" si="1"/>
        <v>0</v>
      </c>
      <c r="M43" s="195"/>
      <c r="N43" s="197">
        <f t="shared" si="2"/>
        <v>0</v>
      </c>
      <c r="O43" s="195"/>
      <c r="Q43" s="195"/>
      <c r="R43" s="197">
        <f t="shared" si="3"/>
        <v>0</v>
      </c>
      <c r="S43" s="195"/>
      <c r="T43" s="197">
        <f t="shared" si="4"/>
        <v>0</v>
      </c>
      <c r="U43" s="195"/>
      <c r="V43" s="197">
        <f t="shared" si="5"/>
        <v>0</v>
      </c>
      <c r="W43" s="195"/>
      <c r="X43" s="197">
        <f t="shared" si="6"/>
        <v>0</v>
      </c>
      <c r="Y43" s="195"/>
    </row>
    <row r="44" spans="1:25" x14ac:dyDescent="0.2">
      <c r="A44" s="195"/>
      <c r="B44" s="195"/>
      <c r="C44" s="195"/>
      <c r="D44" s="195"/>
      <c r="E44" s="195"/>
      <c r="F44" s="195"/>
      <c r="G44" s="195"/>
      <c r="H44" s="197">
        <f t="shared" si="8"/>
        <v>0</v>
      </c>
      <c r="I44" s="195"/>
      <c r="J44" s="197">
        <f t="shared" si="8"/>
        <v>0</v>
      </c>
      <c r="K44" s="195"/>
      <c r="L44" s="197">
        <f t="shared" si="1"/>
        <v>0</v>
      </c>
      <c r="M44" s="195"/>
      <c r="N44" s="197">
        <f t="shared" si="2"/>
        <v>0</v>
      </c>
      <c r="O44" s="195"/>
      <c r="Q44" s="195"/>
      <c r="R44" s="197">
        <f t="shared" si="3"/>
        <v>0</v>
      </c>
      <c r="S44" s="195"/>
      <c r="T44" s="197">
        <f t="shared" si="4"/>
        <v>0</v>
      </c>
      <c r="U44" s="195"/>
      <c r="V44" s="197">
        <f t="shared" si="5"/>
        <v>0</v>
      </c>
      <c r="W44" s="195"/>
      <c r="X44" s="197">
        <f t="shared" si="6"/>
        <v>0</v>
      </c>
      <c r="Y44" s="195"/>
    </row>
    <row r="45" spans="1:25" x14ac:dyDescent="0.2">
      <c r="A45" s="195"/>
      <c r="B45" s="195"/>
      <c r="C45" s="195"/>
      <c r="D45" s="195"/>
      <c r="E45" s="195"/>
      <c r="F45" s="195"/>
      <c r="G45" s="195"/>
      <c r="H45" s="197">
        <f t="shared" si="8"/>
        <v>0</v>
      </c>
      <c r="I45" s="195"/>
      <c r="J45" s="197">
        <f t="shared" si="8"/>
        <v>0</v>
      </c>
      <c r="K45" s="195"/>
      <c r="L45" s="197">
        <f t="shared" si="1"/>
        <v>0</v>
      </c>
      <c r="M45" s="195"/>
      <c r="N45" s="197">
        <f t="shared" si="2"/>
        <v>0</v>
      </c>
      <c r="O45" s="195"/>
      <c r="Q45" s="195"/>
      <c r="R45" s="197">
        <f t="shared" si="3"/>
        <v>0</v>
      </c>
      <c r="S45" s="195"/>
      <c r="T45" s="197">
        <f t="shared" si="4"/>
        <v>0</v>
      </c>
      <c r="U45" s="195"/>
      <c r="V45" s="197">
        <f t="shared" si="5"/>
        <v>0</v>
      </c>
      <c r="W45" s="195"/>
      <c r="X45" s="197">
        <f t="shared" si="6"/>
        <v>0</v>
      </c>
      <c r="Y45" s="195"/>
    </row>
    <row r="46" spans="1:25" x14ac:dyDescent="0.2">
      <c r="A46" s="195"/>
      <c r="B46" s="195"/>
      <c r="C46" s="195"/>
      <c r="D46" s="195"/>
      <c r="E46" s="195"/>
      <c r="F46" s="195"/>
      <c r="G46" s="195"/>
      <c r="H46" s="197">
        <f t="shared" si="8"/>
        <v>0</v>
      </c>
      <c r="I46" s="195"/>
      <c r="J46" s="197">
        <f t="shared" si="8"/>
        <v>0</v>
      </c>
      <c r="K46" s="195"/>
      <c r="L46" s="197">
        <f t="shared" si="1"/>
        <v>0</v>
      </c>
      <c r="M46" s="195"/>
      <c r="N46" s="197">
        <f t="shared" si="2"/>
        <v>0</v>
      </c>
      <c r="O46" s="195"/>
      <c r="Q46" s="195"/>
      <c r="R46" s="197">
        <f t="shared" si="3"/>
        <v>0</v>
      </c>
      <c r="S46" s="195"/>
      <c r="T46" s="197">
        <f t="shared" si="4"/>
        <v>0</v>
      </c>
      <c r="U46" s="195"/>
      <c r="V46" s="197">
        <f t="shared" si="5"/>
        <v>0</v>
      </c>
      <c r="W46" s="195"/>
      <c r="X46" s="197">
        <f t="shared" si="6"/>
        <v>0</v>
      </c>
      <c r="Y46" s="195"/>
    </row>
    <row r="47" spans="1:25" x14ac:dyDescent="0.2">
      <c r="A47" s="195"/>
      <c r="B47" s="195"/>
      <c r="C47" s="195"/>
      <c r="D47" s="195"/>
      <c r="E47" s="195"/>
      <c r="F47" s="195"/>
      <c r="G47" s="195"/>
      <c r="H47" s="197">
        <f t="shared" si="8"/>
        <v>0</v>
      </c>
      <c r="I47" s="195"/>
      <c r="J47" s="197">
        <f t="shared" si="8"/>
        <v>0</v>
      </c>
      <c r="K47" s="195"/>
      <c r="L47" s="197">
        <f t="shared" si="1"/>
        <v>0</v>
      </c>
      <c r="M47" s="195"/>
      <c r="N47" s="197">
        <f t="shared" si="2"/>
        <v>0</v>
      </c>
      <c r="O47" s="195"/>
      <c r="Q47" s="195"/>
      <c r="R47" s="197">
        <f t="shared" si="3"/>
        <v>0</v>
      </c>
      <c r="S47" s="195"/>
      <c r="T47" s="197">
        <f t="shared" si="4"/>
        <v>0</v>
      </c>
      <c r="U47" s="195"/>
      <c r="V47" s="197">
        <f t="shared" si="5"/>
        <v>0</v>
      </c>
      <c r="W47" s="195"/>
      <c r="X47" s="197">
        <f t="shared" si="6"/>
        <v>0</v>
      </c>
      <c r="Y47" s="195"/>
    </row>
    <row r="48" spans="1:25" x14ac:dyDescent="0.2">
      <c r="A48" s="195"/>
      <c r="B48" s="195"/>
      <c r="C48" s="195"/>
      <c r="D48" s="195"/>
      <c r="E48" s="195"/>
      <c r="F48" s="195"/>
      <c r="G48" s="195"/>
      <c r="H48" s="197">
        <f t="shared" si="8"/>
        <v>0</v>
      </c>
      <c r="I48" s="195"/>
      <c r="J48" s="197">
        <f t="shared" si="8"/>
        <v>0</v>
      </c>
      <c r="K48" s="195"/>
      <c r="L48" s="197">
        <f t="shared" si="1"/>
        <v>0</v>
      </c>
      <c r="M48" s="195"/>
      <c r="N48" s="197">
        <f t="shared" si="2"/>
        <v>0</v>
      </c>
      <c r="O48" s="195"/>
      <c r="Q48" s="195"/>
      <c r="R48" s="197">
        <f t="shared" si="3"/>
        <v>0</v>
      </c>
      <c r="S48" s="195"/>
      <c r="T48" s="197">
        <f t="shared" si="4"/>
        <v>0</v>
      </c>
      <c r="U48" s="195"/>
      <c r="V48" s="197">
        <f t="shared" si="5"/>
        <v>0</v>
      </c>
      <c r="W48" s="195"/>
      <c r="X48" s="197">
        <f t="shared" si="6"/>
        <v>0</v>
      </c>
      <c r="Y48" s="195"/>
    </row>
    <row r="49" spans="1:25" x14ac:dyDescent="0.2">
      <c r="A49" s="195"/>
      <c r="B49" s="195"/>
      <c r="C49" s="195"/>
      <c r="D49" s="195"/>
      <c r="E49" s="195"/>
      <c r="F49" s="195"/>
      <c r="G49" s="195"/>
      <c r="H49" s="197">
        <f t="shared" si="8"/>
        <v>0</v>
      </c>
      <c r="I49" s="195"/>
      <c r="J49" s="197">
        <f t="shared" si="8"/>
        <v>0</v>
      </c>
      <c r="K49" s="195"/>
      <c r="L49" s="197">
        <f t="shared" si="1"/>
        <v>0</v>
      </c>
      <c r="M49" s="195"/>
      <c r="N49" s="197">
        <f t="shared" si="2"/>
        <v>0</v>
      </c>
      <c r="O49" s="195"/>
      <c r="Q49" s="195"/>
      <c r="R49" s="197">
        <f t="shared" si="3"/>
        <v>0</v>
      </c>
      <c r="S49" s="195"/>
      <c r="T49" s="197">
        <f t="shared" si="4"/>
        <v>0</v>
      </c>
      <c r="U49" s="195"/>
      <c r="V49" s="197">
        <f t="shared" si="5"/>
        <v>0</v>
      </c>
      <c r="W49" s="195"/>
      <c r="X49" s="197">
        <f t="shared" si="6"/>
        <v>0</v>
      </c>
      <c r="Y49" s="195"/>
    </row>
    <row r="50" spans="1:25" x14ac:dyDescent="0.2">
      <c r="A50" s="195"/>
      <c r="B50" s="195"/>
      <c r="C50" s="195"/>
      <c r="D50" s="195"/>
      <c r="E50" s="195"/>
      <c r="F50" s="195"/>
      <c r="G50" s="195"/>
      <c r="H50" s="197">
        <f t="shared" si="8"/>
        <v>0</v>
      </c>
      <c r="I50" s="195"/>
      <c r="J50" s="197">
        <f t="shared" si="8"/>
        <v>0</v>
      </c>
      <c r="K50" s="195"/>
      <c r="L50" s="197">
        <f t="shared" si="1"/>
        <v>0</v>
      </c>
      <c r="M50" s="195"/>
      <c r="N50" s="197">
        <f t="shared" si="2"/>
        <v>0</v>
      </c>
      <c r="O50" s="195"/>
      <c r="Q50" s="195"/>
      <c r="R50" s="197">
        <f t="shared" si="3"/>
        <v>0</v>
      </c>
      <c r="S50" s="195"/>
      <c r="T50" s="197">
        <f t="shared" si="4"/>
        <v>0</v>
      </c>
      <c r="U50" s="195"/>
      <c r="V50" s="197">
        <f t="shared" si="5"/>
        <v>0</v>
      </c>
      <c r="W50" s="195"/>
      <c r="X50" s="197">
        <f t="shared" si="6"/>
        <v>0</v>
      </c>
      <c r="Y50" s="195"/>
    </row>
    <row r="51" spans="1:25" x14ac:dyDescent="0.2">
      <c r="A51" s="195"/>
      <c r="B51" s="195"/>
      <c r="C51" s="195"/>
      <c r="D51" s="195"/>
      <c r="E51" s="195"/>
      <c r="F51" s="195"/>
      <c r="G51" s="195"/>
      <c r="H51" s="197">
        <f t="shared" si="8"/>
        <v>0</v>
      </c>
      <c r="I51" s="195"/>
      <c r="J51" s="197">
        <f t="shared" si="8"/>
        <v>0</v>
      </c>
      <c r="K51" s="195"/>
      <c r="L51" s="197">
        <f t="shared" si="1"/>
        <v>0</v>
      </c>
      <c r="M51" s="195"/>
      <c r="N51" s="197">
        <f t="shared" si="2"/>
        <v>0</v>
      </c>
      <c r="O51" s="195"/>
      <c r="Q51" s="195"/>
      <c r="R51" s="197">
        <f t="shared" si="3"/>
        <v>0</v>
      </c>
      <c r="S51" s="195"/>
      <c r="T51" s="197">
        <f t="shared" si="4"/>
        <v>0</v>
      </c>
      <c r="U51" s="195"/>
      <c r="V51" s="197">
        <f t="shared" si="5"/>
        <v>0</v>
      </c>
      <c r="W51" s="195"/>
      <c r="X51" s="197">
        <f t="shared" si="6"/>
        <v>0</v>
      </c>
      <c r="Y51" s="195"/>
    </row>
    <row r="52" spans="1:25" x14ac:dyDescent="0.2">
      <c r="A52" s="195"/>
      <c r="B52" s="195"/>
      <c r="C52" s="195"/>
      <c r="D52" s="195"/>
      <c r="E52" s="195"/>
      <c r="F52" s="195"/>
      <c r="G52" s="195"/>
      <c r="H52" s="197">
        <f t="shared" si="8"/>
        <v>0</v>
      </c>
      <c r="I52" s="195"/>
      <c r="J52" s="197">
        <f t="shared" si="8"/>
        <v>0</v>
      </c>
      <c r="K52" s="195"/>
      <c r="L52" s="197">
        <f t="shared" si="1"/>
        <v>0</v>
      </c>
      <c r="M52" s="195"/>
      <c r="N52" s="197">
        <f t="shared" si="2"/>
        <v>0</v>
      </c>
      <c r="O52" s="195"/>
      <c r="Q52" s="195"/>
      <c r="R52" s="197">
        <f t="shared" si="3"/>
        <v>0</v>
      </c>
      <c r="S52" s="195"/>
      <c r="T52" s="197">
        <f t="shared" si="4"/>
        <v>0</v>
      </c>
      <c r="U52" s="195"/>
      <c r="V52" s="197">
        <f t="shared" si="5"/>
        <v>0</v>
      </c>
      <c r="W52" s="195"/>
      <c r="X52" s="197">
        <f t="shared" si="6"/>
        <v>0</v>
      </c>
      <c r="Y52" s="195"/>
    </row>
    <row r="53" spans="1:25" x14ac:dyDescent="0.2">
      <c r="A53" s="195"/>
      <c r="B53" s="195"/>
      <c r="C53" s="195"/>
      <c r="D53" s="195"/>
      <c r="E53" s="195"/>
      <c r="F53" s="195"/>
      <c r="G53" s="195"/>
      <c r="H53" s="197">
        <f t="shared" si="8"/>
        <v>0</v>
      </c>
      <c r="I53" s="195"/>
      <c r="J53" s="197">
        <f t="shared" si="8"/>
        <v>0</v>
      </c>
      <c r="K53" s="195"/>
      <c r="L53" s="197">
        <f t="shared" si="1"/>
        <v>0</v>
      </c>
      <c r="M53" s="195"/>
      <c r="N53" s="197">
        <f t="shared" si="2"/>
        <v>0</v>
      </c>
      <c r="O53" s="195"/>
      <c r="Q53" s="195"/>
      <c r="R53" s="197">
        <f t="shared" si="3"/>
        <v>0</v>
      </c>
      <c r="S53" s="195"/>
      <c r="T53" s="197">
        <f t="shared" si="4"/>
        <v>0</v>
      </c>
      <c r="U53" s="195"/>
      <c r="V53" s="197">
        <f t="shared" si="5"/>
        <v>0</v>
      </c>
      <c r="W53" s="195"/>
      <c r="X53" s="197">
        <f t="shared" si="6"/>
        <v>0</v>
      </c>
      <c r="Y53" s="195"/>
    </row>
    <row r="54" spans="1:25" x14ac:dyDescent="0.2">
      <c r="A54" s="195"/>
      <c r="B54" s="195"/>
      <c r="C54" s="195"/>
      <c r="D54" s="195"/>
      <c r="E54" s="195"/>
      <c r="F54" s="195"/>
      <c r="G54" s="195"/>
      <c r="H54" s="197">
        <f t="shared" si="8"/>
        <v>0</v>
      </c>
      <c r="I54" s="195"/>
      <c r="J54" s="197">
        <f t="shared" si="8"/>
        <v>0</v>
      </c>
      <c r="K54" s="195"/>
      <c r="L54" s="197">
        <f t="shared" si="1"/>
        <v>0</v>
      </c>
      <c r="M54" s="195"/>
      <c r="N54" s="197">
        <f t="shared" si="2"/>
        <v>0</v>
      </c>
      <c r="O54" s="195"/>
      <c r="Q54" s="195"/>
      <c r="R54" s="197">
        <f t="shared" si="3"/>
        <v>0</v>
      </c>
      <c r="S54" s="195"/>
      <c r="T54" s="197">
        <f t="shared" si="4"/>
        <v>0</v>
      </c>
      <c r="U54" s="195"/>
      <c r="V54" s="197">
        <f t="shared" si="5"/>
        <v>0</v>
      </c>
      <c r="W54" s="195"/>
      <c r="X54" s="197">
        <f t="shared" si="6"/>
        <v>0</v>
      </c>
      <c r="Y54" s="195"/>
    </row>
    <row r="55" spans="1:25" x14ac:dyDescent="0.2">
      <c r="A55" s="195"/>
      <c r="B55" s="195"/>
      <c r="C55" s="195"/>
      <c r="D55" s="195"/>
      <c r="E55" s="195"/>
      <c r="F55" s="195"/>
      <c r="G55" s="195"/>
      <c r="H55" s="197">
        <f t="shared" si="8"/>
        <v>0</v>
      </c>
      <c r="I55" s="195"/>
      <c r="J55" s="197">
        <f t="shared" si="8"/>
        <v>0</v>
      </c>
      <c r="K55" s="195"/>
      <c r="L55" s="197">
        <f t="shared" si="1"/>
        <v>0</v>
      </c>
      <c r="M55" s="195"/>
      <c r="N55" s="197">
        <f t="shared" si="2"/>
        <v>0</v>
      </c>
      <c r="O55" s="195"/>
      <c r="Q55" s="195"/>
      <c r="R55" s="197">
        <f t="shared" si="3"/>
        <v>0</v>
      </c>
      <c r="S55" s="195"/>
      <c r="T55" s="197">
        <f t="shared" si="4"/>
        <v>0</v>
      </c>
      <c r="U55" s="195"/>
      <c r="V55" s="197">
        <f t="shared" si="5"/>
        <v>0</v>
      </c>
      <c r="W55" s="195"/>
      <c r="X55" s="197">
        <f t="shared" si="6"/>
        <v>0</v>
      </c>
      <c r="Y55" s="195"/>
    </row>
    <row r="56" spans="1:25" x14ac:dyDescent="0.2">
      <c r="A56" s="195"/>
      <c r="B56" s="195"/>
      <c r="C56" s="195"/>
      <c r="D56" s="195"/>
      <c r="E56" s="195"/>
      <c r="F56" s="195"/>
      <c r="G56" s="195"/>
      <c r="H56" s="197">
        <f t="shared" si="8"/>
        <v>0</v>
      </c>
      <c r="I56" s="195"/>
      <c r="J56" s="197">
        <f t="shared" si="8"/>
        <v>0</v>
      </c>
      <c r="K56" s="195"/>
      <c r="L56" s="197">
        <f t="shared" si="1"/>
        <v>0</v>
      </c>
      <c r="M56" s="195"/>
      <c r="N56" s="197">
        <f t="shared" si="2"/>
        <v>0</v>
      </c>
      <c r="O56" s="195"/>
      <c r="Q56" s="195"/>
      <c r="R56" s="197">
        <f t="shared" si="3"/>
        <v>0</v>
      </c>
      <c r="S56" s="195"/>
      <c r="T56" s="197">
        <f t="shared" si="4"/>
        <v>0</v>
      </c>
      <c r="U56" s="195"/>
      <c r="V56" s="197">
        <f t="shared" si="5"/>
        <v>0</v>
      </c>
      <c r="W56" s="195"/>
      <c r="X56" s="197">
        <f t="shared" si="6"/>
        <v>0</v>
      </c>
      <c r="Y56" s="195"/>
    </row>
    <row r="57" spans="1:25" x14ac:dyDescent="0.2">
      <c r="A57" s="195"/>
      <c r="B57" s="195"/>
      <c r="C57" s="195"/>
      <c r="D57" s="195"/>
      <c r="E57" s="195"/>
      <c r="F57" s="195"/>
      <c r="G57" s="195"/>
      <c r="H57" s="197">
        <f t="shared" ref="H57:J58" si="9">IFERROR(G57/$F57%,0)</f>
        <v>0</v>
      </c>
      <c r="I57" s="195"/>
      <c r="J57" s="197">
        <f t="shared" si="9"/>
        <v>0</v>
      </c>
      <c r="K57" s="195"/>
      <c r="L57" s="197">
        <f t="shared" si="1"/>
        <v>0</v>
      </c>
      <c r="M57" s="195"/>
      <c r="N57" s="197">
        <f t="shared" si="2"/>
        <v>0</v>
      </c>
      <c r="O57" s="195"/>
      <c r="Q57" s="195"/>
      <c r="R57" s="197">
        <f t="shared" si="3"/>
        <v>0</v>
      </c>
      <c r="S57" s="195"/>
      <c r="T57" s="197">
        <f t="shared" si="4"/>
        <v>0</v>
      </c>
      <c r="U57" s="195"/>
      <c r="V57" s="197">
        <f t="shared" si="5"/>
        <v>0</v>
      </c>
      <c r="W57" s="195"/>
      <c r="X57" s="197">
        <f t="shared" si="6"/>
        <v>0</v>
      </c>
      <c r="Y57" s="195"/>
    </row>
    <row r="58" spans="1:25" x14ac:dyDescent="0.2">
      <c r="A58" s="195"/>
      <c r="B58" s="195"/>
      <c r="C58" s="195"/>
      <c r="D58" s="195"/>
      <c r="E58" s="195"/>
      <c r="F58" s="195"/>
      <c r="G58" s="195"/>
      <c r="H58" s="197">
        <f t="shared" si="9"/>
        <v>0</v>
      </c>
      <c r="I58" s="195"/>
      <c r="J58" s="197">
        <f t="shared" si="9"/>
        <v>0</v>
      </c>
      <c r="K58" s="195"/>
      <c r="L58" s="197">
        <f t="shared" si="1"/>
        <v>0</v>
      </c>
      <c r="M58" s="195"/>
      <c r="N58" s="197">
        <f t="shared" si="2"/>
        <v>0</v>
      </c>
      <c r="O58" s="195"/>
      <c r="Q58" s="195"/>
      <c r="R58" s="197">
        <f t="shared" si="3"/>
        <v>0</v>
      </c>
      <c r="S58" s="195"/>
      <c r="T58" s="197">
        <f t="shared" si="4"/>
        <v>0</v>
      </c>
      <c r="U58" s="195"/>
      <c r="V58" s="197">
        <f t="shared" si="5"/>
        <v>0</v>
      </c>
      <c r="W58" s="195"/>
      <c r="X58" s="197">
        <f t="shared" si="6"/>
        <v>0</v>
      </c>
      <c r="Y58" s="195"/>
    </row>
    <row r="59" spans="1:25" x14ac:dyDescent="0.2">
      <c r="A59" s="195"/>
      <c r="B59" s="195"/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Q59" s="195"/>
      <c r="R59" s="195"/>
      <c r="S59" s="195"/>
      <c r="T59" s="195"/>
      <c r="U59" s="195"/>
      <c r="V59" s="195"/>
      <c r="W59" s="195"/>
      <c r="X59" s="195"/>
      <c r="Y59" s="195"/>
    </row>
    <row r="60" spans="1:25" x14ac:dyDescent="0.2">
      <c r="A60" s="195"/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Q60" s="195"/>
      <c r="R60" s="195"/>
      <c r="S60" s="195"/>
      <c r="T60" s="195"/>
      <c r="U60" s="195"/>
      <c r="V60" s="195"/>
      <c r="W60" s="195"/>
      <c r="X60" s="195"/>
      <c r="Y60" s="195"/>
    </row>
    <row r="61" spans="1:25" x14ac:dyDescent="0.2">
      <c r="A61" s="195"/>
      <c r="B61" s="195"/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Q61" s="195"/>
      <c r="R61" s="195"/>
      <c r="S61" s="195"/>
      <c r="T61" s="195"/>
      <c r="U61" s="195"/>
      <c r="V61" s="195"/>
      <c r="W61" s="195"/>
      <c r="X61" s="195"/>
      <c r="Y61" s="195"/>
    </row>
    <row r="62" spans="1:25" x14ac:dyDescent="0.2">
      <c r="A62" s="195"/>
      <c r="B62" s="195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Q62" s="195"/>
      <c r="R62" s="195"/>
      <c r="S62" s="195"/>
      <c r="T62" s="195"/>
      <c r="U62" s="195"/>
      <c r="V62" s="195"/>
      <c r="W62" s="195"/>
      <c r="X62" s="195"/>
      <c r="Y62" s="195"/>
    </row>
    <row r="63" spans="1:25" x14ac:dyDescent="0.2">
      <c r="A63" s="195"/>
      <c r="B63" s="195"/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Q63" s="195"/>
      <c r="R63" s="195"/>
      <c r="S63" s="195"/>
      <c r="T63" s="195"/>
      <c r="U63" s="195"/>
      <c r="V63" s="195"/>
      <c r="W63" s="195"/>
      <c r="X63" s="195"/>
      <c r="Y63" s="195"/>
    </row>
    <row r="65" spans="2:18" x14ac:dyDescent="0.2">
      <c r="B65" s="415" t="s">
        <v>679</v>
      </c>
      <c r="C65" s="198" t="s">
        <v>685</v>
      </c>
      <c r="D65" s="199"/>
      <c r="E65" s="199"/>
      <c r="F65" s="199"/>
      <c r="G65" s="200"/>
      <c r="H65" s="201"/>
      <c r="Q65" s="200"/>
      <c r="R65" s="201"/>
    </row>
    <row r="66" spans="2:18" x14ac:dyDescent="0.2">
      <c r="B66" s="415"/>
      <c r="C66" s="416" t="s">
        <v>686</v>
      </c>
      <c r="D66" s="416"/>
      <c r="E66" s="417" t="s">
        <v>687</v>
      </c>
      <c r="F66" s="417"/>
    </row>
    <row r="67" spans="2:18" x14ac:dyDescent="0.2">
      <c r="B67" s="415"/>
      <c r="C67" s="202" t="s">
        <v>688</v>
      </c>
      <c r="D67" s="202" t="s">
        <v>617</v>
      </c>
      <c r="E67" s="202" t="s">
        <v>688</v>
      </c>
      <c r="F67" s="202" t="s">
        <v>617</v>
      </c>
    </row>
    <row r="68" spans="2:18" x14ac:dyDescent="0.2">
      <c r="B68" s="203">
        <v>1</v>
      </c>
      <c r="C68" s="204">
        <f>COUNTIFS($H$9:$H$63,"&lt;1",$F$9:$F$63,"&gt;0",$B$9:$B$63,$B68)</f>
        <v>0</v>
      </c>
      <c r="D68" s="204">
        <f>SUMIFS($D$9:$D$63,$F$9:$F$63,"&gt;0",$B$9:$B$63,$B68,$H$9:$H$63,"&lt;1")</f>
        <v>0</v>
      </c>
      <c r="E68" s="204">
        <f>COUNTIFS($H$9:$H$63,"&gt;0.999",$F$9:$F$63,"&gt;0",$B$9:$B$63,$B68)</f>
        <v>0</v>
      </c>
      <c r="F68" s="204">
        <f>SUMIFS($D$9:$D$63,$F$9:$F$63,"&gt;0",$B$9:$B$63,$B68,$H$9:$H$63,"&gt;0.999")</f>
        <v>0</v>
      </c>
    </row>
    <row r="69" spans="2:18" x14ac:dyDescent="0.2">
      <c r="B69" s="203">
        <f>B68+1</f>
        <v>2</v>
      </c>
      <c r="C69" s="204">
        <f>COUNTIFS($H$9:$H$63,"&lt;1",$F$9:$F$63,"&gt;0",$B$9:$B$63,$B69)</f>
        <v>0</v>
      </c>
      <c r="D69" s="204">
        <f>SUMIFS($D$9:$D$63,$F$9:$F$63,"&gt;0",$B$9:$B$63,$B69,$H$9:$H$63,"&lt;1")</f>
        <v>0</v>
      </c>
      <c r="E69" s="204">
        <f>COUNTIFS($H$9:$H$63,"&gt;0.999",$F$9:$F$63,"&gt;0",$B$9:$B$63,$B69)</f>
        <v>0</v>
      </c>
      <c r="F69" s="204">
        <f>SUMIFS($D$9:$D$63,$F$9:$F$63,"&gt;0",$B$9:$B$63,$B69,$H$9:$H$63,"&gt;0.999")</f>
        <v>0</v>
      </c>
    </row>
    <row r="70" spans="2:18" x14ac:dyDescent="0.2">
      <c r="B70" s="205" t="s">
        <v>579</v>
      </c>
      <c r="C70" s="206">
        <f t="shared" ref="C70:F70" si="10">SUM(C68:C69)</f>
        <v>0</v>
      </c>
      <c r="D70" s="206">
        <f t="shared" si="10"/>
        <v>0</v>
      </c>
      <c r="E70" s="206">
        <f t="shared" si="10"/>
        <v>0</v>
      </c>
      <c r="F70" s="206">
        <f t="shared" si="10"/>
        <v>0</v>
      </c>
    </row>
  </sheetData>
  <mergeCells count="31">
    <mergeCell ref="B65:B67"/>
    <mergeCell ref="C66:D66"/>
    <mergeCell ref="E66:F66"/>
    <mergeCell ref="K7:L7"/>
    <mergeCell ref="M7:N7"/>
    <mergeCell ref="A6:O6"/>
    <mergeCell ref="Q6:Y6"/>
    <mergeCell ref="A7:A8"/>
    <mergeCell ref="B7:B8"/>
    <mergeCell ref="C7:C8"/>
    <mergeCell ref="D7:D8"/>
    <mergeCell ref="E7:E8"/>
    <mergeCell ref="F7:F8"/>
    <mergeCell ref="G7:H7"/>
    <mergeCell ref="I7:J7"/>
    <mergeCell ref="W7:X7"/>
    <mergeCell ref="Y7:Y8"/>
    <mergeCell ref="O7:O8"/>
    <mergeCell ref="Q7:R7"/>
    <mergeCell ref="S7:T7"/>
    <mergeCell ref="U7:V7"/>
    <mergeCell ref="A1:B4"/>
    <mergeCell ref="C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AO28"/>
  <sheetViews>
    <sheetView workbookViewId="0">
      <selection activeCell="L17" sqref="L17"/>
    </sheetView>
  </sheetViews>
  <sheetFormatPr baseColWidth="10" defaultColWidth="8.83203125" defaultRowHeight="15" x14ac:dyDescent="0.2"/>
  <sheetData>
    <row r="1" spans="1:41" x14ac:dyDescent="0.2">
      <c r="A1" s="305" t="s">
        <v>446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</row>
    <row r="2" spans="1:41" x14ac:dyDescent="0.2">
      <c r="A2" s="305"/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  <c r="AA2" s="305"/>
      <c r="AB2" s="305"/>
      <c r="AC2" s="305"/>
      <c r="AD2" s="305"/>
      <c r="AE2" s="305"/>
      <c r="AF2" s="305"/>
      <c r="AG2" s="305"/>
      <c r="AH2" s="305"/>
      <c r="AI2" s="305"/>
      <c r="AJ2" s="305"/>
      <c r="AK2" s="305"/>
      <c r="AL2" s="305"/>
      <c r="AM2" s="305"/>
    </row>
    <row r="3" spans="1:41" x14ac:dyDescent="0.2">
      <c r="A3" s="1" t="s">
        <v>1</v>
      </c>
      <c r="B3" s="1"/>
      <c r="C3" s="1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4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41" ht="15" customHeight="1" x14ac:dyDescent="0.2">
      <c r="A5" s="306" t="s">
        <v>5</v>
      </c>
      <c r="B5" s="307" t="s">
        <v>439</v>
      </c>
      <c r="C5" s="306" t="s">
        <v>453</v>
      </c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306"/>
      <c r="T5" s="306"/>
      <c r="U5" s="306"/>
      <c r="V5" s="306"/>
      <c r="W5" s="306"/>
      <c r="X5" s="306"/>
      <c r="Y5" s="306"/>
      <c r="Z5" s="306"/>
      <c r="AA5" s="306"/>
      <c r="AB5" s="306"/>
      <c r="AC5" s="306"/>
      <c r="AD5" s="306"/>
      <c r="AE5" s="306"/>
      <c r="AF5" s="306"/>
      <c r="AG5" s="306"/>
      <c r="AH5" s="306"/>
      <c r="AI5" s="306"/>
      <c r="AJ5" s="306"/>
      <c r="AK5" s="306"/>
      <c r="AL5" s="306"/>
      <c r="AM5" s="306"/>
      <c r="AN5" s="306"/>
      <c r="AO5" s="306"/>
    </row>
    <row r="6" spans="1:41" ht="15" customHeight="1" x14ac:dyDescent="0.2">
      <c r="A6" s="306"/>
      <c r="B6" s="308"/>
      <c r="C6" s="306">
        <v>2025</v>
      </c>
      <c r="D6" s="306"/>
      <c r="E6" s="306"/>
      <c r="F6" s="306" t="s">
        <v>11</v>
      </c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W6" s="306"/>
      <c r="X6" s="306"/>
      <c r="Y6" s="306"/>
      <c r="Z6" s="306"/>
      <c r="AA6" s="306"/>
      <c r="AB6" s="306"/>
      <c r="AC6" s="306"/>
      <c r="AD6" s="306"/>
      <c r="AE6" s="306"/>
      <c r="AF6" s="306"/>
      <c r="AG6" s="306"/>
      <c r="AH6" s="306"/>
      <c r="AI6" s="306"/>
      <c r="AJ6" s="306"/>
      <c r="AK6" s="306"/>
      <c r="AL6" s="306"/>
      <c r="AM6" s="306"/>
      <c r="AN6" s="306"/>
      <c r="AO6" s="306"/>
    </row>
    <row r="7" spans="1:41" x14ac:dyDescent="0.2">
      <c r="A7" s="306"/>
      <c r="B7" s="308"/>
      <c r="C7" s="320" t="s">
        <v>12</v>
      </c>
      <c r="D7" s="320"/>
      <c r="E7" s="320"/>
      <c r="F7" s="306" t="s">
        <v>13</v>
      </c>
      <c r="G7" s="306"/>
      <c r="H7" s="306"/>
      <c r="I7" s="306" t="s">
        <v>14</v>
      </c>
      <c r="J7" s="306"/>
      <c r="K7" s="306"/>
      <c r="L7" s="306" t="s">
        <v>15</v>
      </c>
      <c r="M7" s="306"/>
      <c r="N7" s="306"/>
      <c r="O7" s="306" t="s">
        <v>16</v>
      </c>
      <c r="P7" s="306"/>
      <c r="Q7" s="306"/>
      <c r="R7" s="306" t="s">
        <v>17</v>
      </c>
      <c r="S7" s="306"/>
      <c r="T7" s="306"/>
      <c r="U7" s="306" t="s">
        <v>18</v>
      </c>
      <c r="V7" s="306"/>
      <c r="W7" s="306"/>
      <c r="X7" s="306" t="s">
        <v>19</v>
      </c>
      <c r="Y7" s="306"/>
      <c r="Z7" s="306"/>
      <c r="AA7" s="306" t="s">
        <v>20</v>
      </c>
      <c r="AB7" s="306"/>
      <c r="AC7" s="306"/>
      <c r="AD7" s="306" t="s">
        <v>21</v>
      </c>
      <c r="AE7" s="306"/>
      <c r="AF7" s="306"/>
      <c r="AG7" s="306" t="s">
        <v>22</v>
      </c>
      <c r="AH7" s="306"/>
      <c r="AI7" s="306"/>
      <c r="AJ7" s="306" t="s">
        <v>23</v>
      </c>
      <c r="AK7" s="306"/>
      <c r="AL7" s="306"/>
      <c r="AM7" s="306" t="s">
        <v>24</v>
      </c>
      <c r="AN7" s="306"/>
      <c r="AO7" s="306"/>
    </row>
    <row r="8" spans="1:41" ht="48" x14ac:dyDescent="0.2">
      <c r="A8" s="306"/>
      <c r="B8" s="309"/>
      <c r="C8" s="11" t="s">
        <v>8</v>
      </c>
      <c r="D8" s="11" t="s">
        <v>454</v>
      </c>
      <c r="E8" s="11" t="s">
        <v>455</v>
      </c>
      <c r="F8" s="11" t="s">
        <v>8</v>
      </c>
      <c r="G8" s="11" t="s">
        <v>454</v>
      </c>
      <c r="H8" s="11" t="s">
        <v>455</v>
      </c>
      <c r="I8" s="11" t="s">
        <v>8</v>
      </c>
      <c r="J8" s="11" t="s">
        <v>454</v>
      </c>
      <c r="K8" s="11" t="s">
        <v>455</v>
      </c>
      <c r="L8" s="11" t="s">
        <v>8</v>
      </c>
      <c r="M8" s="11" t="s">
        <v>454</v>
      </c>
      <c r="N8" s="11" t="s">
        <v>455</v>
      </c>
      <c r="O8" s="11" t="s">
        <v>8</v>
      </c>
      <c r="P8" s="11" t="s">
        <v>454</v>
      </c>
      <c r="Q8" s="11" t="s">
        <v>455</v>
      </c>
      <c r="R8" s="11" t="s">
        <v>8</v>
      </c>
      <c r="S8" s="11" t="s">
        <v>454</v>
      </c>
      <c r="T8" s="11" t="s">
        <v>455</v>
      </c>
      <c r="U8" s="11" t="s">
        <v>8</v>
      </c>
      <c r="V8" s="11" t="s">
        <v>454</v>
      </c>
      <c r="W8" s="11" t="s">
        <v>455</v>
      </c>
      <c r="X8" s="11" t="s">
        <v>8</v>
      </c>
      <c r="Y8" s="11" t="s">
        <v>454</v>
      </c>
      <c r="Z8" s="11" t="s">
        <v>455</v>
      </c>
      <c r="AA8" s="11" t="s">
        <v>8</v>
      </c>
      <c r="AB8" s="11" t="s">
        <v>454</v>
      </c>
      <c r="AC8" s="11" t="s">
        <v>455</v>
      </c>
      <c r="AD8" s="11" t="s">
        <v>8</v>
      </c>
      <c r="AE8" s="11" t="s">
        <v>454</v>
      </c>
      <c r="AF8" s="11" t="s">
        <v>455</v>
      </c>
      <c r="AG8" s="11" t="s">
        <v>8</v>
      </c>
      <c r="AH8" s="11" t="s">
        <v>454</v>
      </c>
      <c r="AI8" s="11" t="s">
        <v>455</v>
      </c>
      <c r="AJ8" s="11" t="s">
        <v>8</v>
      </c>
      <c r="AK8" s="11" t="s">
        <v>454</v>
      </c>
      <c r="AL8" s="11" t="s">
        <v>455</v>
      </c>
      <c r="AM8" s="11" t="s">
        <v>8</v>
      </c>
      <c r="AN8" s="11" t="s">
        <v>454</v>
      </c>
      <c r="AO8" s="11" t="s">
        <v>455</v>
      </c>
    </row>
    <row r="9" spans="1:41" x14ac:dyDescent="0.2">
      <c r="A9" s="319">
        <v>1</v>
      </c>
      <c r="B9" s="18" t="s">
        <v>448</v>
      </c>
      <c r="C9" s="14"/>
      <c r="D9" s="14"/>
      <c r="E9" s="14"/>
      <c r="F9" s="14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</row>
    <row r="10" spans="1:41" x14ac:dyDescent="0.2">
      <c r="A10" s="319"/>
      <c r="B10" s="19" t="s">
        <v>449</v>
      </c>
      <c r="C10" s="14"/>
      <c r="D10" s="14"/>
      <c r="E10" s="14"/>
      <c r="F10" s="14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</row>
    <row r="11" spans="1:41" x14ac:dyDescent="0.2">
      <c r="A11" s="319">
        <v>2</v>
      </c>
      <c r="B11" s="18" t="s">
        <v>448</v>
      </c>
      <c r="C11" s="14"/>
      <c r="D11" s="14"/>
      <c r="E11" s="14"/>
      <c r="F11" s="14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</row>
    <row r="12" spans="1:41" x14ac:dyDescent="0.2">
      <c r="A12" s="319"/>
      <c r="B12" s="19" t="s">
        <v>449</v>
      </c>
      <c r="C12" s="14"/>
      <c r="D12" s="14"/>
      <c r="E12" s="14"/>
      <c r="F12" s="14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</row>
    <row r="13" spans="1:41" x14ac:dyDescent="0.2">
      <c r="A13" s="319">
        <v>3</v>
      </c>
      <c r="B13" s="18" t="s">
        <v>448</v>
      </c>
      <c r="C13" s="14"/>
      <c r="D13" s="14"/>
      <c r="E13" s="14"/>
      <c r="F13" s="14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</row>
    <row r="14" spans="1:41" x14ac:dyDescent="0.2">
      <c r="A14" s="319"/>
      <c r="B14" s="19" t="s">
        <v>449</v>
      </c>
      <c r="C14" s="14"/>
      <c r="D14" s="14"/>
      <c r="E14" s="14"/>
      <c r="F14" s="14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</row>
    <row r="15" spans="1:41" x14ac:dyDescent="0.2">
      <c r="A15" s="319">
        <v>4</v>
      </c>
      <c r="B15" s="18" t="s">
        <v>448</v>
      </c>
      <c r="C15" s="14"/>
      <c r="D15" s="14"/>
      <c r="E15" s="14"/>
      <c r="F15" s="14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</row>
    <row r="16" spans="1:41" x14ac:dyDescent="0.2">
      <c r="A16" s="319"/>
      <c r="B16" s="19" t="s">
        <v>449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</row>
    <row r="17" spans="1:41" x14ac:dyDescent="0.2">
      <c r="A17" s="319">
        <v>5</v>
      </c>
      <c r="B17" s="18" t="s">
        <v>448</v>
      </c>
      <c r="C17" s="14"/>
      <c r="D17" s="14"/>
      <c r="E17" s="14"/>
      <c r="F17" s="14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</row>
    <row r="18" spans="1:41" x14ac:dyDescent="0.2">
      <c r="A18" s="319"/>
      <c r="B18" s="19" t="s">
        <v>449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</row>
    <row r="19" spans="1:41" x14ac:dyDescent="0.2">
      <c r="A19" s="319">
        <v>6</v>
      </c>
      <c r="B19" s="18" t="s">
        <v>448</v>
      </c>
      <c r="C19" s="14"/>
      <c r="D19" s="14"/>
      <c r="E19" s="14"/>
      <c r="F19" s="14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</row>
    <row r="20" spans="1:41" x14ac:dyDescent="0.2">
      <c r="A20" s="319"/>
      <c r="B20" s="19" t="s">
        <v>449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</row>
    <row r="21" spans="1:41" x14ac:dyDescent="0.2">
      <c r="A21" s="319">
        <v>7</v>
      </c>
      <c r="B21" s="18" t="s">
        <v>448</v>
      </c>
      <c r="C21" s="14"/>
      <c r="D21" s="14"/>
      <c r="E21" s="14"/>
      <c r="F21" s="14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</row>
    <row r="22" spans="1:41" x14ac:dyDescent="0.2">
      <c r="A22" s="319"/>
      <c r="B22" s="19" t="s">
        <v>449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</row>
    <row r="23" spans="1:41" x14ac:dyDescent="0.2">
      <c r="A23" s="319">
        <v>8</v>
      </c>
      <c r="B23" s="18" t="s">
        <v>448</v>
      </c>
      <c r="C23" s="14"/>
      <c r="D23" s="14"/>
      <c r="E23" s="14"/>
      <c r="F23" s="14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</row>
    <row r="24" spans="1:41" x14ac:dyDescent="0.2">
      <c r="A24" s="319"/>
      <c r="B24" s="19" t="s">
        <v>449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</row>
    <row r="25" spans="1:41" x14ac:dyDescent="0.2">
      <c r="A25" s="319">
        <v>9</v>
      </c>
      <c r="B25" s="18" t="s">
        <v>448</v>
      </c>
      <c r="C25" s="14"/>
      <c r="D25" s="14"/>
      <c r="E25" s="14"/>
      <c r="F25" s="14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</row>
    <row r="26" spans="1:41" x14ac:dyDescent="0.2">
      <c r="A26" s="319"/>
      <c r="B26" s="19" t="s">
        <v>449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</row>
    <row r="27" spans="1:41" x14ac:dyDescent="0.2">
      <c r="A27" s="319">
        <v>10</v>
      </c>
      <c r="B27" s="18" t="s">
        <v>448</v>
      </c>
      <c r="C27" s="14"/>
      <c r="D27" s="14"/>
      <c r="E27" s="14"/>
      <c r="F27" s="14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</row>
    <row r="28" spans="1:41" x14ac:dyDescent="0.2">
      <c r="A28" s="319"/>
      <c r="B28" s="19" t="s">
        <v>449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</row>
  </sheetData>
  <mergeCells count="29">
    <mergeCell ref="A27:A28"/>
    <mergeCell ref="A17:A18"/>
    <mergeCell ref="A19:A20"/>
    <mergeCell ref="A21:A22"/>
    <mergeCell ref="A23:A24"/>
    <mergeCell ref="A25:A26"/>
    <mergeCell ref="A15:A16"/>
    <mergeCell ref="AG7:AI7"/>
    <mergeCell ref="AJ7:AL7"/>
    <mergeCell ref="AM7:AO7"/>
    <mergeCell ref="A9:A10"/>
    <mergeCell ref="A11:A12"/>
    <mergeCell ref="A13:A14"/>
    <mergeCell ref="O7:Q7"/>
    <mergeCell ref="R7:T7"/>
    <mergeCell ref="U7:W7"/>
    <mergeCell ref="X7:Z7"/>
    <mergeCell ref="AA7:AC7"/>
    <mergeCell ref="AD7:AF7"/>
    <mergeCell ref="A1:AM2"/>
    <mergeCell ref="A5:A8"/>
    <mergeCell ref="B5:B8"/>
    <mergeCell ref="C5:AO5"/>
    <mergeCell ref="C6:E6"/>
    <mergeCell ref="F6:AO6"/>
    <mergeCell ref="C7:E7"/>
    <mergeCell ref="F7:H7"/>
    <mergeCell ref="I7:K7"/>
    <mergeCell ref="L7:N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B1:AH72"/>
  <sheetViews>
    <sheetView showGridLines="0" zoomScale="66" zoomScaleNormal="66" workbookViewId="0">
      <pane xSplit="4" ySplit="8" topLeftCell="E9" activePane="bottomRight" state="frozen"/>
      <selection activeCell="CP30" sqref="CP30"/>
      <selection pane="topRight" activeCell="CP30" sqref="CP30"/>
      <selection pane="bottomLeft" activeCell="CP30" sqref="CP30"/>
      <selection pane="bottomRight" activeCell="S20" sqref="S20"/>
    </sheetView>
  </sheetViews>
  <sheetFormatPr baseColWidth="10" defaultColWidth="10" defaultRowHeight="15" x14ac:dyDescent="0.2"/>
  <cols>
    <col min="1" max="1" width="1.5" style="177" customWidth="1"/>
    <col min="2" max="3" width="10" style="177"/>
    <col min="4" max="4" width="12.33203125" style="177" hidden="1" customWidth="1"/>
    <col min="5" max="6" width="9.83203125" style="177" customWidth="1"/>
    <col min="7" max="7" width="8.5" style="177" customWidth="1"/>
    <col min="8" max="34" width="7.33203125" style="177" customWidth="1"/>
    <col min="35" max="279" width="10" style="177"/>
    <col min="280" max="280" width="12.33203125" style="177" customWidth="1"/>
    <col min="281" max="282" width="9.83203125" style="177" customWidth="1"/>
    <col min="283" max="284" width="10.83203125" style="177" customWidth="1"/>
    <col min="285" max="535" width="10" style="177"/>
    <col min="536" max="536" width="12.33203125" style="177" customWidth="1"/>
    <col min="537" max="538" width="9.83203125" style="177" customWidth="1"/>
    <col min="539" max="540" width="10.83203125" style="177" customWidth="1"/>
    <col min="541" max="791" width="10" style="177"/>
    <col min="792" max="792" width="12.33203125" style="177" customWidth="1"/>
    <col min="793" max="794" width="9.83203125" style="177" customWidth="1"/>
    <col min="795" max="796" width="10.83203125" style="177" customWidth="1"/>
    <col min="797" max="1047" width="10" style="177"/>
    <col min="1048" max="1048" width="12.33203125" style="177" customWidth="1"/>
    <col min="1049" max="1050" width="9.83203125" style="177" customWidth="1"/>
    <col min="1051" max="1052" width="10.83203125" style="177" customWidth="1"/>
    <col min="1053" max="1303" width="10" style="177"/>
    <col min="1304" max="1304" width="12.33203125" style="177" customWidth="1"/>
    <col min="1305" max="1306" width="9.83203125" style="177" customWidth="1"/>
    <col min="1307" max="1308" width="10.83203125" style="177" customWidth="1"/>
    <col min="1309" max="1559" width="10" style="177"/>
    <col min="1560" max="1560" width="12.33203125" style="177" customWidth="1"/>
    <col min="1561" max="1562" width="9.83203125" style="177" customWidth="1"/>
    <col min="1563" max="1564" width="10.83203125" style="177" customWidth="1"/>
    <col min="1565" max="1815" width="10" style="177"/>
    <col min="1816" max="1816" width="12.33203125" style="177" customWidth="1"/>
    <col min="1817" max="1818" width="9.83203125" style="177" customWidth="1"/>
    <col min="1819" max="1820" width="10.83203125" style="177" customWidth="1"/>
    <col min="1821" max="2071" width="10" style="177"/>
    <col min="2072" max="2072" width="12.33203125" style="177" customWidth="1"/>
    <col min="2073" max="2074" width="9.83203125" style="177" customWidth="1"/>
    <col min="2075" max="2076" width="10.83203125" style="177" customWidth="1"/>
    <col min="2077" max="2327" width="10" style="177"/>
    <col min="2328" max="2328" width="12.33203125" style="177" customWidth="1"/>
    <col min="2329" max="2330" width="9.83203125" style="177" customWidth="1"/>
    <col min="2331" max="2332" width="10.83203125" style="177" customWidth="1"/>
    <col min="2333" max="2583" width="10" style="177"/>
    <col min="2584" max="2584" width="12.33203125" style="177" customWidth="1"/>
    <col min="2585" max="2586" width="9.83203125" style="177" customWidth="1"/>
    <col min="2587" max="2588" width="10.83203125" style="177" customWidth="1"/>
    <col min="2589" max="2839" width="10" style="177"/>
    <col min="2840" max="2840" width="12.33203125" style="177" customWidth="1"/>
    <col min="2841" max="2842" width="9.83203125" style="177" customWidth="1"/>
    <col min="2843" max="2844" width="10.83203125" style="177" customWidth="1"/>
    <col min="2845" max="3095" width="10" style="177"/>
    <col min="3096" max="3096" width="12.33203125" style="177" customWidth="1"/>
    <col min="3097" max="3098" width="9.83203125" style="177" customWidth="1"/>
    <col min="3099" max="3100" width="10.83203125" style="177" customWidth="1"/>
    <col min="3101" max="3351" width="10" style="177"/>
    <col min="3352" max="3352" width="12.33203125" style="177" customWidth="1"/>
    <col min="3353" max="3354" width="9.83203125" style="177" customWidth="1"/>
    <col min="3355" max="3356" width="10.83203125" style="177" customWidth="1"/>
    <col min="3357" max="3607" width="10" style="177"/>
    <col min="3608" max="3608" width="12.33203125" style="177" customWidth="1"/>
    <col min="3609" max="3610" width="9.83203125" style="177" customWidth="1"/>
    <col min="3611" max="3612" width="10.83203125" style="177" customWidth="1"/>
    <col min="3613" max="3863" width="10" style="177"/>
    <col min="3864" max="3864" width="12.33203125" style="177" customWidth="1"/>
    <col min="3865" max="3866" width="9.83203125" style="177" customWidth="1"/>
    <col min="3867" max="3868" width="10.83203125" style="177" customWidth="1"/>
    <col min="3869" max="4119" width="10" style="177"/>
    <col min="4120" max="4120" width="12.33203125" style="177" customWidth="1"/>
    <col min="4121" max="4122" width="9.83203125" style="177" customWidth="1"/>
    <col min="4123" max="4124" width="10.83203125" style="177" customWidth="1"/>
    <col min="4125" max="4375" width="10" style="177"/>
    <col min="4376" max="4376" width="12.33203125" style="177" customWidth="1"/>
    <col min="4377" max="4378" width="9.83203125" style="177" customWidth="1"/>
    <col min="4379" max="4380" width="10.83203125" style="177" customWidth="1"/>
    <col min="4381" max="4631" width="10" style="177"/>
    <col min="4632" max="4632" width="12.33203125" style="177" customWidth="1"/>
    <col min="4633" max="4634" width="9.83203125" style="177" customWidth="1"/>
    <col min="4635" max="4636" width="10.83203125" style="177" customWidth="1"/>
    <col min="4637" max="4887" width="10" style="177"/>
    <col min="4888" max="4888" width="12.33203125" style="177" customWidth="1"/>
    <col min="4889" max="4890" width="9.83203125" style="177" customWidth="1"/>
    <col min="4891" max="4892" width="10.83203125" style="177" customWidth="1"/>
    <col min="4893" max="5143" width="10" style="177"/>
    <col min="5144" max="5144" width="12.33203125" style="177" customWidth="1"/>
    <col min="5145" max="5146" width="9.83203125" style="177" customWidth="1"/>
    <col min="5147" max="5148" width="10.83203125" style="177" customWidth="1"/>
    <col min="5149" max="5399" width="10" style="177"/>
    <col min="5400" max="5400" width="12.33203125" style="177" customWidth="1"/>
    <col min="5401" max="5402" width="9.83203125" style="177" customWidth="1"/>
    <col min="5403" max="5404" width="10.83203125" style="177" customWidth="1"/>
    <col min="5405" max="5655" width="10" style="177"/>
    <col min="5656" max="5656" width="12.33203125" style="177" customWidth="1"/>
    <col min="5657" max="5658" width="9.83203125" style="177" customWidth="1"/>
    <col min="5659" max="5660" width="10.83203125" style="177" customWidth="1"/>
    <col min="5661" max="5911" width="10" style="177"/>
    <col min="5912" max="5912" width="12.33203125" style="177" customWidth="1"/>
    <col min="5913" max="5914" width="9.83203125" style="177" customWidth="1"/>
    <col min="5915" max="5916" width="10.83203125" style="177" customWidth="1"/>
    <col min="5917" max="6167" width="10" style="177"/>
    <col min="6168" max="6168" width="12.33203125" style="177" customWidth="1"/>
    <col min="6169" max="6170" width="9.83203125" style="177" customWidth="1"/>
    <col min="6171" max="6172" width="10.83203125" style="177" customWidth="1"/>
    <col min="6173" max="6423" width="10" style="177"/>
    <col min="6424" max="6424" width="12.33203125" style="177" customWidth="1"/>
    <col min="6425" max="6426" width="9.83203125" style="177" customWidth="1"/>
    <col min="6427" max="6428" width="10.83203125" style="177" customWidth="1"/>
    <col min="6429" max="6679" width="10" style="177"/>
    <col min="6680" max="6680" width="12.33203125" style="177" customWidth="1"/>
    <col min="6681" max="6682" width="9.83203125" style="177" customWidth="1"/>
    <col min="6683" max="6684" width="10.83203125" style="177" customWidth="1"/>
    <col min="6685" max="6935" width="10" style="177"/>
    <col min="6936" max="6936" width="12.33203125" style="177" customWidth="1"/>
    <col min="6937" max="6938" width="9.83203125" style="177" customWidth="1"/>
    <col min="6939" max="6940" width="10.83203125" style="177" customWidth="1"/>
    <col min="6941" max="7191" width="10" style="177"/>
    <col min="7192" max="7192" width="12.33203125" style="177" customWidth="1"/>
    <col min="7193" max="7194" width="9.83203125" style="177" customWidth="1"/>
    <col min="7195" max="7196" width="10.83203125" style="177" customWidth="1"/>
    <col min="7197" max="7447" width="10" style="177"/>
    <col min="7448" max="7448" width="12.33203125" style="177" customWidth="1"/>
    <col min="7449" max="7450" width="9.83203125" style="177" customWidth="1"/>
    <col min="7451" max="7452" width="10.83203125" style="177" customWidth="1"/>
    <col min="7453" max="7703" width="10" style="177"/>
    <col min="7704" max="7704" width="12.33203125" style="177" customWidth="1"/>
    <col min="7705" max="7706" width="9.83203125" style="177" customWidth="1"/>
    <col min="7707" max="7708" width="10.83203125" style="177" customWidth="1"/>
    <col min="7709" max="7959" width="10" style="177"/>
    <col min="7960" max="7960" width="12.33203125" style="177" customWidth="1"/>
    <col min="7961" max="7962" width="9.83203125" style="177" customWidth="1"/>
    <col min="7963" max="7964" width="10.83203125" style="177" customWidth="1"/>
    <col min="7965" max="8215" width="10" style="177"/>
    <col min="8216" max="8216" width="12.33203125" style="177" customWidth="1"/>
    <col min="8217" max="8218" width="9.83203125" style="177" customWidth="1"/>
    <col min="8219" max="8220" width="10.83203125" style="177" customWidth="1"/>
    <col min="8221" max="8471" width="10" style="177"/>
    <col min="8472" max="8472" width="12.33203125" style="177" customWidth="1"/>
    <col min="8473" max="8474" width="9.83203125" style="177" customWidth="1"/>
    <col min="8475" max="8476" width="10.83203125" style="177" customWidth="1"/>
    <col min="8477" max="8727" width="10" style="177"/>
    <col min="8728" max="8728" width="12.33203125" style="177" customWidth="1"/>
    <col min="8729" max="8730" width="9.83203125" style="177" customWidth="1"/>
    <col min="8731" max="8732" width="10.83203125" style="177" customWidth="1"/>
    <col min="8733" max="8983" width="10" style="177"/>
    <col min="8984" max="8984" width="12.33203125" style="177" customWidth="1"/>
    <col min="8985" max="8986" width="9.83203125" style="177" customWidth="1"/>
    <col min="8987" max="8988" width="10.83203125" style="177" customWidth="1"/>
    <col min="8989" max="9239" width="10" style="177"/>
    <col min="9240" max="9240" width="12.33203125" style="177" customWidth="1"/>
    <col min="9241" max="9242" width="9.83203125" style="177" customWidth="1"/>
    <col min="9243" max="9244" width="10.83203125" style="177" customWidth="1"/>
    <col min="9245" max="9495" width="10" style="177"/>
    <col min="9496" max="9496" width="12.33203125" style="177" customWidth="1"/>
    <col min="9497" max="9498" width="9.83203125" style="177" customWidth="1"/>
    <col min="9499" max="9500" width="10.83203125" style="177" customWidth="1"/>
    <col min="9501" max="9751" width="10" style="177"/>
    <col min="9752" max="9752" width="12.33203125" style="177" customWidth="1"/>
    <col min="9753" max="9754" width="9.83203125" style="177" customWidth="1"/>
    <col min="9755" max="9756" width="10.83203125" style="177" customWidth="1"/>
    <col min="9757" max="10007" width="10" style="177"/>
    <col min="10008" max="10008" width="12.33203125" style="177" customWidth="1"/>
    <col min="10009" max="10010" width="9.83203125" style="177" customWidth="1"/>
    <col min="10011" max="10012" width="10.83203125" style="177" customWidth="1"/>
    <col min="10013" max="10263" width="10" style="177"/>
    <col min="10264" max="10264" width="12.33203125" style="177" customWidth="1"/>
    <col min="10265" max="10266" width="9.83203125" style="177" customWidth="1"/>
    <col min="10267" max="10268" width="10.83203125" style="177" customWidth="1"/>
    <col min="10269" max="10519" width="10" style="177"/>
    <col min="10520" max="10520" width="12.33203125" style="177" customWidth="1"/>
    <col min="10521" max="10522" width="9.83203125" style="177" customWidth="1"/>
    <col min="10523" max="10524" width="10.83203125" style="177" customWidth="1"/>
    <col min="10525" max="10775" width="10" style="177"/>
    <col min="10776" max="10776" width="12.33203125" style="177" customWidth="1"/>
    <col min="10777" max="10778" width="9.83203125" style="177" customWidth="1"/>
    <col min="10779" max="10780" width="10.83203125" style="177" customWidth="1"/>
    <col min="10781" max="11031" width="10" style="177"/>
    <col min="11032" max="11032" width="12.33203125" style="177" customWidth="1"/>
    <col min="11033" max="11034" width="9.83203125" style="177" customWidth="1"/>
    <col min="11035" max="11036" width="10.83203125" style="177" customWidth="1"/>
    <col min="11037" max="11287" width="10" style="177"/>
    <col min="11288" max="11288" width="12.33203125" style="177" customWidth="1"/>
    <col min="11289" max="11290" width="9.83203125" style="177" customWidth="1"/>
    <col min="11291" max="11292" width="10.83203125" style="177" customWidth="1"/>
    <col min="11293" max="11543" width="10" style="177"/>
    <col min="11544" max="11544" width="12.33203125" style="177" customWidth="1"/>
    <col min="11545" max="11546" width="9.83203125" style="177" customWidth="1"/>
    <col min="11547" max="11548" width="10.83203125" style="177" customWidth="1"/>
    <col min="11549" max="11799" width="10" style="177"/>
    <col min="11800" max="11800" width="12.33203125" style="177" customWidth="1"/>
    <col min="11801" max="11802" width="9.83203125" style="177" customWidth="1"/>
    <col min="11803" max="11804" width="10.83203125" style="177" customWidth="1"/>
    <col min="11805" max="12055" width="10" style="177"/>
    <col min="12056" max="12056" width="12.33203125" style="177" customWidth="1"/>
    <col min="12057" max="12058" width="9.83203125" style="177" customWidth="1"/>
    <col min="12059" max="12060" width="10.83203125" style="177" customWidth="1"/>
    <col min="12061" max="12311" width="10" style="177"/>
    <col min="12312" max="12312" width="12.33203125" style="177" customWidth="1"/>
    <col min="12313" max="12314" width="9.83203125" style="177" customWidth="1"/>
    <col min="12315" max="12316" width="10.83203125" style="177" customWidth="1"/>
    <col min="12317" max="12567" width="10" style="177"/>
    <col min="12568" max="12568" width="12.33203125" style="177" customWidth="1"/>
    <col min="12569" max="12570" width="9.83203125" style="177" customWidth="1"/>
    <col min="12571" max="12572" width="10.83203125" style="177" customWidth="1"/>
    <col min="12573" max="12823" width="10" style="177"/>
    <col min="12824" max="12824" width="12.33203125" style="177" customWidth="1"/>
    <col min="12825" max="12826" width="9.83203125" style="177" customWidth="1"/>
    <col min="12827" max="12828" width="10.83203125" style="177" customWidth="1"/>
    <col min="12829" max="13079" width="10" style="177"/>
    <col min="13080" max="13080" width="12.33203125" style="177" customWidth="1"/>
    <col min="13081" max="13082" width="9.83203125" style="177" customWidth="1"/>
    <col min="13083" max="13084" width="10.83203125" style="177" customWidth="1"/>
    <col min="13085" max="13335" width="10" style="177"/>
    <col min="13336" max="13336" width="12.33203125" style="177" customWidth="1"/>
    <col min="13337" max="13338" width="9.83203125" style="177" customWidth="1"/>
    <col min="13339" max="13340" width="10.83203125" style="177" customWidth="1"/>
    <col min="13341" max="13591" width="10" style="177"/>
    <col min="13592" max="13592" width="12.33203125" style="177" customWidth="1"/>
    <col min="13593" max="13594" width="9.83203125" style="177" customWidth="1"/>
    <col min="13595" max="13596" width="10.83203125" style="177" customWidth="1"/>
    <col min="13597" max="13847" width="10" style="177"/>
    <col min="13848" max="13848" width="12.33203125" style="177" customWidth="1"/>
    <col min="13849" max="13850" width="9.83203125" style="177" customWidth="1"/>
    <col min="13851" max="13852" width="10.83203125" style="177" customWidth="1"/>
    <col min="13853" max="14103" width="10" style="177"/>
    <col min="14104" max="14104" width="12.33203125" style="177" customWidth="1"/>
    <col min="14105" max="14106" width="9.83203125" style="177" customWidth="1"/>
    <col min="14107" max="14108" width="10.83203125" style="177" customWidth="1"/>
    <col min="14109" max="14359" width="10" style="177"/>
    <col min="14360" max="14360" width="12.33203125" style="177" customWidth="1"/>
    <col min="14361" max="14362" width="9.83203125" style="177" customWidth="1"/>
    <col min="14363" max="14364" width="10.83203125" style="177" customWidth="1"/>
    <col min="14365" max="14615" width="10" style="177"/>
    <col min="14616" max="14616" width="12.33203125" style="177" customWidth="1"/>
    <col min="14617" max="14618" width="9.83203125" style="177" customWidth="1"/>
    <col min="14619" max="14620" width="10.83203125" style="177" customWidth="1"/>
    <col min="14621" max="14871" width="10" style="177"/>
    <col min="14872" max="14872" width="12.33203125" style="177" customWidth="1"/>
    <col min="14873" max="14874" width="9.83203125" style="177" customWidth="1"/>
    <col min="14875" max="14876" width="10.83203125" style="177" customWidth="1"/>
    <col min="14877" max="15127" width="10" style="177"/>
    <col min="15128" max="15128" width="12.33203125" style="177" customWidth="1"/>
    <col min="15129" max="15130" width="9.83203125" style="177" customWidth="1"/>
    <col min="15131" max="15132" width="10.83203125" style="177" customWidth="1"/>
    <col min="15133" max="15383" width="10" style="177"/>
    <col min="15384" max="15384" width="12.33203125" style="177" customWidth="1"/>
    <col min="15385" max="15386" width="9.83203125" style="177" customWidth="1"/>
    <col min="15387" max="15388" width="10.83203125" style="177" customWidth="1"/>
    <col min="15389" max="15639" width="10" style="177"/>
    <col min="15640" max="15640" width="12.33203125" style="177" customWidth="1"/>
    <col min="15641" max="15642" width="9.83203125" style="177" customWidth="1"/>
    <col min="15643" max="15644" width="10.83203125" style="177" customWidth="1"/>
    <col min="15645" max="15895" width="10" style="177"/>
    <col min="15896" max="15896" width="12.33203125" style="177" customWidth="1"/>
    <col min="15897" max="15898" width="9.83203125" style="177" customWidth="1"/>
    <col min="15899" max="15900" width="10.83203125" style="177" customWidth="1"/>
    <col min="15901" max="16151" width="10" style="177"/>
    <col min="16152" max="16152" width="12.33203125" style="177" customWidth="1"/>
    <col min="16153" max="16154" width="9.83203125" style="177" customWidth="1"/>
    <col min="16155" max="16156" width="10.83203125" style="177" customWidth="1"/>
    <col min="16157" max="16384" width="10" style="177"/>
  </cols>
  <sheetData>
    <row r="1" spans="2:34" ht="15" customHeight="1" x14ac:dyDescent="0.2">
      <c r="B1" s="419" t="s">
        <v>600</v>
      </c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19"/>
      <c r="P1" s="419"/>
      <c r="Q1" s="419"/>
      <c r="R1" s="419"/>
      <c r="S1" s="419"/>
      <c r="T1" s="419"/>
      <c r="U1" s="419"/>
      <c r="V1" s="419"/>
      <c r="W1" s="419"/>
      <c r="X1" s="419"/>
      <c r="Y1" s="419"/>
      <c r="Z1" s="419"/>
      <c r="AA1" s="419"/>
      <c r="AB1" s="419"/>
      <c r="AC1" s="419"/>
      <c r="AD1" s="419"/>
      <c r="AE1" s="419"/>
      <c r="AF1" s="419"/>
      <c r="AG1" s="419"/>
      <c r="AH1" s="419"/>
    </row>
    <row r="2" spans="2:34" ht="15" customHeight="1" x14ac:dyDescent="0.2">
      <c r="B2" s="419"/>
      <c r="C2" s="419"/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</row>
    <row r="3" spans="2:34" x14ac:dyDescent="0.2">
      <c r="B3" s="178" t="s">
        <v>1</v>
      </c>
      <c r="C3" s="179" t="s">
        <v>689</v>
      </c>
      <c r="D3" s="179" t="s">
        <v>632</v>
      </c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</row>
    <row r="4" spans="2:34" x14ac:dyDescent="0.2"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</row>
    <row r="5" spans="2:34" ht="36" customHeight="1" x14ac:dyDescent="0.2">
      <c r="B5" s="420" t="s">
        <v>5</v>
      </c>
      <c r="C5" s="420" t="s">
        <v>6</v>
      </c>
      <c r="D5" s="421" t="s">
        <v>7</v>
      </c>
      <c r="E5" s="420" t="s">
        <v>8</v>
      </c>
      <c r="F5" s="424" t="s">
        <v>9</v>
      </c>
      <c r="G5" s="427" t="s">
        <v>572</v>
      </c>
      <c r="H5" s="428"/>
      <c r="I5" s="427" t="s">
        <v>633</v>
      </c>
      <c r="J5" s="431"/>
      <c r="K5" s="433" t="s">
        <v>634</v>
      </c>
      <c r="L5" s="434"/>
      <c r="M5" s="434"/>
      <c r="N5" s="434"/>
      <c r="O5" s="434"/>
      <c r="P5" s="434"/>
      <c r="Q5" s="434"/>
      <c r="R5" s="434"/>
      <c r="S5" s="434"/>
      <c r="T5" s="434"/>
      <c r="U5" s="434"/>
      <c r="V5" s="434"/>
      <c r="W5" s="434"/>
      <c r="X5" s="434"/>
      <c r="Y5" s="434"/>
      <c r="Z5" s="434"/>
      <c r="AA5" s="434"/>
      <c r="AB5" s="434"/>
      <c r="AC5" s="434"/>
      <c r="AD5" s="434"/>
      <c r="AE5" s="434"/>
      <c r="AF5" s="434"/>
      <c r="AG5" s="434"/>
      <c r="AH5" s="435"/>
    </row>
    <row r="6" spans="2:34" ht="36" customHeight="1" x14ac:dyDescent="0.2">
      <c r="B6" s="420"/>
      <c r="C6" s="420"/>
      <c r="D6" s="422"/>
      <c r="E6" s="420"/>
      <c r="F6" s="425"/>
      <c r="G6" s="429"/>
      <c r="H6" s="430"/>
      <c r="I6" s="429"/>
      <c r="J6" s="432"/>
      <c r="K6" s="436"/>
      <c r="L6" s="437"/>
      <c r="M6" s="437"/>
      <c r="N6" s="437"/>
      <c r="O6" s="437"/>
      <c r="P6" s="437"/>
      <c r="Q6" s="437"/>
      <c r="R6" s="437"/>
      <c r="S6" s="437"/>
      <c r="T6" s="437"/>
      <c r="U6" s="437"/>
      <c r="V6" s="437"/>
      <c r="W6" s="437"/>
      <c r="X6" s="437"/>
      <c r="Y6" s="437"/>
      <c r="Z6" s="437"/>
      <c r="AA6" s="437"/>
      <c r="AB6" s="437"/>
      <c r="AC6" s="437"/>
      <c r="AD6" s="437"/>
      <c r="AE6" s="437"/>
      <c r="AF6" s="437"/>
      <c r="AG6" s="437"/>
      <c r="AH6" s="438"/>
    </row>
    <row r="7" spans="2:34" ht="14.5" customHeight="1" x14ac:dyDescent="0.2">
      <c r="B7" s="420"/>
      <c r="C7" s="420"/>
      <c r="D7" s="422"/>
      <c r="E7" s="420"/>
      <c r="F7" s="425"/>
      <c r="G7" s="439" t="s">
        <v>635</v>
      </c>
      <c r="H7" s="439" t="s">
        <v>636</v>
      </c>
      <c r="I7" s="439" t="s">
        <v>635</v>
      </c>
      <c r="J7" s="439" t="s">
        <v>636</v>
      </c>
      <c r="K7" s="418" t="s">
        <v>13</v>
      </c>
      <c r="L7" s="418"/>
      <c r="M7" s="418" t="s">
        <v>14</v>
      </c>
      <c r="N7" s="418"/>
      <c r="O7" s="418" t="s">
        <v>15</v>
      </c>
      <c r="P7" s="418"/>
      <c r="Q7" s="418" t="s">
        <v>16</v>
      </c>
      <c r="R7" s="418"/>
      <c r="S7" s="418" t="s">
        <v>17</v>
      </c>
      <c r="T7" s="418"/>
      <c r="U7" s="418" t="s">
        <v>18</v>
      </c>
      <c r="V7" s="418"/>
      <c r="W7" s="418" t="s">
        <v>19</v>
      </c>
      <c r="X7" s="418"/>
      <c r="Y7" s="418" t="s">
        <v>20</v>
      </c>
      <c r="Z7" s="418"/>
      <c r="AA7" s="418" t="s">
        <v>21</v>
      </c>
      <c r="AB7" s="418"/>
      <c r="AC7" s="418" t="s">
        <v>22</v>
      </c>
      <c r="AD7" s="418"/>
      <c r="AE7" s="418" t="s">
        <v>23</v>
      </c>
      <c r="AF7" s="418"/>
      <c r="AG7" s="418" t="s">
        <v>24</v>
      </c>
      <c r="AH7" s="418"/>
    </row>
    <row r="8" spans="2:34" ht="16" x14ac:dyDescent="0.2">
      <c r="B8" s="420"/>
      <c r="C8" s="420"/>
      <c r="D8" s="423"/>
      <c r="E8" s="420"/>
      <c r="F8" s="426"/>
      <c r="G8" s="439"/>
      <c r="H8" s="439"/>
      <c r="I8" s="439"/>
      <c r="J8" s="439"/>
      <c r="K8" s="180" t="s">
        <v>635</v>
      </c>
      <c r="L8" s="180" t="s">
        <v>636</v>
      </c>
      <c r="M8" s="180" t="s">
        <v>635</v>
      </c>
      <c r="N8" s="180" t="s">
        <v>636</v>
      </c>
      <c r="O8" s="180" t="s">
        <v>635</v>
      </c>
      <c r="P8" s="180" t="s">
        <v>636</v>
      </c>
      <c r="Q8" s="180" t="s">
        <v>635</v>
      </c>
      <c r="R8" s="180" t="s">
        <v>636</v>
      </c>
      <c r="S8" s="180" t="s">
        <v>635</v>
      </c>
      <c r="T8" s="180" t="s">
        <v>636</v>
      </c>
      <c r="U8" s="180" t="s">
        <v>635</v>
      </c>
      <c r="V8" s="180" t="s">
        <v>636</v>
      </c>
      <c r="W8" s="180" t="s">
        <v>635</v>
      </c>
      <c r="X8" s="180" t="s">
        <v>636</v>
      </c>
      <c r="Y8" s="180" t="s">
        <v>635</v>
      </c>
      <c r="Z8" s="180" t="s">
        <v>636</v>
      </c>
      <c r="AA8" s="180" t="s">
        <v>635</v>
      </c>
      <c r="AB8" s="180" t="s">
        <v>636</v>
      </c>
      <c r="AC8" s="180" t="s">
        <v>635</v>
      </c>
      <c r="AD8" s="180" t="s">
        <v>636</v>
      </c>
      <c r="AE8" s="180" t="s">
        <v>635</v>
      </c>
      <c r="AF8" s="180" t="s">
        <v>636</v>
      </c>
      <c r="AG8" s="180" t="s">
        <v>635</v>
      </c>
      <c r="AH8" s="180" t="s">
        <v>636</v>
      </c>
    </row>
    <row r="9" spans="2:34" x14ac:dyDescent="0.2">
      <c r="B9" s="181"/>
      <c r="C9" s="181"/>
      <c r="D9" s="181"/>
      <c r="E9" s="182"/>
      <c r="F9" s="182"/>
      <c r="G9" s="183"/>
      <c r="H9" s="183"/>
      <c r="I9" s="183"/>
      <c r="J9" s="183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</row>
    <row r="10" spans="2:34" x14ac:dyDescent="0.2">
      <c r="B10" s="181"/>
      <c r="C10" s="181"/>
      <c r="D10" s="181"/>
      <c r="E10" s="182"/>
      <c r="F10" s="182"/>
      <c r="G10" s="183"/>
      <c r="H10" s="183"/>
      <c r="I10" s="183"/>
      <c r="J10" s="183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</row>
    <row r="11" spans="2:34" x14ac:dyDescent="0.2">
      <c r="B11" s="181"/>
      <c r="C11" s="181"/>
      <c r="D11" s="181"/>
      <c r="E11" s="182"/>
      <c r="F11" s="182"/>
      <c r="G11" s="183"/>
      <c r="H11" s="183"/>
      <c r="I11" s="183"/>
      <c r="J11" s="183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</row>
    <row r="12" spans="2:34" x14ac:dyDescent="0.2">
      <c r="B12" s="181"/>
      <c r="C12" s="181"/>
      <c r="D12" s="181"/>
      <c r="E12" s="182"/>
      <c r="F12" s="182"/>
      <c r="G12" s="183"/>
      <c r="H12" s="183"/>
      <c r="I12" s="183"/>
      <c r="J12" s="183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</row>
    <row r="13" spans="2:34" x14ac:dyDescent="0.2">
      <c r="B13" s="181"/>
      <c r="C13" s="181"/>
      <c r="D13" s="181"/>
      <c r="E13" s="182"/>
      <c r="F13" s="182"/>
      <c r="G13" s="183"/>
      <c r="H13" s="183"/>
      <c r="I13" s="183"/>
      <c r="J13" s="183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  <c r="AE13" s="184"/>
      <c r="AF13" s="184"/>
      <c r="AG13" s="184"/>
      <c r="AH13" s="184"/>
    </row>
    <row r="14" spans="2:34" x14ac:dyDescent="0.2">
      <c r="B14" s="181"/>
      <c r="C14" s="181"/>
      <c r="D14" s="181"/>
      <c r="E14" s="182"/>
      <c r="F14" s="182"/>
      <c r="G14" s="183"/>
      <c r="H14" s="183"/>
      <c r="I14" s="183"/>
      <c r="J14" s="183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</row>
    <row r="15" spans="2:34" x14ac:dyDescent="0.2">
      <c r="B15" s="181"/>
      <c r="C15" s="181"/>
      <c r="D15" s="181"/>
      <c r="E15" s="182"/>
      <c r="F15" s="182"/>
      <c r="G15" s="183"/>
      <c r="H15" s="183"/>
      <c r="I15" s="183"/>
      <c r="J15" s="183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184"/>
      <c r="AH15" s="184"/>
    </row>
    <row r="16" spans="2:34" x14ac:dyDescent="0.2">
      <c r="B16" s="181"/>
      <c r="C16" s="181"/>
      <c r="D16" s="181"/>
      <c r="E16" s="182"/>
      <c r="F16" s="182"/>
      <c r="G16" s="183"/>
      <c r="H16" s="183"/>
      <c r="I16" s="183"/>
      <c r="J16" s="183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</row>
    <row r="17" spans="2:34" x14ac:dyDescent="0.2">
      <c r="B17" s="181"/>
      <c r="C17" s="181"/>
      <c r="D17" s="181"/>
      <c r="E17" s="182"/>
      <c r="F17" s="182"/>
      <c r="G17" s="183"/>
      <c r="H17" s="183"/>
      <c r="I17" s="183"/>
      <c r="J17" s="183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</row>
    <row r="18" spans="2:34" x14ac:dyDescent="0.2">
      <c r="B18" s="181"/>
      <c r="C18" s="181"/>
      <c r="D18" s="181"/>
      <c r="E18" s="182"/>
      <c r="F18" s="182"/>
      <c r="G18" s="183"/>
      <c r="H18" s="183"/>
      <c r="I18" s="183"/>
      <c r="J18" s="183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</row>
    <row r="19" spans="2:34" x14ac:dyDescent="0.2">
      <c r="B19" s="181"/>
      <c r="C19" s="181"/>
      <c r="D19" s="181"/>
      <c r="E19" s="182"/>
      <c r="F19" s="182"/>
      <c r="G19" s="183"/>
      <c r="H19" s="183"/>
      <c r="I19" s="183"/>
      <c r="J19" s="183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</row>
    <row r="20" spans="2:34" x14ac:dyDescent="0.2">
      <c r="B20" s="181"/>
      <c r="C20" s="181"/>
      <c r="D20" s="181"/>
      <c r="E20" s="182"/>
      <c r="F20" s="182"/>
      <c r="G20" s="183"/>
      <c r="H20" s="183"/>
      <c r="I20" s="183"/>
      <c r="J20" s="183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</row>
    <row r="21" spans="2:34" x14ac:dyDescent="0.2">
      <c r="B21" s="181"/>
      <c r="C21" s="181"/>
      <c r="D21" s="181"/>
      <c r="E21" s="182"/>
      <c r="F21" s="182"/>
      <c r="G21" s="183"/>
      <c r="H21" s="183"/>
      <c r="I21" s="183"/>
      <c r="J21" s="183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</row>
    <row r="22" spans="2:34" x14ac:dyDescent="0.2">
      <c r="B22" s="181"/>
      <c r="C22" s="181"/>
      <c r="D22" s="181"/>
      <c r="E22" s="182"/>
      <c r="F22" s="182"/>
      <c r="G22" s="183"/>
      <c r="H22" s="183"/>
      <c r="I22" s="183"/>
      <c r="J22" s="183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</row>
    <row r="23" spans="2:34" x14ac:dyDescent="0.2">
      <c r="B23" s="181"/>
      <c r="C23" s="181"/>
      <c r="D23" s="181"/>
      <c r="E23" s="182"/>
      <c r="F23" s="182"/>
      <c r="G23" s="183"/>
      <c r="H23" s="183"/>
      <c r="I23" s="183"/>
      <c r="J23" s="183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</row>
    <row r="24" spans="2:34" x14ac:dyDescent="0.2">
      <c r="B24" s="181"/>
      <c r="C24" s="181"/>
      <c r="D24" s="181"/>
      <c r="E24" s="182"/>
      <c r="F24" s="182"/>
      <c r="G24" s="183"/>
      <c r="H24" s="183"/>
      <c r="I24" s="183"/>
      <c r="J24" s="183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  <c r="AF24" s="184"/>
      <c r="AG24" s="184"/>
      <c r="AH24" s="184"/>
    </row>
    <row r="25" spans="2:34" x14ac:dyDescent="0.2">
      <c r="B25" s="181"/>
      <c r="C25" s="181"/>
      <c r="D25" s="181"/>
      <c r="E25" s="182"/>
      <c r="F25" s="182"/>
      <c r="G25" s="183"/>
      <c r="H25" s="183"/>
      <c r="I25" s="183"/>
      <c r="J25" s="183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</row>
    <row r="26" spans="2:34" x14ac:dyDescent="0.2">
      <c r="B26" s="181"/>
      <c r="C26" s="181"/>
      <c r="D26" s="181"/>
      <c r="E26" s="182"/>
      <c r="F26" s="182"/>
      <c r="G26" s="183"/>
      <c r="H26" s="183"/>
      <c r="I26" s="183"/>
      <c r="J26" s="183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</row>
    <row r="27" spans="2:34" x14ac:dyDescent="0.2">
      <c r="B27" s="181"/>
      <c r="C27" s="181"/>
      <c r="D27" s="181"/>
      <c r="E27" s="182"/>
      <c r="F27" s="182"/>
      <c r="G27" s="183"/>
      <c r="H27" s="183"/>
      <c r="I27" s="183"/>
      <c r="J27" s="183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4"/>
    </row>
    <row r="28" spans="2:34" x14ac:dyDescent="0.2">
      <c r="B28" s="181"/>
      <c r="C28" s="181"/>
      <c r="D28" s="181"/>
      <c r="E28" s="182"/>
      <c r="F28" s="182"/>
      <c r="G28" s="183"/>
      <c r="H28" s="183"/>
      <c r="I28" s="183"/>
      <c r="J28" s="183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</row>
    <row r="29" spans="2:34" x14ac:dyDescent="0.2">
      <c r="B29" s="181"/>
      <c r="C29" s="181"/>
      <c r="D29" s="181"/>
      <c r="E29" s="182"/>
      <c r="F29" s="182"/>
      <c r="G29" s="183"/>
      <c r="H29" s="183"/>
      <c r="I29" s="183"/>
      <c r="J29" s="183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</row>
    <row r="30" spans="2:34" x14ac:dyDescent="0.2">
      <c r="B30" s="181"/>
      <c r="C30" s="181"/>
      <c r="D30" s="181"/>
      <c r="E30" s="182"/>
      <c r="F30" s="182"/>
      <c r="G30" s="183"/>
      <c r="H30" s="183"/>
      <c r="I30" s="183"/>
      <c r="J30" s="183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</row>
    <row r="31" spans="2:34" x14ac:dyDescent="0.2">
      <c r="B31" s="181"/>
      <c r="C31" s="181"/>
      <c r="D31" s="181"/>
      <c r="E31" s="182"/>
      <c r="F31" s="182"/>
      <c r="G31" s="183"/>
      <c r="H31" s="183"/>
      <c r="I31" s="183"/>
      <c r="J31" s="183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</row>
    <row r="32" spans="2:34" x14ac:dyDescent="0.2">
      <c r="B32" s="181"/>
      <c r="C32" s="181"/>
      <c r="D32" s="181"/>
      <c r="E32" s="182"/>
      <c r="F32" s="182"/>
      <c r="G32" s="183"/>
      <c r="H32" s="183"/>
      <c r="I32" s="183"/>
      <c r="J32" s="183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  <c r="AB32" s="184"/>
      <c r="AC32" s="184"/>
      <c r="AD32" s="184"/>
      <c r="AE32" s="184"/>
      <c r="AF32" s="184"/>
      <c r="AG32" s="184"/>
      <c r="AH32" s="184"/>
    </row>
    <row r="33" spans="2:34" x14ac:dyDescent="0.2">
      <c r="B33" s="181"/>
      <c r="C33" s="181"/>
      <c r="D33" s="181"/>
      <c r="E33" s="182"/>
      <c r="F33" s="182"/>
      <c r="G33" s="183"/>
      <c r="H33" s="183"/>
      <c r="I33" s="183"/>
      <c r="J33" s="183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</row>
    <row r="34" spans="2:34" x14ac:dyDescent="0.2">
      <c r="B34" s="181"/>
      <c r="C34" s="181"/>
      <c r="D34" s="181"/>
      <c r="E34" s="182"/>
      <c r="F34" s="182"/>
      <c r="G34" s="183"/>
      <c r="H34" s="183"/>
      <c r="I34" s="183"/>
      <c r="J34" s="183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</row>
    <row r="35" spans="2:34" x14ac:dyDescent="0.2">
      <c r="B35" s="181"/>
      <c r="C35" s="181"/>
      <c r="D35" s="181"/>
      <c r="E35" s="182"/>
      <c r="F35" s="182"/>
      <c r="G35" s="183"/>
      <c r="H35" s="183"/>
      <c r="I35" s="183"/>
      <c r="J35" s="183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</row>
    <row r="36" spans="2:34" x14ac:dyDescent="0.2">
      <c r="B36" s="181"/>
      <c r="C36" s="181"/>
      <c r="D36" s="181"/>
      <c r="E36" s="182"/>
      <c r="F36" s="182"/>
      <c r="G36" s="183"/>
      <c r="H36" s="183"/>
      <c r="I36" s="183"/>
      <c r="J36" s="183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</row>
    <row r="37" spans="2:34" x14ac:dyDescent="0.2">
      <c r="B37" s="181"/>
      <c r="C37" s="181"/>
      <c r="D37" s="181"/>
      <c r="E37" s="182"/>
      <c r="F37" s="182"/>
      <c r="G37" s="183"/>
      <c r="H37" s="183"/>
      <c r="I37" s="183"/>
      <c r="J37" s="183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</row>
    <row r="38" spans="2:34" x14ac:dyDescent="0.2">
      <c r="B38" s="181"/>
      <c r="C38" s="181"/>
      <c r="D38" s="181"/>
      <c r="E38" s="182"/>
      <c r="F38" s="182"/>
      <c r="G38" s="183"/>
      <c r="H38" s="183"/>
      <c r="I38" s="183"/>
      <c r="J38" s="183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</row>
    <row r="39" spans="2:34" x14ac:dyDescent="0.2">
      <c r="B39" s="181"/>
      <c r="C39" s="181"/>
      <c r="D39" s="181"/>
      <c r="E39" s="182"/>
      <c r="F39" s="182"/>
      <c r="G39" s="183"/>
      <c r="H39" s="183"/>
      <c r="I39" s="183"/>
      <c r="J39" s="183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</row>
    <row r="40" spans="2:34" x14ac:dyDescent="0.2">
      <c r="B40" s="181"/>
      <c r="C40" s="181"/>
      <c r="D40" s="181"/>
      <c r="E40" s="182"/>
      <c r="F40" s="182"/>
      <c r="G40" s="183"/>
      <c r="H40" s="183"/>
      <c r="I40" s="183"/>
      <c r="J40" s="183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  <c r="AF40" s="184"/>
      <c r="AG40" s="184"/>
      <c r="AH40" s="184"/>
    </row>
    <row r="41" spans="2:34" x14ac:dyDescent="0.2">
      <c r="B41" s="181"/>
      <c r="C41" s="181"/>
      <c r="D41" s="181"/>
      <c r="E41" s="182"/>
      <c r="F41" s="182"/>
      <c r="G41" s="183"/>
      <c r="H41" s="183"/>
      <c r="I41" s="183"/>
      <c r="J41" s="183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4"/>
      <c r="AG41" s="184"/>
      <c r="AH41" s="184"/>
    </row>
    <row r="42" spans="2:34" x14ac:dyDescent="0.2">
      <c r="B42" s="181"/>
      <c r="C42" s="181"/>
      <c r="D42" s="181"/>
      <c r="E42" s="182"/>
      <c r="F42" s="182"/>
      <c r="G42" s="183"/>
      <c r="H42" s="183"/>
      <c r="I42" s="183"/>
      <c r="J42" s="183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84"/>
      <c r="AF42" s="184"/>
      <c r="AG42" s="184"/>
      <c r="AH42" s="184"/>
    </row>
    <row r="43" spans="2:34" x14ac:dyDescent="0.2">
      <c r="B43" s="181"/>
      <c r="C43" s="181"/>
      <c r="D43" s="181"/>
      <c r="E43" s="182"/>
      <c r="F43" s="182"/>
      <c r="G43" s="183"/>
      <c r="H43" s="183"/>
      <c r="I43" s="183"/>
      <c r="J43" s="183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  <c r="AG43" s="184"/>
      <c r="AH43" s="184"/>
    </row>
    <row r="44" spans="2:34" x14ac:dyDescent="0.2">
      <c r="B44" s="181"/>
      <c r="C44" s="181"/>
      <c r="D44" s="181"/>
      <c r="E44" s="182"/>
      <c r="F44" s="182"/>
      <c r="G44" s="183"/>
      <c r="H44" s="183"/>
      <c r="I44" s="183"/>
      <c r="J44" s="183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</row>
    <row r="45" spans="2:34" x14ac:dyDescent="0.2">
      <c r="B45" s="181"/>
      <c r="C45" s="181"/>
      <c r="D45" s="181"/>
      <c r="E45" s="182"/>
      <c r="F45" s="182"/>
      <c r="G45" s="183"/>
      <c r="H45" s="183"/>
      <c r="I45" s="183"/>
      <c r="J45" s="183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  <c r="AG45" s="184"/>
      <c r="AH45" s="184"/>
    </row>
    <row r="46" spans="2:34" x14ac:dyDescent="0.2">
      <c r="B46" s="181"/>
      <c r="C46" s="181"/>
      <c r="D46" s="181"/>
      <c r="E46" s="182"/>
      <c r="F46" s="182"/>
      <c r="G46" s="183"/>
      <c r="H46" s="183"/>
      <c r="I46" s="183"/>
      <c r="J46" s="183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  <c r="AG46" s="184"/>
      <c r="AH46" s="184"/>
    </row>
    <row r="47" spans="2:34" x14ac:dyDescent="0.2">
      <c r="B47" s="181"/>
      <c r="C47" s="181"/>
      <c r="D47" s="181"/>
      <c r="E47" s="182"/>
      <c r="F47" s="182"/>
      <c r="G47" s="183"/>
      <c r="H47" s="183"/>
      <c r="I47" s="183"/>
      <c r="J47" s="183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</row>
    <row r="48" spans="2:34" x14ac:dyDescent="0.2">
      <c r="B48" s="181"/>
      <c r="C48" s="181"/>
      <c r="D48" s="181"/>
      <c r="E48" s="182"/>
      <c r="F48" s="182"/>
      <c r="G48" s="183"/>
      <c r="H48" s="183"/>
      <c r="I48" s="183"/>
      <c r="J48" s="183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</row>
    <row r="49" spans="2:34" x14ac:dyDescent="0.2">
      <c r="B49" s="181"/>
      <c r="C49" s="181"/>
      <c r="D49" s="181"/>
      <c r="E49" s="182"/>
      <c r="F49" s="182"/>
      <c r="G49" s="183"/>
      <c r="H49" s="183"/>
      <c r="I49" s="183"/>
      <c r="J49" s="183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</row>
    <row r="50" spans="2:34" x14ac:dyDescent="0.2">
      <c r="B50" s="181"/>
      <c r="C50" s="181"/>
      <c r="D50" s="181"/>
      <c r="E50" s="182"/>
      <c r="F50" s="182"/>
      <c r="G50" s="183"/>
      <c r="H50" s="183"/>
      <c r="I50" s="183"/>
      <c r="J50" s="183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</row>
    <row r="51" spans="2:34" x14ac:dyDescent="0.2">
      <c r="B51" s="181"/>
      <c r="C51" s="181"/>
      <c r="D51" s="181"/>
      <c r="E51" s="182"/>
      <c r="F51" s="182"/>
      <c r="G51" s="183"/>
      <c r="H51" s="183"/>
      <c r="I51" s="183"/>
      <c r="J51" s="183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  <c r="AE51" s="184"/>
      <c r="AF51" s="184"/>
      <c r="AG51" s="184"/>
      <c r="AH51" s="184"/>
    </row>
    <row r="52" spans="2:34" x14ac:dyDescent="0.2">
      <c r="B52" s="181"/>
      <c r="C52" s="181"/>
      <c r="D52" s="181"/>
      <c r="E52" s="182"/>
      <c r="F52" s="182"/>
      <c r="G52" s="183"/>
      <c r="H52" s="183"/>
      <c r="I52" s="183"/>
      <c r="J52" s="183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4"/>
      <c r="AE52" s="184"/>
      <c r="AF52" s="184"/>
      <c r="AG52" s="184"/>
      <c r="AH52" s="184"/>
    </row>
    <row r="53" spans="2:34" x14ac:dyDescent="0.2">
      <c r="B53" s="181"/>
      <c r="C53" s="181"/>
      <c r="D53" s="181"/>
      <c r="E53" s="182"/>
      <c r="F53" s="182"/>
      <c r="G53" s="183"/>
      <c r="H53" s="183"/>
      <c r="I53" s="183"/>
      <c r="J53" s="183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4"/>
      <c r="AE53" s="184"/>
      <c r="AF53" s="184"/>
      <c r="AG53" s="184"/>
      <c r="AH53" s="184"/>
    </row>
    <row r="54" spans="2:34" x14ac:dyDescent="0.2">
      <c r="B54" s="181"/>
      <c r="C54" s="181"/>
      <c r="D54" s="181"/>
      <c r="E54" s="182"/>
      <c r="F54" s="182"/>
      <c r="G54" s="183"/>
      <c r="H54" s="183"/>
      <c r="I54" s="183"/>
      <c r="J54" s="183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</row>
    <row r="55" spans="2:34" x14ac:dyDescent="0.2">
      <c r="B55" s="181"/>
      <c r="C55" s="181"/>
      <c r="D55" s="181"/>
      <c r="E55" s="182"/>
      <c r="F55" s="182"/>
      <c r="G55" s="183"/>
      <c r="H55" s="183"/>
      <c r="I55" s="183"/>
      <c r="J55" s="183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4"/>
      <c r="AD55" s="184"/>
      <c r="AE55" s="184"/>
      <c r="AF55" s="184"/>
      <c r="AG55" s="184"/>
      <c r="AH55" s="184"/>
    </row>
    <row r="56" spans="2:34" x14ac:dyDescent="0.2">
      <c r="B56" s="181"/>
      <c r="C56" s="181"/>
      <c r="D56" s="181"/>
      <c r="E56" s="182"/>
      <c r="F56" s="182"/>
      <c r="G56" s="183"/>
      <c r="H56" s="183"/>
      <c r="I56" s="183"/>
      <c r="J56" s="183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</row>
    <row r="57" spans="2:34" x14ac:dyDescent="0.2">
      <c r="B57" s="181"/>
      <c r="C57" s="181"/>
      <c r="D57" s="181"/>
      <c r="E57" s="182"/>
      <c r="F57" s="182"/>
      <c r="G57" s="183"/>
      <c r="H57" s="183"/>
      <c r="I57" s="183"/>
      <c r="J57" s="183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  <c r="AG57" s="184"/>
      <c r="AH57" s="184"/>
    </row>
    <row r="58" spans="2:34" x14ac:dyDescent="0.2">
      <c r="B58" s="181"/>
      <c r="C58" s="181"/>
      <c r="D58" s="181"/>
      <c r="E58" s="182"/>
      <c r="F58" s="182"/>
      <c r="G58" s="183"/>
      <c r="H58" s="183"/>
      <c r="I58" s="183"/>
      <c r="J58" s="183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</row>
    <row r="59" spans="2:34" x14ac:dyDescent="0.2">
      <c r="B59" s="181"/>
      <c r="C59" s="181"/>
      <c r="D59" s="181"/>
      <c r="E59" s="182"/>
      <c r="F59" s="182"/>
      <c r="G59" s="183"/>
      <c r="H59" s="183"/>
      <c r="I59" s="183"/>
      <c r="J59" s="183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  <c r="AG59" s="184"/>
      <c r="AH59" s="184"/>
    </row>
    <row r="60" spans="2:34" x14ac:dyDescent="0.2">
      <c r="B60" s="181"/>
      <c r="C60" s="181"/>
      <c r="D60" s="181"/>
      <c r="E60" s="182"/>
      <c r="F60" s="182"/>
      <c r="G60" s="183"/>
      <c r="H60" s="183"/>
      <c r="I60" s="183"/>
      <c r="J60" s="183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84"/>
      <c r="AG60" s="184"/>
      <c r="AH60" s="184"/>
    </row>
    <row r="61" spans="2:34" x14ac:dyDescent="0.2">
      <c r="B61" s="181"/>
      <c r="C61" s="181"/>
      <c r="D61" s="181"/>
      <c r="E61" s="182"/>
      <c r="F61" s="182"/>
      <c r="G61" s="183"/>
      <c r="H61" s="183"/>
      <c r="I61" s="183"/>
      <c r="J61" s="183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  <c r="AB61" s="184"/>
      <c r="AC61" s="184"/>
      <c r="AD61" s="184"/>
      <c r="AE61" s="184"/>
      <c r="AF61" s="184"/>
      <c r="AG61" s="184"/>
      <c r="AH61" s="184"/>
    </row>
    <row r="62" spans="2:34" x14ac:dyDescent="0.2">
      <c r="B62" s="181"/>
      <c r="C62" s="181"/>
      <c r="D62" s="181"/>
      <c r="E62" s="182"/>
      <c r="F62" s="182"/>
      <c r="G62" s="183"/>
      <c r="H62" s="183"/>
      <c r="I62" s="183"/>
      <c r="J62" s="183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4"/>
      <c r="AB62" s="184"/>
      <c r="AC62" s="184"/>
      <c r="AD62" s="184"/>
      <c r="AE62" s="184"/>
      <c r="AF62" s="184"/>
      <c r="AG62" s="184"/>
      <c r="AH62" s="184"/>
    </row>
    <row r="63" spans="2:34" x14ac:dyDescent="0.2">
      <c r="B63" s="181"/>
      <c r="C63" s="181"/>
      <c r="D63" s="181"/>
      <c r="E63" s="182"/>
      <c r="F63" s="182"/>
      <c r="G63" s="183"/>
      <c r="H63" s="183"/>
      <c r="I63" s="183"/>
      <c r="J63" s="183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4"/>
      <c r="AB63" s="184"/>
      <c r="AC63" s="184"/>
      <c r="AD63" s="184"/>
      <c r="AE63" s="184"/>
      <c r="AF63" s="184"/>
      <c r="AG63" s="184"/>
      <c r="AH63" s="184"/>
    </row>
    <row r="64" spans="2:34" x14ac:dyDescent="0.2">
      <c r="B64" s="181"/>
      <c r="C64" s="181"/>
      <c r="D64" s="181"/>
      <c r="E64" s="182"/>
      <c r="F64" s="182"/>
      <c r="G64" s="183"/>
      <c r="H64" s="183"/>
      <c r="I64" s="183"/>
      <c r="J64" s="183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  <c r="AB64" s="184"/>
      <c r="AC64" s="184"/>
      <c r="AD64" s="184"/>
      <c r="AE64" s="184"/>
      <c r="AF64" s="184"/>
      <c r="AG64" s="184"/>
      <c r="AH64" s="184"/>
    </row>
    <row r="65" spans="2:34" x14ac:dyDescent="0.2">
      <c r="B65" s="181"/>
      <c r="C65" s="181"/>
      <c r="D65" s="181"/>
      <c r="E65" s="182"/>
      <c r="F65" s="182"/>
      <c r="G65" s="183"/>
      <c r="H65" s="183"/>
      <c r="I65" s="183"/>
      <c r="J65" s="183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4"/>
      <c r="AB65" s="184"/>
      <c r="AC65" s="184"/>
      <c r="AD65" s="184"/>
      <c r="AE65" s="184"/>
      <c r="AF65" s="184"/>
      <c r="AG65" s="184"/>
      <c r="AH65" s="184"/>
    </row>
    <row r="66" spans="2:34" x14ac:dyDescent="0.2">
      <c r="B66" s="181"/>
      <c r="C66" s="181"/>
      <c r="D66" s="181"/>
      <c r="E66" s="182"/>
      <c r="F66" s="182"/>
      <c r="G66" s="183"/>
      <c r="H66" s="183"/>
      <c r="I66" s="183"/>
      <c r="J66" s="183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  <c r="AB66" s="184"/>
      <c r="AC66" s="184"/>
      <c r="AD66" s="184"/>
      <c r="AE66" s="184"/>
      <c r="AF66" s="184"/>
      <c r="AG66" s="184"/>
      <c r="AH66" s="184"/>
    </row>
    <row r="67" spans="2:34" x14ac:dyDescent="0.2">
      <c r="B67" s="181"/>
      <c r="C67" s="181"/>
      <c r="D67" s="181"/>
      <c r="E67" s="182"/>
      <c r="F67" s="182"/>
      <c r="G67" s="183"/>
      <c r="H67" s="183"/>
      <c r="I67" s="183"/>
      <c r="J67" s="183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  <c r="AC67" s="184"/>
      <c r="AD67" s="184"/>
      <c r="AE67" s="184"/>
      <c r="AF67" s="184"/>
      <c r="AG67" s="184"/>
      <c r="AH67" s="184"/>
    </row>
    <row r="68" spans="2:34" x14ac:dyDescent="0.2">
      <c r="B68" s="181"/>
      <c r="C68" s="181"/>
      <c r="D68" s="181"/>
      <c r="E68" s="182"/>
      <c r="F68" s="182"/>
      <c r="G68" s="183"/>
      <c r="H68" s="183"/>
      <c r="I68" s="183"/>
      <c r="J68" s="183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4"/>
      <c r="AB68" s="184"/>
      <c r="AC68" s="184"/>
      <c r="AD68" s="184"/>
      <c r="AE68" s="184"/>
      <c r="AF68" s="184"/>
      <c r="AG68" s="184"/>
      <c r="AH68" s="184"/>
    </row>
    <row r="69" spans="2:34" x14ac:dyDescent="0.2">
      <c r="B69" s="181"/>
      <c r="C69" s="181"/>
      <c r="D69" s="181"/>
      <c r="E69" s="182"/>
      <c r="F69" s="182"/>
      <c r="G69" s="183"/>
      <c r="H69" s="183"/>
      <c r="I69" s="183"/>
      <c r="J69" s="183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  <c r="AB69" s="184"/>
      <c r="AC69" s="184"/>
      <c r="AD69" s="184"/>
      <c r="AE69" s="184"/>
      <c r="AF69" s="184"/>
      <c r="AG69" s="184"/>
      <c r="AH69" s="184"/>
    </row>
    <row r="70" spans="2:34" x14ac:dyDescent="0.2">
      <c r="B70" s="181"/>
      <c r="C70" s="181"/>
      <c r="D70" s="181"/>
      <c r="E70" s="182"/>
      <c r="F70" s="182"/>
      <c r="G70" s="183"/>
      <c r="H70" s="183"/>
      <c r="I70" s="183"/>
      <c r="J70" s="183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4"/>
      <c r="AB70" s="184"/>
      <c r="AC70" s="184"/>
      <c r="AD70" s="184"/>
      <c r="AE70" s="184"/>
      <c r="AF70" s="184"/>
      <c r="AG70" s="184"/>
      <c r="AH70" s="184"/>
    </row>
    <row r="71" spans="2:34" x14ac:dyDescent="0.2">
      <c r="G71" s="185"/>
      <c r="K71" s="186"/>
      <c r="M71" s="187"/>
    </row>
    <row r="72" spans="2:34" x14ac:dyDescent="0.2">
      <c r="O72" s="186"/>
      <c r="Q72" s="188"/>
      <c r="S72" s="186"/>
      <c r="U72" s="188"/>
      <c r="W72" s="186"/>
      <c r="Y72" s="188"/>
      <c r="AA72" s="186"/>
      <c r="AC72" s="188"/>
      <c r="AE72" s="186"/>
      <c r="AG72" s="188"/>
    </row>
  </sheetData>
  <mergeCells count="25">
    <mergeCell ref="AC7:AD7"/>
    <mergeCell ref="AE7:AF7"/>
    <mergeCell ref="AG7:AH7"/>
    <mergeCell ref="Q7:R7"/>
    <mergeCell ref="S7:T7"/>
    <mergeCell ref="U7:V7"/>
    <mergeCell ref="W7:X7"/>
    <mergeCell ref="Y7:Z7"/>
    <mergeCell ref="AA7:AB7"/>
    <mergeCell ref="O7:P7"/>
    <mergeCell ref="B1:AH2"/>
    <mergeCell ref="B5:B8"/>
    <mergeCell ref="C5:C8"/>
    <mergeCell ref="D5:D8"/>
    <mergeCell ref="E5:E8"/>
    <mergeCell ref="F5:F8"/>
    <mergeCell ref="G5:H6"/>
    <mergeCell ref="I5:J6"/>
    <mergeCell ref="K5:AH6"/>
    <mergeCell ref="G7:G8"/>
    <mergeCell ref="H7:H8"/>
    <mergeCell ref="I7:I8"/>
    <mergeCell ref="J7:J8"/>
    <mergeCell ref="K7:L7"/>
    <mergeCell ref="M7:N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B1:R721"/>
  <sheetViews>
    <sheetView workbookViewId="0">
      <selection activeCell="H33" sqref="H33"/>
    </sheetView>
  </sheetViews>
  <sheetFormatPr baseColWidth="10" defaultColWidth="9.6640625" defaultRowHeight="16" x14ac:dyDescent="0.2"/>
  <cols>
    <col min="1" max="5" width="9.6640625" style="275"/>
    <col min="6" max="6" width="12.6640625" style="275" customWidth="1"/>
    <col min="7" max="7" width="15.5" style="275" customWidth="1"/>
    <col min="8" max="8" width="10.6640625" style="275" customWidth="1"/>
    <col min="9" max="15" width="15" style="304" customWidth="1"/>
    <col min="16" max="16" width="11.6640625" style="275" customWidth="1"/>
    <col min="17" max="16384" width="9.6640625" style="275"/>
  </cols>
  <sheetData>
    <row r="1" spans="2:17" x14ac:dyDescent="0.2">
      <c r="D1" s="443" t="s">
        <v>637</v>
      </c>
      <c r="E1" s="443"/>
      <c r="F1" s="443"/>
      <c r="I1" s="275"/>
      <c r="J1" s="275"/>
      <c r="K1" s="275"/>
      <c r="L1" s="275"/>
      <c r="M1" s="275"/>
      <c r="N1" s="275"/>
      <c r="O1" s="275"/>
    </row>
    <row r="2" spans="2:17" x14ac:dyDescent="0.2">
      <c r="I2" s="275"/>
      <c r="J2" s="275"/>
      <c r="K2" s="275"/>
      <c r="L2" s="275"/>
      <c r="M2" s="275"/>
      <c r="N2" s="275"/>
      <c r="O2" s="275"/>
    </row>
    <row r="3" spans="2:17" x14ac:dyDescent="0.2">
      <c r="B3" s="275" t="s">
        <v>658</v>
      </c>
      <c r="I3" s="275"/>
      <c r="J3" s="275"/>
      <c r="K3" s="275"/>
      <c r="L3" s="275"/>
      <c r="M3" s="275"/>
      <c r="N3" s="275"/>
      <c r="O3" s="275"/>
    </row>
    <row r="4" spans="2:17" ht="15.75" customHeight="1" x14ac:dyDescent="0.2">
      <c r="B4" s="444" t="s">
        <v>639</v>
      </c>
      <c r="C4" s="444" t="s">
        <v>562</v>
      </c>
      <c r="D4" s="444" t="s">
        <v>564</v>
      </c>
      <c r="E4" s="444" t="s">
        <v>612</v>
      </c>
      <c r="F4" s="444" t="s">
        <v>640</v>
      </c>
      <c r="G4" s="440" t="s">
        <v>566</v>
      </c>
      <c r="H4" s="440" t="s">
        <v>641</v>
      </c>
      <c r="I4" s="441" t="s">
        <v>659</v>
      </c>
      <c r="J4" s="442"/>
      <c r="K4" s="442"/>
      <c r="L4" s="442"/>
      <c r="M4" s="276"/>
      <c r="N4" s="276"/>
      <c r="O4" s="277"/>
      <c r="P4" s="277"/>
    </row>
    <row r="5" spans="2:17" ht="60" customHeight="1" x14ac:dyDescent="0.2">
      <c r="B5" s="444"/>
      <c r="C5" s="444"/>
      <c r="D5" s="444"/>
      <c r="E5" s="444"/>
      <c r="F5" s="444"/>
      <c r="G5" s="440"/>
      <c r="H5" s="440"/>
      <c r="I5" s="278" t="s">
        <v>643</v>
      </c>
      <c r="J5" s="278" t="s">
        <v>660</v>
      </c>
      <c r="K5" s="278" t="s">
        <v>661</v>
      </c>
      <c r="L5" s="278" t="s">
        <v>662</v>
      </c>
      <c r="M5" s="278" t="s">
        <v>663</v>
      </c>
      <c r="N5" s="278" t="s">
        <v>664</v>
      </c>
      <c r="O5" s="279" t="s">
        <v>745</v>
      </c>
      <c r="P5" s="278" t="s">
        <v>665</v>
      </c>
    </row>
    <row r="6" spans="2:17" x14ac:dyDescent="0.2">
      <c r="B6" s="280"/>
      <c r="C6" s="280"/>
      <c r="D6" s="280"/>
      <c r="E6" s="280"/>
      <c r="F6" s="280"/>
      <c r="G6" s="281"/>
      <c r="H6" s="281"/>
      <c r="I6" s="281"/>
      <c r="J6" s="281"/>
      <c r="K6" s="281"/>
      <c r="L6" s="281"/>
      <c r="M6" s="281"/>
      <c r="N6" s="281"/>
      <c r="O6" s="281"/>
      <c r="P6" s="281"/>
    </row>
    <row r="7" spans="2:17" x14ac:dyDescent="0.2">
      <c r="B7" s="282" t="s">
        <v>647</v>
      </c>
      <c r="C7" s="282">
        <v>1</v>
      </c>
      <c r="D7" s="282" t="s">
        <v>746</v>
      </c>
      <c r="E7" s="283">
        <v>2022</v>
      </c>
      <c r="F7" s="284">
        <v>2.6</v>
      </c>
      <c r="G7" s="285">
        <v>339</v>
      </c>
      <c r="H7" s="285">
        <f>IFERROR(G7/F7,0)</f>
        <v>130.38461538461539</v>
      </c>
      <c r="I7" s="286"/>
      <c r="J7" s="286"/>
      <c r="K7" s="286"/>
      <c r="L7" s="286"/>
      <c r="M7" s="286"/>
      <c r="N7" s="286"/>
      <c r="O7" s="287">
        <f t="shared" ref="O7:O70" si="0">IFERROR(N7*6,0)</f>
        <v>0</v>
      </c>
      <c r="P7" s="288">
        <f t="array" ref="P7">SUM(J7:K7/G7*100)</f>
        <v>0</v>
      </c>
    </row>
    <row r="8" spans="2:17" x14ac:dyDescent="0.2">
      <c r="B8" s="282"/>
      <c r="C8" s="282"/>
      <c r="D8" s="282"/>
      <c r="E8" s="283"/>
      <c r="F8" s="284"/>
      <c r="G8" s="285"/>
      <c r="H8" s="285"/>
      <c r="I8" s="286"/>
      <c r="J8" s="286"/>
      <c r="K8" s="286"/>
      <c r="L8" s="286"/>
      <c r="M8" s="286"/>
      <c r="N8" s="286"/>
      <c r="O8" s="287">
        <f t="shared" si="0"/>
        <v>0</v>
      </c>
      <c r="P8" s="288" t="e">
        <f t="array" ref="P8">SUM(J8:K8/G8*100)</f>
        <v>#DIV/0!</v>
      </c>
    </row>
    <row r="9" spans="2:17" x14ac:dyDescent="0.2">
      <c r="B9" s="282"/>
      <c r="C9" s="282"/>
      <c r="D9" s="282"/>
      <c r="E9" s="283"/>
      <c r="F9" s="284"/>
      <c r="G9" s="285"/>
      <c r="H9" s="285"/>
      <c r="I9" s="286"/>
      <c r="J9" s="286"/>
      <c r="K9" s="286"/>
      <c r="L9" s="286"/>
      <c r="M9" s="286"/>
      <c r="N9" s="286"/>
      <c r="O9" s="287">
        <f t="shared" si="0"/>
        <v>0</v>
      </c>
      <c r="P9" s="288" t="e">
        <f t="array" ref="P9">SUM(J9:K9/G9*100)</f>
        <v>#DIV/0!</v>
      </c>
    </row>
    <row r="10" spans="2:17" x14ac:dyDescent="0.2">
      <c r="B10" s="282"/>
      <c r="C10" s="282"/>
      <c r="D10" s="282"/>
      <c r="E10" s="283"/>
      <c r="F10" s="284"/>
      <c r="G10" s="285"/>
      <c r="H10" s="285"/>
      <c r="I10" s="286"/>
      <c r="J10" s="286"/>
      <c r="K10" s="286"/>
      <c r="L10" s="286"/>
      <c r="M10" s="286"/>
      <c r="N10" s="286"/>
      <c r="O10" s="287">
        <f t="shared" si="0"/>
        <v>0</v>
      </c>
      <c r="P10" s="288" t="e">
        <f t="array" ref="P10">SUM(J10:K10/G10*100)</f>
        <v>#DIV/0!</v>
      </c>
    </row>
    <row r="11" spans="2:17" x14ac:dyDescent="0.2">
      <c r="B11" s="282"/>
      <c r="C11" s="282"/>
      <c r="D11" s="282"/>
      <c r="E11" s="283"/>
      <c r="F11" s="284"/>
      <c r="G11" s="285"/>
      <c r="H11" s="285"/>
      <c r="I11" s="286"/>
      <c r="J11" s="286"/>
      <c r="K11" s="286"/>
      <c r="L11" s="286"/>
      <c r="M11" s="286"/>
      <c r="N11" s="286"/>
      <c r="O11" s="287">
        <f t="shared" si="0"/>
        <v>0</v>
      </c>
      <c r="P11" s="288" t="e">
        <f t="array" ref="P11">SUM(J11:K11/G11*100)</f>
        <v>#DIV/0!</v>
      </c>
    </row>
    <row r="12" spans="2:17" x14ac:dyDescent="0.2">
      <c r="B12" s="282"/>
      <c r="C12" s="282"/>
      <c r="D12" s="282"/>
      <c r="E12" s="283"/>
      <c r="F12" s="284"/>
      <c r="G12" s="285"/>
      <c r="H12" s="285"/>
      <c r="I12" s="286"/>
      <c r="J12" s="286"/>
      <c r="K12" s="286"/>
      <c r="L12" s="286"/>
      <c r="M12" s="286"/>
      <c r="N12" s="286"/>
      <c r="O12" s="287">
        <f t="shared" si="0"/>
        <v>0</v>
      </c>
      <c r="P12" s="288" t="e">
        <f t="array" ref="P12">SUM(J12:K12/G12*100)</f>
        <v>#DIV/0!</v>
      </c>
    </row>
    <row r="13" spans="2:17" x14ac:dyDescent="0.2">
      <c r="B13" s="282"/>
      <c r="C13" s="282"/>
      <c r="D13" s="282"/>
      <c r="E13" s="283"/>
      <c r="F13" s="284"/>
      <c r="G13" s="285"/>
      <c r="H13" s="285"/>
      <c r="I13" s="286"/>
      <c r="J13" s="286"/>
      <c r="K13" s="286"/>
      <c r="L13" s="286"/>
      <c r="M13" s="286"/>
      <c r="N13" s="286"/>
      <c r="O13" s="287">
        <f t="shared" si="0"/>
        <v>0</v>
      </c>
      <c r="P13" s="288" t="e">
        <f t="array" ref="P13">SUM(J13:K13/G13*100)</f>
        <v>#DIV/0!</v>
      </c>
    </row>
    <row r="14" spans="2:17" x14ac:dyDescent="0.2">
      <c r="B14" s="282"/>
      <c r="C14" s="282"/>
      <c r="D14" s="282"/>
      <c r="E14" s="283"/>
      <c r="F14" s="284"/>
      <c r="G14" s="285"/>
      <c r="H14" s="285"/>
      <c r="I14" s="286"/>
      <c r="J14" s="286"/>
      <c r="K14" s="286"/>
      <c r="L14" s="286"/>
      <c r="M14" s="286"/>
      <c r="N14" s="286"/>
      <c r="O14" s="287">
        <f t="shared" si="0"/>
        <v>0</v>
      </c>
      <c r="P14" s="288" t="e">
        <f t="array" ref="P14">SUM(J14:K14/G14*100)</f>
        <v>#DIV/0!</v>
      </c>
      <c r="Q14" s="289"/>
    </row>
    <row r="15" spans="2:17" x14ac:dyDescent="0.2">
      <c r="B15" s="282"/>
      <c r="C15" s="282"/>
      <c r="D15" s="282"/>
      <c r="E15" s="283"/>
      <c r="F15" s="284"/>
      <c r="G15" s="285"/>
      <c r="H15" s="285"/>
      <c r="I15" s="286"/>
      <c r="J15" s="286"/>
      <c r="K15" s="286"/>
      <c r="L15" s="286"/>
      <c r="M15" s="286"/>
      <c r="N15" s="286"/>
      <c r="O15" s="287">
        <f t="shared" si="0"/>
        <v>0</v>
      </c>
      <c r="P15" s="288" t="e">
        <f t="array" ref="P15">SUM(J15:K15/G15*100)</f>
        <v>#DIV/0!</v>
      </c>
    </row>
    <row r="16" spans="2:17" x14ac:dyDescent="0.2">
      <c r="B16" s="282"/>
      <c r="C16" s="282"/>
      <c r="D16" s="282"/>
      <c r="E16" s="283"/>
      <c r="F16" s="284"/>
      <c r="G16" s="285"/>
      <c r="H16" s="285"/>
      <c r="I16" s="286"/>
      <c r="J16" s="286"/>
      <c r="K16" s="286"/>
      <c r="L16" s="286"/>
      <c r="M16" s="286"/>
      <c r="N16" s="286"/>
      <c r="O16" s="287">
        <f t="shared" si="0"/>
        <v>0</v>
      </c>
      <c r="P16" s="288" t="e">
        <f t="array" ref="P16">SUM(J16:K16/G16*100)</f>
        <v>#DIV/0!</v>
      </c>
    </row>
    <row r="17" spans="2:16" x14ac:dyDescent="0.2">
      <c r="B17" s="282"/>
      <c r="C17" s="282"/>
      <c r="D17" s="282"/>
      <c r="E17" s="283"/>
      <c r="F17" s="284"/>
      <c r="G17" s="285"/>
      <c r="H17" s="285"/>
      <c r="I17" s="286"/>
      <c r="J17" s="286"/>
      <c r="K17" s="286"/>
      <c r="L17" s="286"/>
      <c r="M17" s="286"/>
      <c r="N17" s="286"/>
      <c r="O17" s="287">
        <f t="shared" si="0"/>
        <v>0</v>
      </c>
      <c r="P17" s="288" t="e">
        <f t="array" ref="P17">SUM(J17:K17/G17*100)</f>
        <v>#DIV/0!</v>
      </c>
    </row>
    <row r="18" spans="2:16" x14ac:dyDescent="0.2">
      <c r="B18" s="282"/>
      <c r="C18" s="282"/>
      <c r="D18" s="282"/>
      <c r="E18" s="283"/>
      <c r="F18" s="284"/>
      <c r="G18" s="285"/>
      <c r="H18" s="285"/>
      <c r="I18" s="286"/>
      <c r="J18" s="286"/>
      <c r="K18" s="286"/>
      <c r="L18" s="286"/>
      <c r="M18" s="286"/>
      <c r="N18" s="286"/>
      <c r="O18" s="287">
        <f t="shared" si="0"/>
        <v>0</v>
      </c>
      <c r="P18" s="288" t="e">
        <f t="array" ref="P18">SUM(J18:K18/G18*100)</f>
        <v>#DIV/0!</v>
      </c>
    </row>
    <row r="19" spans="2:16" x14ac:dyDescent="0.2">
      <c r="B19" s="282"/>
      <c r="C19" s="282"/>
      <c r="D19" s="282"/>
      <c r="E19" s="283"/>
      <c r="F19" s="284"/>
      <c r="G19" s="285"/>
      <c r="H19" s="285"/>
      <c r="I19" s="286"/>
      <c r="J19" s="286"/>
      <c r="K19" s="286"/>
      <c r="L19" s="286"/>
      <c r="M19" s="286"/>
      <c r="N19" s="286"/>
      <c r="O19" s="287">
        <f t="shared" si="0"/>
        <v>0</v>
      </c>
      <c r="P19" s="288" t="e">
        <f t="array" ref="P19">SUM(J19:K19/G19*100)</f>
        <v>#DIV/0!</v>
      </c>
    </row>
    <row r="20" spans="2:16" x14ac:dyDescent="0.2">
      <c r="B20" s="282"/>
      <c r="C20" s="282"/>
      <c r="D20" s="282"/>
      <c r="E20" s="283"/>
      <c r="F20" s="284"/>
      <c r="G20" s="285"/>
      <c r="H20" s="285"/>
      <c r="I20" s="286"/>
      <c r="J20" s="286"/>
      <c r="K20" s="286"/>
      <c r="L20" s="286"/>
      <c r="M20" s="286"/>
      <c r="N20" s="286"/>
      <c r="O20" s="287">
        <f t="shared" si="0"/>
        <v>0</v>
      </c>
      <c r="P20" s="288" t="e">
        <f t="array" ref="P20">SUM(J20:K20/G20*100)</f>
        <v>#DIV/0!</v>
      </c>
    </row>
    <row r="21" spans="2:16" x14ac:dyDescent="0.2">
      <c r="B21" s="282"/>
      <c r="C21" s="282"/>
      <c r="D21" s="282"/>
      <c r="E21" s="283"/>
      <c r="F21" s="284"/>
      <c r="G21" s="285"/>
      <c r="H21" s="285"/>
      <c r="I21" s="286"/>
      <c r="J21" s="286"/>
      <c r="K21" s="286"/>
      <c r="L21" s="286"/>
      <c r="M21" s="286"/>
      <c r="N21" s="286"/>
      <c r="O21" s="287">
        <f t="shared" si="0"/>
        <v>0</v>
      </c>
      <c r="P21" s="288" t="e">
        <f t="array" ref="P21">SUM(J21:K21/G21*100)</f>
        <v>#DIV/0!</v>
      </c>
    </row>
    <row r="22" spans="2:16" x14ac:dyDescent="0.2">
      <c r="B22" s="282"/>
      <c r="C22" s="282"/>
      <c r="D22" s="282"/>
      <c r="E22" s="283"/>
      <c r="F22" s="284"/>
      <c r="G22" s="285"/>
      <c r="H22" s="285"/>
      <c r="I22" s="286"/>
      <c r="J22" s="286"/>
      <c r="K22" s="286"/>
      <c r="L22" s="286"/>
      <c r="M22" s="286"/>
      <c r="N22" s="286"/>
      <c r="O22" s="287">
        <f t="shared" si="0"/>
        <v>0</v>
      </c>
      <c r="P22" s="288" t="e">
        <f t="array" ref="P22">SUM(J22:K22/G22*100)</f>
        <v>#DIV/0!</v>
      </c>
    </row>
    <row r="23" spans="2:16" x14ac:dyDescent="0.2">
      <c r="B23" s="282"/>
      <c r="C23" s="282"/>
      <c r="D23" s="282"/>
      <c r="E23" s="283"/>
      <c r="F23" s="284"/>
      <c r="G23" s="285"/>
      <c r="H23" s="285"/>
      <c r="I23" s="286"/>
      <c r="J23" s="286"/>
      <c r="K23" s="286"/>
      <c r="L23" s="286"/>
      <c r="M23" s="286"/>
      <c r="N23" s="286"/>
      <c r="O23" s="287">
        <f t="shared" si="0"/>
        <v>0</v>
      </c>
      <c r="P23" s="288" t="e">
        <f t="array" ref="P23">SUM(J23:K23/G23*100)</f>
        <v>#DIV/0!</v>
      </c>
    </row>
    <row r="24" spans="2:16" x14ac:dyDescent="0.2">
      <c r="B24" s="282"/>
      <c r="C24" s="282"/>
      <c r="D24" s="282"/>
      <c r="E24" s="283"/>
      <c r="F24" s="284"/>
      <c r="G24" s="285"/>
      <c r="H24" s="285"/>
      <c r="I24" s="286"/>
      <c r="J24" s="286"/>
      <c r="K24" s="286"/>
      <c r="L24" s="286"/>
      <c r="M24" s="286"/>
      <c r="N24" s="286"/>
      <c r="O24" s="287">
        <f t="shared" si="0"/>
        <v>0</v>
      </c>
      <c r="P24" s="288" t="e">
        <f t="array" ref="P24">SUM(J24:K24/G24*100)</f>
        <v>#DIV/0!</v>
      </c>
    </row>
    <row r="25" spans="2:16" x14ac:dyDescent="0.2">
      <c r="B25" s="282"/>
      <c r="C25" s="282"/>
      <c r="D25" s="282"/>
      <c r="E25" s="283"/>
      <c r="F25" s="284"/>
      <c r="G25" s="285"/>
      <c r="H25" s="285"/>
      <c r="I25" s="286"/>
      <c r="J25" s="286"/>
      <c r="K25" s="286"/>
      <c r="L25" s="286"/>
      <c r="M25" s="286"/>
      <c r="N25" s="286"/>
      <c r="O25" s="287">
        <f t="shared" si="0"/>
        <v>0</v>
      </c>
      <c r="P25" s="288" t="e">
        <f t="array" ref="P25">SUM(J25:K25/G25*100)</f>
        <v>#DIV/0!</v>
      </c>
    </row>
    <row r="26" spans="2:16" x14ac:dyDescent="0.2">
      <c r="B26" s="282"/>
      <c r="C26" s="282"/>
      <c r="D26" s="282"/>
      <c r="E26" s="283"/>
      <c r="F26" s="284"/>
      <c r="G26" s="285"/>
      <c r="H26" s="285"/>
      <c r="I26" s="286"/>
      <c r="J26" s="286"/>
      <c r="K26" s="286"/>
      <c r="L26" s="286"/>
      <c r="M26" s="286"/>
      <c r="N26" s="286"/>
      <c r="O26" s="287">
        <f t="shared" si="0"/>
        <v>0</v>
      </c>
      <c r="P26" s="288" t="e">
        <f t="array" ref="P26">SUM(J26:K26/G26*100)</f>
        <v>#DIV/0!</v>
      </c>
    </row>
    <row r="27" spans="2:16" x14ac:dyDescent="0.2">
      <c r="B27" s="282"/>
      <c r="C27" s="282"/>
      <c r="D27" s="282"/>
      <c r="E27" s="283"/>
      <c r="F27" s="284"/>
      <c r="G27" s="285"/>
      <c r="H27" s="285"/>
      <c r="I27" s="286"/>
      <c r="J27" s="286"/>
      <c r="K27" s="286"/>
      <c r="L27" s="286"/>
      <c r="M27" s="286"/>
      <c r="N27" s="286"/>
      <c r="O27" s="287">
        <f t="shared" si="0"/>
        <v>0</v>
      </c>
      <c r="P27" s="288" t="e">
        <f t="array" ref="P27">SUM(J27:K27/G27*100)</f>
        <v>#DIV/0!</v>
      </c>
    </row>
    <row r="28" spans="2:16" x14ac:dyDescent="0.2">
      <c r="B28" s="282"/>
      <c r="C28" s="282"/>
      <c r="D28" s="282"/>
      <c r="E28" s="283"/>
      <c r="F28" s="284"/>
      <c r="G28" s="285"/>
      <c r="H28" s="285"/>
      <c r="I28" s="286"/>
      <c r="J28" s="286"/>
      <c r="K28" s="286"/>
      <c r="L28" s="286"/>
      <c r="M28" s="286"/>
      <c r="N28" s="286"/>
      <c r="O28" s="287">
        <f t="shared" si="0"/>
        <v>0</v>
      </c>
      <c r="P28" s="288" t="e">
        <f t="array" ref="P28">SUM(J28:K28/G28*100)</f>
        <v>#DIV/0!</v>
      </c>
    </row>
    <row r="29" spans="2:16" x14ac:dyDescent="0.2">
      <c r="B29" s="282"/>
      <c r="C29" s="282"/>
      <c r="D29" s="282"/>
      <c r="E29" s="283"/>
      <c r="F29" s="284"/>
      <c r="G29" s="285"/>
      <c r="H29" s="285"/>
      <c r="I29" s="286"/>
      <c r="J29" s="286"/>
      <c r="K29" s="286"/>
      <c r="L29" s="286"/>
      <c r="M29" s="286"/>
      <c r="N29" s="286"/>
      <c r="O29" s="287">
        <f t="shared" si="0"/>
        <v>0</v>
      </c>
      <c r="P29" s="288" t="e">
        <f t="array" ref="P29">SUM(J29:K29/G29*100)</f>
        <v>#DIV/0!</v>
      </c>
    </row>
    <row r="30" spans="2:16" x14ac:dyDescent="0.2">
      <c r="B30" s="282"/>
      <c r="C30" s="282"/>
      <c r="D30" s="282"/>
      <c r="E30" s="283"/>
      <c r="F30" s="284"/>
      <c r="G30" s="285"/>
      <c r="H30" s="285"/>
      <c r="I30" s="286"/>
      <c r="J30" s="286"/>
      <c r="K30" s="286"/>
      <c r="L30" s="286"/>
      <c r="M30" s="286"/>
      <c r="N30" s="286"/>
      <c r="O30" s="287">
        <f t="shared" si="0"/>
        <v>0</v>
      </c>
      <c r="P30" s="288" t="e">
        <f t="array" ref="P30">SUM(J30:K30/G30*100)</f>
        <v>#DIV/0!</v>
      </c>
    </row>
    <row r="31" spans="2:16" x14ac:dyDescent="0.2">
      <c r="B31" s="282"/>
      <c r="C31" s="282"/>
      <c r="D31" s="282"/>
      <c r="E31" s="283"/>
      <c r="F31" s="284"/>
      <c r="G31" s="285"/>
      <c r="H31" s="285"/>
      <c r="I31" s="286"/>
      <c r="J31" s="286"/>
      <c r="K31" s="286"/>
      <c r="L31" s="286"/>
      <c r="M31" s="286"/>
      <c r="N31" s="286"/>
      <c r="O31" s="287">
        <f t="shared" si="0"/>
        <v>0</v>
      </c>
      <c r="P31" s="288" t="e">
        <f t="array" ref="P31">SUM(J31:K31/G31*100)</f>
        <v>#DIV/0!</v>
      </c>
    </row>
    <row r="32" spans="2:16" x14ac:dyDescent="0.2">
      <c r="B32" s="282"/>
      <c r="C32" s="282"/>
      <c r="D32" s="282"/>
      <c r="E32" s="283"/>
      <c r="F32" s="284"/>
      <c r="G32" s="285"/>
      <c r="H32" s="285"/>
      <c r="I32" s="286"/>
      <c r="J32" s="286"/>
      <c r="K32" s="286"/>
      <c r="L32" s="286"/>
      <c r="M32" s="286"/>
      <c r="N32" s="286"/>
      <c r="O32" s="287">
        <f t="shared" si="0"/>
        <v>0</v>
      </c>
      <c r="P32" s="288" t="e">
        <f t="array" ref="P32">SUM(J32:K32/G32*100)</f>
        <v>#DIV/0!</v>
      </c>
    </row>
    <row r="33" spans="2:16" x14ac:dyDescent="0.2">
      <c r="B33" s="282"/>
      <c r="C33" s="282"/>
      <c r="D33" s="282"/>
      <c r="E33" s="283"/>
      <c r="F33" s="284"/>
      <c r="G33" s="285"/>
      <c r="H33" s="285"/>
      <c r="I33" s="286"/>
      <c r="J33" s="286"/>
      <c r="K33" s="286"/>
      <c r="L33" s="286"/>
      <c r="M33" s="286"/>
      <c r="N33" s="286"/>
      <c r="O33" s="287">
        <f t="shared" si="0"/>
        <v>0</v>
      </c>
      <c r="P33" s="288" t="e">
        <f t="array" ref="P33">SUM(J33:K33/G33*100)</f>
        <v>#DIV/0!</v>
      </c>
    </row>
    <row r="34" spans="2:16" x14ac:dyDescent="0.2">
      <c r="B34" s="282"/>
      <c r="C34" s="282"/>
      <c r="D34" s="282"/>
      <c r="E34" s="283"/>
      <c r="F34" s="284"/>
      <c r="G34" s="285"/>
      <c r="H34" s="285"/>
      <c r="I34" s="286"/>
      <c r="J34" s="286"/>
      <c r="K34" s="286"/>
      <c r="L34" s="286"/>
      <c r="M34" s="286"/>
      <c r="N34" s="286"/>
      <c r="O34" s="287">
        <f t="shared" si="0"/>
        <v>0</v>
      </c>
      <c r="P34" s="288" t="e">
        <f t="array" ref="P34">SUM(J34:K34/G34*100)</f>
        <v>#DIV/0!</v>
      </c>
    </row>
    <row r="35" spans="2:16" x14ac:dyDescent="0.2">
      <c r="B35" s="282"/>
      <c r="C35" s="282"/>
      <c r="D35" s="282"/>
      <c r="E35" s="283"/>
      <c r="F35" s="284"/>
      <c r="G35" s="285"/>
      <c r="H35" s="285"/>
      <c r="I35" s="286"/>
      <c r="J35" s="286"/>
      <c r="K35" s="286"/>
      <c r="L35" s="286"/>
      <c r="M35" s="286"/>
      <c r="N35" s="286"/>
      <c r="O35" s="287">
        <f t="shared" si="0"/>
        <v>0</v>
      </c>
      <c r="P35" s="288" t="e">
        <f t="array" ref="P35">SUM(J35:K35/G35*100)</f>
        <v>#DIV/0!</v>
      </c>
    </row>
    <row r="36" spans="2:16" x14ac:dyDescent="0.2">
      <c r="B36" s="282"/>
      <c r="C36" s="282"/>
      <c r="D36" s="282"/>
      <c r="E36" s="283"/>
      <c r="F36" s="284"/>
      <c r="G36" s="285"/>
      <c r="H36" s="285"/>
      <c r="I36" s="286"/>
      <c r="J36" s="286"/>
      <c r="K36" s="286"/>
      <c r="L36" s="286"/>
      <c r="M36" s="286"/>
      <c r="N36" s="286"/>
      <c r="O36" s="287">
        <f t="shared" si="0"/>
        <v>0</v>
      </c>
      <c r="P36" s="288" t="e">
        <f t="array" ref="P36">SUM(J36:K36/G36*100)</f>
        <v>#DIV/0!</v>
      </c>
    </row>
    <row r="37" spans="2:16" x14ac:dyDescent="0.2">
      <c r="B37" s="282"/>
      <c r="C37" s="282"/>
      <c r="D37" s="282"/>
      <c r="E37" s="283"/>
      <c r="F37" s="284"/>
      <c r="G37" s="285"/>
      <c r="H37" s="285"/>
      <c r="I37" s="286"/>
      <c r="J37" s="286"/>
      <c r="K37" s="286"/>
      <c r="L37" s="286"/>
      <c r="M37" s="286"/>
      <c r="N37" s="286"/>
      <c r="O37" s="287">
        <f t="shared" si="0"/>
        <v>0</v>
      </c>
      <c r="P37" s="288" t="e">
        <f t="array" ref="P37">SUM(J37:K37/G37*100)</f>
        <v>#DIV/0!</v>
      </c>
    </row>
    <row r="38" spans="2:16" x14ac:dyDescent="0.2">
      <c r="B38" s="282"/>
      <c r="C38" s="282"/>
      <c r="D38" s="282"/>
      <c r="E38" s="283"/>
      <c r="F38" s="284"/>
      <c r="G38" s="285"/>
      <c r="H38" s="285"/>
      <c r="I38" s="286"/>
      <c r="J38" s="286"/>
      <c r="K38" s="286"/>
      <c r="L38" s="286"/>
      <c r="M38" s="286"/>
      <c r="N38" s="286"/>
      <c r="O38" s="287">
        <f t="shared" si="0"/>
        <v>0</v>
      </c>
      <c r="P38" s="288" t="e">
        <f t="array" ref="P38">SUM(J38:K38/G38*100)</f>
        <v>#DIV/0!</v>
      </c>
    </row>
    <row r="39" spans="2:16" x14ac:dyDescent="0.2">
      <c r="B39" s="282"/>
      <c r="C39" s="282"/>
      <c r="D39" s="282"/>
      <c r="E39" s="283"/>
      <c r="F39" s="284"/>
      <c r="G39" s="285"/>
      <c r="H39" s="285"/>
      <c r="I39" s="286"/>
      <c r="J39" s="286"/>
      <c r="K39" s="286"/>
      <c r="L39" s="286"/>
      <c r="M39" s="286"/>
      <c r="N39" s="286"/>
      <c r="O39" s="287">
        <f t="shared" si="0"/>
        <v>0</v>
      </c>
      <c r="P39" s="288" t="e">
        <f t="array" ref="P39">SUM(J39:K39/G39*100)</f>
        <v>#DIV/0!</v>
      </c>
    </row>
    <row r="40" spans="2:16" x14ac:dyDescent="0.2">
      <c r="B40" s="282"/>
      <c r="C40" s="282"/>
      <c r="D40" s="282"/>
      <c r="E40" s="283"/>
      <c r="F40" s="284"/>
      <c r="G40" s="285"/>
      <c r="H40" s="285"/>
      <c r="I40" s="286"/>
      <c r="J40" s="286"/>
      <c r="K40" s="286"/>
      <c r="L40" s="286"/>
      <c r="M40" s="286"/>
      <c r="N40" s="286"/>
      <c r="O40" s="287">
        <f t="shared" si="0"/>
        <v>0</v>
      </c>
      <c r="P40" s="288" t="e">
        <f t="array" ref="P40">SUM(J40:K40/G40*100)</f>
        <v>#DIV/0!</v>
      </c>
    </row>
    <row r="41" spans="2:16" x14ac:dyDescent="0.2">
      <c r="B41" s="282"/>
      <c r="C41" s="282"/>
      <c r="D41" s="282"/>
      <c r="E41" s="283"/>
      <c r="F41" s="284"/>
      <c r="G41" s="285"/>
      <c r="H41" s="285"/>
      <c r="I41" s="286"/>
      <c r="J41" s="286"/>
      <c r="K41" s="286"/>
      <c r="L41" s="286"/>
      <c r="M41" s="286"/>
      <c r="N41" s="286"/>
      <c r="O41" s="287">
        <f t="shared" si="0"/>
        <v>0</v>
      </c>
      <c r="P41" s="288" t="e">
        <f t="array" ref="P41">SUM(J41:K41/G41*100)</f>
        <v>#DIV/0!</v>
      </c>
    </row>
    <row r="42" spans="2:16" x14ac:dyDescent="0.2">
      <c r="B42" s="282"/>
      <c r="C42" s="282"/>
      <c r="D42" s="282"/>
      <c r="E42" s="283"/>
      <c r="F42" s="284"/>
      <c r="G42" s="285"/>
      <c r="H42" s="285"/>
      <c r="I42" s="286"/>
      <c r="J42" s="286"/>
      <c r="K42" s="286"/>
      <c r="L42" s="286"/>
      <c r="M42" s="286"/>
      <c r="N42" s="286"/>
      <c r="O42" s="287">
        <f t="shared" si="0"/>
        <v>0</v>
      </c>
      <c r="P42" s="288" t="e">
        <f t="array" ref="P42">SUM(J42:K42/G42*100)</f>
        <v>#DIV/0!</v>
      </c>
    </row>
    <row r="43" spans="2:16" x14ac:dyDescent="0.2">
      <c r="B43" s="282"/>
      <c r="C43" s="282"/>
      <c r="D43" s="282"/>
      <c r="E43" s="283"/>
      <c r="F43" s="284"/>
      <c r="G43" s="285"/>
      <c r="H43" s="285"/>
      <c r="I43" s="286"/>
      <c r="J43" s="286"/>
      <c r="K43" s="286"/>
      <c r="L43" s="286"/>
      <c r="M43" s="286"/>
      <c r="N43" s="286"/>
      <c r="O43" s="287">
        <f t="shared" si="0"/>
        <v>0</v>
      </c>
      <c r="P43" s="288" t="e">
        <f t="array" ref="P43">SUM(J43:K43/G43*100)</f>
        <v>#DIV/0!</v>
      </c>
    </row>
    <row r="44" spans="2:16" x14ac:dyDescent="0.2">
      <c r="B44" s="282"/>
      <c r="C44" s="282"/>
      <c r="D44" s="282"/>
      <c r="E44" s="283"/>
      <c r="F44" s="284"/>
      <c r="G44" s="285"/>
      <c r="H44" s="285"/>
      <c r="I44" s="286"/>
      <c r="J44" s="286"/>
      <c r="K44" s="286"/>
      <c r="L44" s="286"/>
      <c r="M44" s="286"/>
      <c r="N44" s="286"/>
      <c r="O44" s="287">
        <f t="shared" si="0"/>
        <v>0</v>
      </c>
      <c r="P44" s="288" t="e">
        <f t="array" ref="P44">SUM(J44:K44/G44*100)</f>
        <v>#DIV/0!</v>
      </c>
    </row>
    <row r="45" spans="2:16" x14ac:dyDescent="0.2">
      <c r="B45" s="282"/>
      <c r="C45" s="282"/>
      <c r="D45" s="282"/>
      <c r="E45" s="283"/>
      <c r="F45" s="284"/>
      <c r="G45" s="285"/>
      <c r="H45" s="285"/>
      <c r="I45" s="286"/>
      <c r="J45" s="286"/>
      <c r="K45" s="286"/>
      <c r="L45" s="286"/>
      <c r="M45" s="286"/>
      <c r="N45" s="286"/>
      <c r="O45" s="287">
        <f t="shared" si="0"/>
        <v>0</v>
      </c>
      <c r="P45" s="288" t="e">
        <f t="array" ref="P45">SUM(J45:K45/G45*100)</f>
        <v>#DIV/0!</v>
      </c>
    </row>
    <row r="46" spans="2:16" x14ac:dyDescent="0.2">
      <c r="B46" s="282"/>
      <c r="C46" s="282"/>
      <c r="D46" s="282"/>
      <c r="E46" s="283"/>
      <c r="F46" s="284"/>
      <c r="G46" s="285"/>
      <c r="H46" s="285"/>
      <c r="I46" s="286"/>
      <c r="J46" s="286"/>
      <c r="K46" s="286"/>
      <c r="L46" s="286"/>
      <c r="M46" s="286"/>
      <c r="N46" s="286"/>
      <c r="O46" s="287">
        <f t="shared" si="0"/>
        <v>0</v>
      </c>
      <c r="P46" s="288" t="e">
        <f t="array" ref="P46">SUM(J46:K46/G46*100)</f>
        <v>#DIV/0!</v>
      </c>
    </row>
    <row r="47" spans="2:16" x14ac:dyDescent="0.2">
      <c r="B47" s="282"/>
      <c r="C47" s="282"/>
      <c r="D47" s="282"/>
      <c r="E47" s="283"/>
      <c r="F47" s="284"/>
      <c r="G47" s="285"/>
      <c r="H47" s="285"/>
      <c r="I47" s="286"/>
      <c r="J47" s="286"/>
      <c r="K47" s="286"/>
      <c r="L47" s="286"/>
      <c r="M47" s="286"/>
      <c r="N47" s="286"/>
      <c r="O47" s="287">
        <f t="shared" si="0"/>
        <v>0</v>
      </c>
      <c r="P47" s="288" t="e">
        <f t="array" ref="P47">SUM(J47:K47/G47*100)</f>
        <v>#DIV/0!</v>
      </c>
    </row>
    <row r="48" spans="2:16" x14ac:dyDescent="0.2">
      <c r="B48" s="282"/>
      <c r="C48" s="282"/>
      <c r="D48" s="282"/>
      <c r="E48" s="283"/>
      <c r="F48" s="284"/>
      <c r="G48" s="285"/>
      <c r="H48" s="285"/>
      <c r="I48" s="286"/>
      <c r="J48" s="286"/>
      <c r="K48" s="286"/>
      <c r="L48" s="286"/>
      <c r="M48" s="286"/>
      <c r="N48" s="286"/>
      <c r="O48" s="287">
        <f t="shared" si="0"/>
        <v>0</v>
      </c>
      <c r="P48" s="288" t="e">
        <f t="array" ref="P48">SUM(J48:K48/G48*100)</f>
        <v>#DIV/0!</v>
      </c>
    </row>
    <row r="49" spans="2:16" x14ac:dyDescent="0.2">
      <c r="B49" s="282"/>
      <c r="C49" s="282"/>
      <c r="D49" s="282"/>
      <c r="E49" s="283"/>
      <c r="F49" s="284"/>
      <c r="G49" s="285"/>
      <c r="H49" s="285"/>
      <c r="I49" s="286"/>
      <c r="J49" s="286"/>
      <c r="K49" s="286"/>
      <c r="L49" s="286"/>
      <c r="M49" s="286"/>
      <c r="N49" s="286"/>
      <c r="O49" s="287">
        <f t="shared" si="0"/>
        <v>0</v>
      </c>
      <c r="P49" s="288" t="e">
        <f t="array" ref="P49">SUM(J49:K49/G49*100)</f>
        <v>#DIV/0!</v>
      </c>
    </row>
    <row r="50" spans="2:16" x14ac:dyDescent="0.2">
      <c r="B50" s="282"/>
      <c r="C50" s="282"/>
      <c r="D50" s="282"/>
      <c r="E50" s="283"/>
      <c r="F50" s="284"/>
      <c r="G50" s="285"/>
      <c r="H50" s="285"/>
      <c r="I50" s="286"/>
      <c r="J50" s="286"/>
      <c r="K50" s="286"/>
      <c r="L50" s="286"/>
      <c r="M50" s="286"/>
      <c r="N50" s="286"/>
      <c r="O50" s="287">
        <f t="shared" si="0"/>
        <v>0</v>
      </c>
      <c r="P50" s="288" t="e">
        <f t="array" ref="P50">SUM(J50:K50/G50*100)</f>
        <v>#DIV/0!</v>
      </c>
    </row>
    <row r="51" spans="2:16" x14ac:dyDescent="0.2">
      <c r="B51" s="282"/>
      <c r="C51" s="282"/>
      <c r="D51" s="282"/>
      <c r="E51" s="283"/>
      <c r="F51" s="284"/>
      <c r="G51" s="285"/>
      <c r="H51" s="285"/>
      <c r="I51" s="286"/>
      <c r="J51" s="286"/>
      <c r="K51" s="286"/>
      <c r="L51" s="286"/>
      <c r="M51" s="286"/>
      <c r="N51" s="286"/>
      <c r="O51" s="287">
        <f t="shared" si="0"/>
        <v>0</v>
      </c>
      <c r="P51" s="288" t="e">
        <f t="array" ref="P51">SUM(J51:K51/G51*100)</f>
        <v>#DIV/0!</v>
      </c>
    </row>
    <row r="52" spans="2:16" x14ac:dyDescent="0.2">
      <c r="B52" s="282"/>
      <c r="C52" s="282"/>
      <c r="D52" s="282"/>
      <c r="E52" s="283"/>
      <c r="F52" s="284"/>
      <c r="G52" s="285"/>
      <c r="H52" s="285"/>
      <c r="I52" s="286"/>
      <c r="J52" s="286"/>
      <c r="K52" s="286"/>
      <c r="L52" s="286"/>
      <c r="M52" s="286"/>
      <c r="N52" s="286"/>
      <c r="O52" s="287">
        <f t="shared" si="0"/>
        <v>0</v>
      </c>
      <c r="P52" s="288" t="e">
        <f t="array" ref="P52">SUM(J52:K52/G52*100)</f>
        <v>#DIV/0!</v>
      </c>
    </row>
    <row r="53" spans="2:16" x14ac:dyDescent="0.2">
      <c r="B53" s="282"/>
      <c r="C53" s="282"/>
      <c r="D53" s="282"/>
      <c r="E53" s="283"/>
      <c r="F53" s="284"/>
      <c r="G53" s="285"/>
      <c r="H53" s="285"/>
      <c r="I53" s="286"/>
      <c r="J53" s="286"/>
      <c r="K53" s="286"/>
      <c r="L53" s="286"/>
      <c r="M53" s="286"/>
      <c r="N53" s="286"/>
      <c r="O53" s="287">
        <f t="shared" si="0"/>
        <v>0</v>
      </c>
      <c r="P53" s="288" t="e">
        <f t="array" ref="P53">SUM(J53:K53/G53*100)</f>
        <v>#DIV/0!</v>
      </c>
    </row>
    <row r="54" spans="2:16" x14ac:dyDescent="0.2">
      <c r="B54" s="282"/>
      <c r="C54" s="282"/>
      <c r="D54" s="282"/>
      <c r="E54" s="283"/>
      <c r="F54" s="284"/>
      <c r="G54" s="285"/>
      <c r="H54" s="285"/>
      <c r="I54" s="286"/>
      <c r="J54" s="286"/>
      <c r="K54" s="286"/>
      <c r="L54" s="286"/>
      <c r="M54" s="286"/>
      <c r="N54" s="286"/>
      <c r="O54" s="287">
        <f t="shared" si="0"/>
        <v>0</v>
      </c>
      <c r="P54" s="288" t="e">
        <f t="array" ref="P54">SUM(J54:K54/G54*100)</f>
        <v>#DIV/0!</v>
      </c>
    </row>
    <row r="55" spans="2:16" x14ac:dyDescent="0.2">
      <c r="B55" s="282"/>
      <c r="C55" s="282"/>
      <c r="D55" s="282"/>
      <c r="E55" s="283"/>
      <c r="F55" s="284"/>
      <c r="G55" s="285"/>
      <c r="H55" s="285"/>
      <c r="I55" s="286"/>
      <c r="J55" s="286"/>
      <c r="K55" s="286"/>
      <c r="L55" s="286"/>
      <c r="M55" s="286"/>
      <c r="N55" s="286"/>
      <c r="O55" s="287">
        <f t="shared" si="0"/>
        <v>0</v>
      </c>
      <c r="P55" s="288" t="e">
        <f t="array" ref="P55">SUM(J55:K55/G55*100)</f>
        <v>#DIV/0!</v>
      </c>
    </row>
    <row r="56" spans="2:16" x14ac:dyDescent="0.2">
      <c r="B56" s="282"/>
      <c r="C56" s="282"/>
      <c r="D56" s="282"/>
      <c r="E56" s="283"/>
      <c r="F56" s="284"/>
      <c r="G56" s="285"/>
      <c r="H56" s="285"/>
      <c r="I56" s="286"/>
      <c r="J56" s="286"/>
      <c r="K56" s="286"/>
      <c r="L56" s="286"/>
      <c r="M56" s="286"/>
      <c r="N56" s="286"/>
      <c r="O56" s="287">
        <f t="shared" si="0"/>
        <v>0</v>
      </c>
      <c r="P56" s="288" t="e">
        <f t="array" ref="P56">SUM(J56:K56/G56*100)</f>
        <v>#DIV/0!</v>
      </c>
    </row>
    <row r="57" spans="2:16" x14ac:dyDescent="0.2">
      <c r="B57" s="282"/>
      <c r="C57" s="282"/>
      <c r="D57" s="282"/>
      <c r="E57" s="283"/>
      <c r="F57" s="284"/>
      <c r="G57" s="285"/>
      <c r="H57" s="285"/>
      <c r="I57" s="286"/>
      <c r="J57" s="286"/>
      <c r="K57" s="286"/>
      <c r="L57" s="286"/>
      <c r="M57" s="286"/>
      <c r="N57" s="286"/>
      <c r="O57" s="287">
        <f t="shared" si="0"/>
        <v>0</v>
      </c>
      <c r="P57" s="288" t="e">
        <f t="array" ref="P57">SUM(J57:K57/G57*100)</f>
        <v>#DIV/0!</v>
      </c>
    </row>
    <row r="58" spans="2:16" x14ac:dyDescent="0.2">
      <c r="B58" s="282"/>
      <c r="C58" s="282"/>
      <c r="D58" s="282"/>
      <c r="E58" s="283"/>
      <c r="F58" s="284"/>
      <c r="G58" s="285"/>
      <c r="H58" s="285"/>
      <c r="I58" s="286"/>
      <c r="J58" s="286"/>
      <c r="K58" s="286"/>
      <c r="L58" s="286"/>
      <c r="M58" s="286"/>
      <c r="N58" s="286"/>
      <c r="O58" s="287">
        <f t="shared" si="0"/>
        <v>0</v>
      </c>
      <c r="P58" s="288" t="e">
        <f t="array" ref="P58">SUM(J58:K58/G58*100)</f>
        <v>#DIV/0!</v>
      </c>
    </row>
    <row r="59" spans="2:16" x14ac:dyDescent="0.2">
      <c r="B59" s="282"/>
      <c r="C59" s="282"/>
      <c r="D59" s="282"/>
      <c r="E59" s="283"/>
      <c r="F59" s="284"/>
      <c r="G59" s="285"/>
      <c r="H59" s="285"/>
      <c r="I59" s="286"/>
      <c r="J59" s="286"/>
      <c r="K59" s="286"/>
      <c r="L59" s="286"/>
      <c r="M59" s="286"/>
      <c r="N59" s="286"/>
      <c r="O59" s="287">
        <f t="shared" si="0"/>
        <v>0</v>
      </c>
      <c r="P59" s="288" t="e">
        <f t="array" ref="P59">SUM(J59:K59/G59*100)</f>
        <v>#DIV/0!</v>
      </c>
    </row>
    <row r="60" spans="2:16" x14ac:dyDescent="0.2">
      <c r="B60" s="282"/>
      <c r="C60" s="282"/>
      <c r="D60" s="282"/>
      <c r="E60" s="283"/>
      <c r="F60" s="284"/>
      <c r="G60" s="285"/>
      <c r="H60" s="285"/>
      <c r="I60" s="286"/>
      <c r="J60" s="286"/>
      <c r="K60" s="286"/>
      <c r="L60" s="286"/>
      <c r="M60" s="286"/>
      <c r="N60" s="286"/>
      <c r="O60" s="287">
        <f t="shared" si="0"/>
        <v>0</v>
      </c>
      <c r="P60" s="288" t="e">
        <f t="array" ref="P60">SUM(J60:K60/G60*100)</f>
        <v>#DIV/0!</v>
      </c>
    </row>
    <row r="61" spans="2:16" x14ac:dyDescent="0.2">
      <c r="B61" s="282"/>
      <c r="C61" s="282"/>
      <c r="D61" s="282"/>
      <c r="E61" s="283"/>
      <c r="F61" s="284"/>
      <c r="G61" s="285"/>
      <c r="H61" s="285"/>
      <c r="I61" s="286"/>
      <c r="J61" s="286"/>
      <c r="K61" s="286"/>
      <c r="L61" s="286"/>
      <c r="M61" s="286"/>
      <c r="N61" s="286"/>
      <c r="O61" s="287">
        <f t="shared" si="0"/>
        <v>0</v>
      </c>
      <c r="P61" s="288" t="e">
        <f t="array" ref="P61">SUM(J61:K61/G61*100)</f>
        <v>#DIV/0!</v>
      </c>
    </row>
    <row r="62" spans="2:16" x14ac:dyDescent="0.2">
      <c r="B62" s="282"/>
      <c r="C62" s="282"/>
      <c r="D62" s="282"/>
      <c r="E62" s="283"/>
      <c r="F62" s="284"/>
      <c r="G62" s="285"/>
      <c r="H62" s="285"/>
      <c r="I62" s="286"/>
      <c r="J62" s="286"/>
      <c r="K62" s="286"/>
      <c r="L62" s="286"/>
      <c r="M62" s="286"/>
      <c r="N62" s="286"/>
      <c r="O62" s="287">
        <f t="shared" si="0"/>
        <v>0</v>
      </c>
      <c r="P62" s="288" t="e">
        <f t="array" ref="P62">SUM(J62:K62/G62*100)</f>
        <v>#DIV/0!</v>
      </c>
    </row>
    <row r="63" spans="2:16" x14ac:dyDescent="0.2">
      <c r="B63" s="282"/>
      <c r="C63" s="282"/>
      <c r="D63" s="282"/>
      <c r="E63" s="283"/>
      <c r="F63" s="284"/>
      <c r="G63" s="285"/>
      <c r="H63" s="285"/>
      <c r="I63" s="286"/>
      <c r="J63" s="286"/>
      <c r="K63" s="286"/>
      <c r="L63" s="286"/>
      <c r="M63" s="286"/>
      <c r="N63" s="286"/>
      <c r="O63" s="287">
        <f t="shared" si="0"/>
        <v>0</v>
      </c>
      <c r="P63" s="288" t="e">
        <f t="array" ref="P63">SUM(J63:K63/G63*100)</f>
        <v>#DIV/0!</v>
      </c>
    </row>
    <row r="64" spans="2:16" x14ac:dyDescent="0.2">
      <c r="B64" s="282"/>
      <c r="C64" s="282"/>
      <c r="D64" s="282"/>
      <c r="E64" s="283"/>
      <c r="F64" s="284"/>
      <c r="G64" s="285"/>
      <c r="H64" s="285"/>
      <c r="I64" s="286"/>
      <c r="J64" s="286"/>
      <c r="K64" s="286"/>
      <c r="L64" s="286"/>
      <c r="M64" s="286"/>
      <c r="N64" s="286"/>
      <c r="O64" s="287">
        <f t="shared" si="0"/>
        <v>0</v>
      </c>
      <c r="P64" s="288" t="e">
        <f t="array" ref="P64">SUM(J64:K64/G64*100)</f>
        <v>#DIV/0!</v>
      </c>
    </row>
    <row r="65" spans="2:16" x14ac:dyDescent="0.2">
      <c r="B65" s="282"/>
      <c r="C65" s="282"/>
      <c r="D65" s="282"/>
      <c r="E65" s="283"/>
      <c r="F65" s="284"/>
      <c r="G65" s="285"/>
      <c r="H65" s="285"/>
      <c r="I65" s="286"/>
      <c r="J65" s="286"/>
      <c r="K65" s="286"/>
      <c r="L65" s="286"/>
      <c r="M65" s="286"/>
      <c r="N65" s="286"/>
      <c r="O65" s="287">
        <f t="shared" si="0"/>
        <v>0</v>
      </c>
      <c r="P65" s="288" t="e">
        <f t="array" ref="P65">SUM(J65:K65/G65*100)</f>
        <v>#DIV/0!</v>
      </c>
    </row>
    <row r="66" spans="2:16" x14ac:dyDescent="0.2">
      <c r="B66" s="282"/>
      <c r="C66" s="282"/>
      <c r="D66" s="282"/>
      <c r="E66" s="283"/>
      <c r="F66" s="284"/>
      <c r="G66" s="285"/>
      <c r="H66" s="285"/>
      <c r="I66" s="286"/>
      <c r="J66" s="286"/>
      <c r="K66" s="286"/>
      <c r="L66" s="286"/>
      <c r="M66" s="286"/>
      <c r="N66" s="286"/>
      <c r="O66" s="287">
        <f t="shared" si="0"/>
        <v>0</v>
      </c>
      <c r="P66" s="288" t="e">
        <f t="array" ref="P66">SUM(J66:K66/G66*100)</f>
        <v>#DIV/0!</v>
      </c>
    </row>
    <row r="67" spans="2:16" x14ac:dyDescent="0.2">
      <c r="B67" s="282"/>
      <c r="C67" s="282"/>
      <c r="D67" s="282"/>
      <c r="E67" s="283"/>
      <c r="F67" s="284"/>
      <c r="G67" s="285"/>
      <c r="H67" s="285"/>
      <c r="I67" s="286"/>
      <c r="J67" s="286"/>
      <c r="K67" s="286"/>
      <c r="L67" s="286"/>
      <c r="M67" s="286"/>
      <c r="N67" s="286"/>
      <c r="O67" s="287">
        <f t="shared" si="0"/>
        <v>0</v>
      </c>
      <c r="P67" s="288" t="e">
        <f t="array" ref="P67">SUM(J67:K67/G67*100)</f>
        <v>#DIV/0!</v>
      </c>
    </row>
    <row r="68" spans="2:16" x14ac:dyDescent="0.2">
      <c r="B68" s="282"/>
      <c r="C68" s="282"/>
      <c r="D68" s="282"/>
      <c r="E68" s="283"/>
      <c r="F68" s="284"/>
      <c r="G68" s="285"/>
      <c r="H68" s="285"/>
      <c r="I68" s="286"/>
      <c r="J68" s="286"/>
      <c r="K68" s="286"/>
      <c r="L68" s="286"/>
      <c r="M68" s="286"/>
      <c r="N68" s="286"/>
      <c r="O68" s="287">
        <f t="shared" si="0"/>
        <v>0</v>
      </c>
      <c r="P68" s="288" t="e">
        <f t="array" ref="P68">SUM(J68:K68/G68*100)</f>
        <v>#DIV/0!</v>
      </c>
    </row>
    <row r="69" spans="2:16" x14ac:dyDescent="0.2">
      <c r="B69" s="282"/>
      <c r="C69" s="282"/>
      <c r="D69" s="282"/>
      <c r="E69" s="283"/>
      <c r="F69" s="284"/>
      <c r="G69" s="285"/>
      <c r="H69" s="285"/>
      <c r="I69" s="286"/>
      <c r="J69" s="286"/>
      <c r="K69" s="286"/>
      <c r="L69" s="286"/>
      <c r="M69" s="286"/>
      <c r="N69" s="286"/>
      <c r="O69" s="287">
        <f t="shared" si="0"/>
        <v>0</v>
      </c>
      <c r="P69" s="288" t="e">
        <f t="array" ref="P69">SUM(J69:K69/G69*100)</f>
        <v>#DIV/0!</v>
      </c>
    </row>
    <row r="70" spans="2:16" x14ac:dyDescent="0.2">
      <c r="B70" s="282"/>
      <c r="C70" s="282"/>
      <c r="D70" s="282"/>
      <c r="E70" s="283"/>
      <c r="F70" s="284"/>
      <c r="G70" s="285"/>
      <c r="H70" s="285"/>
      <c r="I70" s="286"/>
      <c r="J70" s="286"/>
      <c r="K70" s="286"/>
      <c r="L70" s="286"/>
      <c r="M70" s="286"/>
      <c r="N70" s="286"/>
      <c r="O70" s="287">
        <f t="shared" si="0"/>
        <v>0</v>
      </c>
      <c r="P70" s="288" t="e">
        <f t="array" ref="P70">SUM(J70:K70/G70*100)</f>
        <v>#DIV/0!</v>
      </c>
    </row>
    <row r="71" spans="2:16" x14ac:dyDescent="0.2">
      <c r="B71" s="282"/>
      <c r="C71" s="282"/>
      <c r="D71" s="282"/>
      <c r="E71" s="283"/>
      <c r="F71" s="284"/>
      <c r="G71" s="285"/>
      <c r="H71" s="285"/>
      <c r="I71" s="286"/>
      <c r="J71" s="286"/>
      <c r="K71" s="286"/>
      <c r="L71" s="286"/>
      <c r="M71" s="286"/>
      <c r="N71" s="286"/>
      <c r="O71" s="287">
        <f t="shared" ref="O71:O134" si="1">IFERROR(N71*6,0)</f>
        <v>0</v>
      </c>
      <c r="P71" s="288" t="e">
        <f t="array" ref="P71">SUM(J71:K71/G71*100)</f>
        <v>#DIV/0!</v>
      </c>
    </row>
    <row r="72" spans="2:16" x14ac:dyDescent="0.2">
      <c r="B72" s="282"/>
      <c r="C72" s="282"/>
      <c r="D72" s="282"/>
      <c r="E72" s="283"/>
      <c r="F72" s="284"/>
      <c r="G72" s="285"/>
      <c r="H72" s="285"/>
      <c r="I72" s="286"/>
      <c r="J72" s="286"/>
      <c r="K72" s="286"/>
      <c r="L72" s="286"/>
      <c r="M72" s="286"/>
      <c r="N72" s="286"/>
      <c r="O72" s="287">
        <f t="shared" si="1"/>
        <v>0</v>
      </c>
      <c r="P72" s="288" t="e">
        <f t="array" ref="P72">SUM(J72:K72/G72*100)</f>
        <v>#DIV/0!</v>
      </c>
    </row>
    <row r="73" spans="2:16" x14ac:dyDescent="0.2">
      <c r="B73" s="282"/>
      <c r="C73" s="282"/>
      <c r="D73" s="282"/>
      <c r="E73" s="283"/>
      <c r="F73" s="284"/>
      <c r="G73" s="285"/>
      <c r="H73" s="285"/>
      <c r="I73" s="286"/>
      <c r="J73" s="286"/>
      <c r="K73" s="286"/>
      <c r="L73" s="286"/>
      <c r="M73" s="286"/>
      <c r="N73" s="286"/>
      <c r="O73" s="287">
        <f t="shared" si="1"/>
        <v>0</v>
      </c>
      <c r="P73" s="288" t="e">
        <f t="array" ref="P73">SUM(J73:K73/G73*100)</f>
        <v>#DIV/0!</v>
      </c>
    </row>
    <row r="74" spans="2:16" x14ac:dyDescent="0.2">
      <c r="B74" s="282"/>
      <c r="C74" s="282"/>
      <c r="D74" s="282"/>
      <c r="E74" s="283"/>
      <c r="F74" s="284"/>
      <c r="G74" s="285"/>
      <c r="H74" s="285"/>
      <c r="I74" s="286"/>
      <c r="J74" s="286"/>
      <c r="K74" s="286"/>
      <c r="L74" s="286"/>
      <c r="M74" s="286"/>
      <c r="N74" s="286"/>
      <c r="O74" s="287">
        <f t="shared" si="1"/>
        <v>0</v>
      </c>
      <c r="P74" s="288" t="e">
        <f t="array" ref="P74">SUM(J74:K74/G74*100)</f>
        <v>#DIV/0!</v>
      </c>
    </row>
    <row r="75" spans="2:16" x14ac:dyDescent="0.2">
      <c r="B75" s="282"/>
      <c r="C75" s="282"/>
      <c r="D75" s="282"/>
      <c r="E75" s="283"/>
      <c r="F75" s="284"/>
      <c r="G75" s="285"/>
      <c r="H75" s="285"/>
      <c r="I75" s="286"/>
      <c r="J75" s="286"/>
      <c r="K75" s="286"/>
      <c r="L75" s="286"/>
      <c r="M75" s="286"/>
      <c r="N75" s="286"/>
      <c r="O75" s="287">
        <f t="shared" si="1"/>
        <v>0</v>
      </c>
      <c r="P75" s="288" t="e">
        <f t="array" ref="P75">SUM(J75:K75/G75*100)</f>
        <v>#DIV/0!</v>
      </c>
    </row>
    <row r="76" spans="2:16" x14ac:dyDescent="0.2">
      <c r="B76" s="282"/>
      <c r="C76" s="282"/>
      <c r="D76" s="282"/>
      <c r="E76" s="283"/>
      <c r="F76" s="284"/>
      <c r="G76" s="285"/>
      <c r="H76" s="285"/>
      <c r="I76" s="286"/>
      <c r="J76" s="286"/>
      <c r="K76" s="286"/>
      <c r="L76" s="286"/>
      <c r="M76" s="286"/>
      <c r="N76" s="286"/>
      <c r="O76" s="287">
        <f t="shared" si="1"/>
        <v>0</v>
      </c>
      <c r="P76" s="288" t="e">
        <f t="array" ref="P76">SUM(J76:K76/G76*100)</f>
        <v>#DIV/0!</v>
      </c>
    </row>
    <row r="77" spans="2:16" x14ac:dyDescent="0.2">
      <c r="B77" s="282"/>
      <c r="C77" s="282"/>
      <c r="D77" s="282"/>
      <c r="E77" s="283"/>
      <c r="F77" s="284"/>
      <c r="G77" s="285"/>
      <c r="H77" s="285"/>
      <c r="I77" s="286"/>
      <c r="J77" s="286"/>
      <c r="K77" s="286"/>
      <c r="L77" s="286"/>
      <c r="M77" s="286"/>
      <c r="N77" s="286"/>
      <c r="O77" s="287">
        <f t="shared" si="1"/>
        <v>0</v>
      </c>
      <c r="P77" s="288" t="e">
        <f t="array" ref="P77">SUM(J77:K77/G77*100)</f>
        <v>#DIV/0!</v>
      </c>
    </row>
    <row r="78" spans="2:16" x14ac:dyDescent="0.2">
      <c r="B78" s="282"/>
      <c r="C78" s="282"/>
      <c r="D78" s="282"/>
      <c r="E78" s="283"/>
      <c r="F78" s="284"/>
      <c r="G78" s="285"/>
      <c r="H78" s="285"/>
      <c r="I78" s="286"/>
      <c r="J78" s="286"/>
      <c r="K78" s="286"/>
      <c r="L78" s="286"/>
      <c r="M78" s="286"/>
      <c r="N78" s="286"/>
      <c r="O78" s="287">
        <f t="shared" si="1"/>
        <v>0</v>
      </c>
      <c r="P78" s="288" t="e">
        <f t="array" ref="P78">SUM(J78:K78/G78*100)</f>
        <v>#DIV/0!</v>
      </c>
    </row>
    <row r="79" spans="2:16" x14ac:dyDescent="0.2">
      <c r="B79" s="282"/>
      <c r="C79" s="282"/>
      <c r="D79" s="282"/>
      <c r="E79" s="283"/>
      <c r="F79" s="284"/>
      <c r="G79" s="285"/>
      <c r="H79" s="285"/>
      <c r="I79" s="286"/>
      <c r="J79" s="286"/>
      <c r="K79" s="286"/>
      <c r="L79" s="286"/>
      <c r="M79" s="286"/>
      <c r="N79" s="286"/>
      <c r="O79" s="287">
        <f t="shared" si="1"/>
        <v>0</v>
      </c>
      <c r="P79" s="288" t="e">
        <f t="array" ref="P79">SUM(J79:K79/G79*100)</f>
        <v>#DIV/0!</v>
      </c>
    </row>
    <row r="80" spans="2:16" x14ac:dyDescent="0.2">
      <c r="B80" s="282"/>
      <c r="C80" s="282"/>
      <c r="D80" s="282"/>
      <c r="E80" s="283"/>
      <c r="F80" s="284"/>
      <c r="G80" s="285"/>
      <c r="H80" s="285"/>
      <c r="I80" s="286"/>
      <c r="J80" s="286"/>
      <c r="K80" s="286"/>
      <c r="L80" s="286"/>
      <c r="M80" s="286"/>
      <c r="N80" s="286"/>
      <c r="O80" s="287">
        <f t="shared" si="1"/>
        <v>0</v>
      </c>
      <c r="P80" s="288" t="e">
        <f t="array" ref="P80">SUM(J80:K80/G80*100)</f>
        <v>#DIV/0!</v>
      </c>
    </row>
    <row r="81" spans="2:16" x14ac:dyDescent="0.2">
      <c r="B81" s="282"/>
      <c r="C81" s="282"/>
      <c r="D81" s="282"/>
      <c r="E81" s="283"/>
      <c r="F81" s="284"/>
      <c r="G81" s="285"/>
      <c r="H81" s="285"/>
      <c r="I81" s="286"/>
      <c r="J81" s="286"/>
      <c r="K81" s="286"/>
      <c r="L81" s="286"/>
      <c r="M81" s="286"/>
      <c r="N81" s="286"/>
      <c r="O81" s="287">
        <f t="shared" si="1"/>
        <v>0</v>
      </c>
      <c r="P81" s="288" t="e">
        <f t="array" ref="P81">SUM(J81:K81/G81*100)</f>
        <v>#DIV/0!</v>
      </c>
    </row>
    <row r="82" spans="2:16" x14ac:dyDescent="0.2">
      <c r="B82" s="282"/>
      <c r="C82" s="282"/>
      <c r="D82" s="282"/>
      <c r="E82" s="283"/>
      <c r="F82" s="284"/>
      <c r="G82" s="285"/>
      <c r="H82" s="285"/>
      <c r="I82" s="286"/>
      <c r="J82" s="286"/>
      <c r="K82" s="286"/>
      <c r="L82" s="286"/>
      <c r="M82" s="286"/>
      <c r="N82" s="286"/>
      <c r="O82" s="287">
        <f t="shared" si="1"/>
        <v>0</v>
      </c>
      <c r="P82" s="288" t="e">
        <f t="array" ref="P82">SUM(J82:K82/G82*100)</f>
        <v>#DIV/0!</v>
      </c>
    </row>
    <row r="83" spans="2:16" x14ac:dyDescent="0.2">
      <c r="B83" s="282"/>
      <c r="C83" s="282"/>
      <c r="D83" s="282"/>
      <c r="E83" s="283"/>
      <c r="F83" s="284"/>
      <c r="G83" s="285"/>
      <c r="H83" s="285"/>
      <c r="I83" s="286"/>
      <c r="J83" s="286"/>
      <c r="K83" s="286"/>
      <c r="L83" s="286"/>
      <c r="M83" s="286"/>
      <c r="N83" s="286"/>
      <c r="O83" s="287">
        <f t="shared" si="1"/>
        <v>0</v>
      </c>
      <c r="P83" s="288" t="e">
        <f t="array" ref="P83">SUM(J83:K83/G83*100)</f>
        <v>#DIV/0!</v>
      </c>
    </row>
    <row r="84" spans="2:16" x14ac:dyDescent="0.2">
      <c r="B84" s="282"/>
      <c r="C84" s="282"/>
      <c r="D84" s="282"/>
      <c r="E84" s="283"/>
      <c r="F84" s="284"/>
      <c r="G84" s="285"/>
      <c r="H84" s="285"/>
      <c r="I84" s="286"/>
      <c r="J84" s="286"/>
      <c r="K84" s="286"/>
      <c r="L84" s="286"/>
      <c r="M84" s="286"/>
      <c r="N84" s="286"/>
      <c r="O84" s="287">
        <f t="shared" si="1"/>
        <v>0</v>
      </c>
      <c r="P84" s="288" t="e">
        <f t="array" ref="P84">SUM(J84:K84/G84*100)</f>
        <v>#DIV/0!</v>
      </c>
    </row>
    <row r="85" spans="2:16" x14ac:dyDescent="0.2">
      <c r="B85" s="282"/>
      <c r="C85" s="282"/>
      <c r="D85" s="282"/>
      <c r="E85" s="283"/>
      <c r="F85" s="284"/>
      <c r="G85" s="285"/>
      <c r="H85" s="285"/>
      <c r="I85" s="286"/>
      <c r="J85" s="286"/>
      <c r="K85" s="286"/>
      <c r="L85" s="286"/>
      <c r="M85" s="286"/>
      <c r="N85" s="286"/>
      <c r="O85" s="287">
        <f t="shared" si="1"/>
        <v>0</v>
      </c>
      <c r="P85" s="288" t="e">
        <f t="array" ref="P85">SUM(J85:K85/G85*100)</f>
        <v>#DIV/0!</v>
      </c>
    </row>
    <row r="86" spans="2:16" x14ac:dyDescent="0.2">
      <c r="B86" s="282"/>
      <c r="C86" s="282"/>
      <c r="D86" s="282"/>
      <c r="E86" s="283"/>
      <c r="F86" s="284"/>
      <c r="G86" s="285"/>
      <c r="H86" s="285"/>
      <c r="I86" s="286"/>
      <c r="J86" s="286"/>
      <c r="K86" s="286"/>
      <c r="L86" s="286"/>
      <c r="M86" s="286"/>
      <c r="N86" s="286"/>
      <c r="O86" s="287">
        <f t="shared" si="1"/>
        <v>0</v>
      </c>
      <c r="P86" s="288" t="e">
        <f t="array" ref="P86">SUM(J86:K86/G86*100)</f>
        <v>#DIV/0!</v>
      </c>
    </row>
    <row r="87" spans="2:16" x14ac:dyDescent="0.2">
      <c r="B87" s="282"/>
      <c r="C87" s="282"/>
      <c r="D87" s="282"/>
      <c r="E87" s="283"/>
      <c r="F87" s="284"/>
      <c r="G87" s="285"/>
      <c r="H87" s="285"/>
      <c r="I87" s="286"/>
      <c r="J87" s="286"/>
      <c r="K87" s="286"/>
      <c r="L87" s="286"/>
      <c r="M87" s="286"/>
      <c r="N87" s="286"/>
      <c r="O87" s="287">
        <f t="shared" si="1"/>
        <v>0</v>
      </c>
      <c r="P87" s="288" t="e">
        <f t="array" ref="P87">SUM(J87:K87/G87*100)</f>
        <v>#DIV/0!</v>
      </c>
    </row>
    <row r="88" spans="2:16" x14ac:dyDescent="0.2">
      <c r="B88" s="282"/>
      <c r="C88" s="282"/>
      <c r="D88" s="282"/>
      <c r="E88" s="283"/>
      <c r="F88" s="284"/>
      <c r="G88" s="285"/>
      <c r="H88" s="285"/>
      <c r="I88" s="286"/>
      <c r="J88" s="286"/>
      <c r="K88" s="286"/>
      <c r="L88" s="286"/>
      <c r="M88" s="286"/>
      <c r="N88" s="286"/>
      <c r="O88" s="287">
        <f t="shared" si="1"/>
        <v>0</v>
      </c>
      <c r="P88" s="288" t="e">
        <f t="array" ref="P88">SUM(J88:K88/G88*100)</f>
        <v>#DIV/0!</v>
      </c>
    </row>
    <row r="89" spans="2:16" x14ac:dyDescent="0.2">
      <c r="B89" s="282"/>
      <c r="C89" s="282"/>
      <c r="D89" s="282"/>
      <c r="E89" s="283"/>
      <c r="F89" s="284"/>
      <c r="G89" s="285"/>
      <c r="H89" s="285"/>
      <c r="I89" s="286"/>
      <c r="J89" s="286"/>
      <c r="K89" s="286"/>
      <c r="L89" s="286"/>
      <c r="M89" s="286"/>
      <c r="N89" s="286"/>
      <c r="O89" s="287">
        <f t="shared" si="1"/>
        <v>0</v>
      </c>
      <c r="P89" s="288" t="e">
        <f t="array" ref="P89">SUM(J89:K89/G89*100)</f>
        <v>#DIV/0!</v>
      </c>
    </row>
    <row r="90" spans="2:16" x14ac:dyDescent="0.2">
      <c r="B90" s="282"/>
      <c r="C90" s="282"/>
      <c r="D90" s="282"/>
      <c r="E90" s="283"/>
      <c r="F90" s="284"/>
      <c r="G90" s="285"/>
      <c r="H90" s="285"/>
      <c r="I90" s="286"/>
      <c r="J90" s="286"/>
      <c r="K90" s="286"/>
      <c r="L90" s="286"/>
      <c r="M90" s="286"/>
      <c r="N90" s="286"/>
      <c r="O90" s="287">
        <f t="shared" si="1"/>
        <v>0</v>
      </c>
      <c r="P90" s="288" t="e">
        <f t="array" ref="P90">SUM(J90:K90/G90*100)</f>
        <v>#DIV/0!</v>
      </c>
    </row>
    <row r="91" spans="2:16" x14ac:dyDescent="0.2">
      <c r="B91" s="282"/>
      <c r="C91" s="282"/>
      <c r="D91" s="282"/>
      <c r="E91" s="283"/>
      <c r="F91" s="284"/>
      <c r="G91" s="285"/>
      <c r="H91" s="285"/>
      <c r="I91" s="286"/>
      <c r="J91" s="286"/>
      <c r="K91" s="286"/>
      <c r="L91" s="286"/>
      <c r="M91" s="286"/>
      <c r="N91" s="286"/>
      <c r="O91" s="287">
        <f t="shared" si="1"/>
        <v>0</v>
      </c>
      <c r="P91" s="288" t="e">
        <f t="array" ref="P91">SUM(J91:K91/G91*100)</f>
        <v>#DIV/0!</v>
      </c>
    </row>
    <row r="92" spans="2:16" x14ac:dyDescent="0.2">
      <c r="B92" s="282"/>
      <c r="C92" s="282"/>
      <c r="D92" s="282"/>
      <c r="E92" s="283"/>
      <c r="F92" s="284"/>
      <c r="G92" s="285"/>
      <c r="H92" s="285"/>
      <c r="I92" s="286"/>
      <c r="J92" s="286"/>
      <c r="K92" s="286"/>
      <c r="L92" s="286"/>
      <c r="M92" s="286"/>
      <c r="N92" s="286"/>
      <c r="O92" s="287">
        <f t="shared" si="1"/>
        <v>0</v>
      </c>
      <c r="P92" s="288" t="e">
        <f t="array" ref="P92">SUM(J92:K92/G92*100)</f>
        <v>#DIV/0!</v>
      </c>
    </row>
    <row r="93" spans="2:16" x14ac:dyDescent="0.2">
      <c r="B93" s="282"/>
      <c r="C93" s="282"/>
      <c r="D93" s="282"/>
      <c r="E93" s="283"/>
      <c r="F93" s="284"/>
      <c r="G93" s="285"/>
      <c r="H93" s="285"/>
      <c r="I93" s="286"/>
      <c r="J93" s="286"/>
      <c r="K93" s="286"/>
      <c r="L93" s="286"/>
      <c r="M93" s="286"/>
      <c r="N93" s="286"/>
      <c r="O93" s="287">
        <f t="shared" si="1"/>
        <v>0</v>
      </c>
      <c r="P93" s="288" t="e">
        <f t="array" ref="P93">SUM(J93:K93/G93*100)</f>
        <v>#DIV/0!</v>
      </c>
    </row>
    <row r="94" spans="2:16" x14ac:dyDescent="0.2">
      <c r="B94" s="282"/>
      <c r="C94" s="282"/>
      <c r="D94" s="282"/>
      <c r="E94" s="283"/>
      <c r="F94" s="284"/>
      <c r="G94" s="285"/>
      <c r="H94" s="285"/>
      <c r="I94" s="286"/>
      <c r="J94" s="286"/>
      <c r="K94" s="286"/>
      <c r="L94" s="286"/>
      <c r="M94" s="286"/>
      <c r="N94" s="286"/>
      <c r="O94" s="287">
        <f t="shared" si="1"/>
        <v>0</v>
      </c>
      <c r="P94" s="288" t="e">
        <f t="array" ref="P94">SUM(J94:K94/G94*100)</f>
        <v>#DIV/0!</v>
      </c>
    </row>
    <row r="95" spans="2:16" x14ac:dyDescent="0.2">
      <c r="B95" s="282"/>
      <c r="C95" s="282"/>
      <c r="D95" s="282"/>
      <c r="E95" s="283"/>
      <c r="F95" s="284"/>
      <c r="G95" s="285"/>
      <c r="H95" s="285"/>
      <c r="I95" s="286"/>
      <c r="J95" s="286"/>
      <c r="K95" s="286"/>
      <c r="L95" s="286"/>
      <c r="M95" s="286"/>
      <c r="N95" s="286"/>
      <c r="O95" s="287">
        <f t="shared" si="1"/>
        <v>0</v>
      </c>
      <c r="P95" s="288" t="e">
        <f t="array" ref="P95">SUM(J95:K95/G95*100)</f>
        <v>#DIV/0!</v>
      </c>
    </row>
    <row r="96" spans="2:16" x14ac:dyDescent="0.2">
      <c r="B96" s="282"/>
      <c r="C96" s="282"/>
      <c r="D96" s="282"/>
      <c r="E96" s="283"/>
      <c r="F96" s="284"/>
      <c r="G96" s="285"/>
      <c r="H96" s="285"/>
      <c r="I96" s="286"/>
      <c r="J96" s="286"/>
      <c r="K96" s="286"/>
      <c r="L96" s="286"/>
      <c r="M96" s="286"/>
      <c r="N96" s="286"/>
      <c r="O96" s="287">
        <f t="shared" si="1"/>
        <v>0</v>
      </c>
      <c r="P96" s="288" t="e">
        <f t="array" ref="P96">SUM(J96:K96/G96*100)</f>
        <v>#DIV/0!</v>
      </c>
    </row>
    <row r="97" spans="2:16" x14ac:dyDescent="0.2">
      <c r="B97" s="282"/>
      <c r="C97" s="282"/>
      <c r="D97" s="282"/>
      <c r="E97" s="283"/>
      <c r="F97" s="284"/>
      <c r="G97" s="285"/>
      <c r="H97" s="285"/>
      <c r="I97" s="286"/>
      <c r="J97" s="286"/>
      <c r="K97" s="286"/>
      <c r="L97" s="286"/>
      <c r="M97" s="286"/>
      <c r="N97" s="286"/>
      <c r="O97" s="287">
        <f t="shared" si="1"/>
        <v>0</v>
      </c>
      <c r="P97" s="288" t="e">
        <f t="array" ref="P97">SUM(J97:K97/G97*100)</f>
        <v>#DIV/0!</v>
      </c>
    </row>
    <row r="98" spans="2:16" x14ac:dyDescent="0.2">
      <c r="B98" s="282"/>
      <c r="C98" s="282"/>
      <c r="D98" s="282"/>
      <c r="E98" s="283"/>
      <c r="F98" s="284"/>
      <c r="G98" s="285"/>
      <c r="H98" s="285"/>
      <c r="I98" s="286"/>
      <c r="J98" s="286"/>
      <c r="K98" s="286"/>
      <c r="L98" s="286"/>
      <c r="M98" s="286"/>
      <c r="N98" s="286"/>
      <c r="O98" s="287">
        <f t="shared" si="1"/>
        <v>0</v>
      </c>
      <c r="P98" s="288" t="e">
        <f t="array" ref="P98">SUM(J98:K98/G98*100)</f>
        <v>#DIV/0!</v>
      </c>
    </row>
    <row r="99" spans="2:16" x14ac:dyDescent="0.2">
      <c r="B99" s="282"/>
      <c r="C99" s="282"/>
      <c r="D99" s="282"/>
      <c r="E99" s="283"/>
      <c r="F99" s="284"/>
      <c r="G99" s="285"/>
      <c r="H99" s="285"/>
      <c r="I99" s="286"/>
      <c r="J99" s="286"/>
      <c r="K99" s="286"/>
      <c r="L99" s="286"/>
      <c r="M99" s="286"/>
      <c r="N99" s="286"/>
      <c r="O99" s="287">
        <f t="shared" si="1"/>
        <v>0</v>
      </c>
      <c r="P99" s="288" t="e">
        <f t="array" ref="P99">SUM(J99:K99/G99*100)</f>
        <v>#DIV/0!</v>
      </c>
    </row>
    <row r="100" spans="2:16" x14ac:dyDescent="0.2">
      <c r="B100" s="282"/>
      <c r="C100" s="282"/>
      <c r="D100" s="282"/>
      <c r="E100" s="283"/>
      <c r="F100" s="284"/>
      <c r="G100" s="285"/>
      <c r="H100" s="285"/>
      <c r="I100" s="286"/>
      <c r="J100" s="286"/>
      <c r="K100" s="286"/>
      <c r="L100" s="286"/>
      <c r="M100" s="286"/>
      <c r="N100" s="286"/>
      <c r="O100" s="287">
        <f t="shared" si="1"/>
        <v>0</v>
      </c>
      <c r="P100" s="288" t="e">
        <f t="array" ref="P100">SUM(J100:K100/G100*100)</f>
        <v>#DIV/0!</v>
      </c>
    </row>
    <row r="101" spans="2:16" x14ac:dyDescent="0.2">
      <c r="B101" s="282"/>
      <c r="C101" s="282"/>
      <c r="D101" s="282"/>
      <c r="E101" s="283"/>
      <c r="F101" s="284"/>
      <c r="G101" s="285"/>
      <c r="H101" s="285"/>
      <c r="I101" s="286"/>
      <c r="J101" s="286"/>
      <c r="K101" s="286"/>
      <c r="L101" s="286"/>
      <c r="M101" s="286"/>
      <c r="N101" s="286"/>
      <c r="O101" s="287">
        <f t="shared" si="1"/>
        <v>0</v>
      </c>
      <c r="P101" s="288" t="e">
        <f t="array" ref="P101">SUM(J101:K101/G101*100)</f>
        <v>#DIV/0!</v>
      </c>
    </row>
    <row r="102" spans="2:16" x14ac:dyDescent="0.2">
      <c r="B102" s="282"/>
      <c r="C102" s="282"/>
      <c r="D102" s="282"/>
      <c r="E102" s="283"/>
      <c r="F102" s="284"/>
      <c r="G102" s="285"/>
      <c r="H102" s="285"/>
      <c r="I102" s="286"/>
      <c r="J102" s="286"/>
      <c r="K102" s="286"/>
      <c r="L102" s="286"/>
      <c r="M102" s="286"/>
      <c r="N102" s="286"/>
      <c r="O102" s="287">
        <f t="shared" si="1"/>
        <v>0</v>
      </c>
      <c r="P102" s="288" t="e">
        <f t="array" ref="P102">SUM(J102:K102/G102*100)</f>
        <v>#DIV/0!</v>
      </c>
    </row>
    <row r="103" spans="2:16" x14ac:dyDescent="0.2">
      <c r="B103" s="282"/>
      <c r="C103" s="282"/>
      <c r="D103" s="282"/>
      <c r="E103" s="283"/>
      <c r="F103" s="284"/>
      <c r="G103" s="285"/>
      <c r="H103" s="285"/>
      <c r="I103" s="286"/>
      <c r="J103" s="286"/>
      <c r="K103" s="286"/>
      <c r="L103" s="286"/>
      <c r="M103" s="286"/>
      <c r="N103" s="286"/>
      <c r="O103" s="287">
        <f t="shared" si="1"/>
        <v>0</v>
      </c>
      <c r="P103" s="288" t="e">
        <f t="array" ref="P103">SUM(J103:K103/G103*100)</f>
        <v>#DIV/0!</v>
      </c>
    </row>
    <row r="104" spans="2:16" x14ac:dyDescent="0.2">
      <c r="B104" s="282"/>
      <c r="C104" s="282"/>
      <c r="D104" s="282"/>
      <c r="E104" s="283"/>
      <c r="F104" s="284"/>
      <c r="G104" s="285"/>
      <c r="H104" s="285"/>
      <c r="I104" s="286"/>
      <c r="J104" s="286"/>
      <c r="K104" s="286"/>
      <c r="L104" s="286"/>
      <c r="M104" s="286"/>
      <c r="N104" s="286"/>
      <c r="O104" s="287">
        <f t="shared" si="1"/>
        <v>0</v>
      </c>
      <c r="P104" s="288" t="e">
        <f t="array" ref="P104">SUM(J104:K104/G104*100)</f>
        <v>#DIV/0!</v>
      </c>
    </row>
    <row r="105" spans="2:16" x14ac:dyDescent="0.2">
      <c r="B105" s="282"/>
      <c r="C105" s="282"/>
      <c r="D105" s="282"/>
      <c r="E105" s="283"/>
      <c r="F105" s="284"/>
      <c r="G105" s="285"/>
      <c r="H105" s="285"/>
      <c r="I105" s="286"/>
      <c r="J105" s="286"/>
      <c r="K105" s="286"/>
      <c r="L105" s="286"/>
      <c r="M105" s="286"/>
      <c r="N105" s="286"/>
      <c r="O105" s="287">
        <f t="shared" si="1"/>
        <v>0</v>
      </c>
      <c r="P105" s="288" t="e">
        <f t="array" ref="P105">SUM(J105:K105/G105*100)</f>
        <v>#DIV/0!</v>
      </c>
    </row>
    <row r="106" spans="2:16" x14ac:dyDescent="0.2">
      <c r="B106" s="282"/>
      <c r="C106" s="282"/>
      <c r="D106" s="282"/>
      <c r="E106" s="283"/>
      <c r="F106" s="284"/>
      <c r="G106" s="285"/>
      <c r="H106" s="285"/>
      <c r="I106" s="286"/>
      <c r="J106" s="286"/>
      <c r="K106" s="286"/>
      <c r="L106" s="286"/>
      <c r="M106" s="286"/>
      <c r="N106" s="286"/>
      <c r="O106" s="287">
        <f t="shared" si="1"/>
        <v>0</v>
      </c>
      <c r="P106" s="288" t="e">
        <f t="array" ref="P106">SUM(J106:K106/G106*100)</f>
        <v>#DIV/0!</v>
      </c>
    </row>
    <row r="107" spans="2:16" x14ac:dyDescent="0.2">
      <c r="B107" s="282"/>
      <c r="C107" s="282"/>
      <c r="D107" s="282"/>
      <c r="E107" s="283"/>
      <c r="F107" s="284"/>
      <c r="G107" s="285"/>
      <c r="H107" s="285"/>
      <c r="I107" s="286"/>
      <c r="J107" s="286"/>
      <c r="K107" s="286"/>
      <c r="L107" s="286"/>
      <c r="M107" s="286"/>
      <c r="N107" s="286"/>
      <c r="O107" s="287">
        <f t="shared" si="1"/>
        <v>0</v>
      </c>
      <c r="P107" s="288" t="e">
        <f t="array" ref="P107">SUM(J107:K107/G107*100)</f>
        <v>#DIV/0!</v>
      </c>
    </row>
    <row r="108" spans="2:16" x14ac:dyDescent="0.2">
      <c r="B108" s="282"/>
      <c r="C108" s="282"/>
      <c r="D108" s="282"/>
      <c r="E108" s="283"/>
      <c r="F108" s="284"/>
      <c r="G108" s="285"/>
      <c r="H108" s="285"/>
      <c r="I108" s="286"/>
      <c r="J108" s="286"/>
      <c r="K108" s="286"/>
      <c r="L108" s="286"/>
      <c r="M108" s="286"/>
      <c r="N108" s="286"/>
      <c r="O108" s="287">
        <f t="shared" si="1"/>
        <v>0</v>
      </c>
      <c r="P108" s="288" t="e">
        <f t="array" ref="P108">SUM(J108:K108/G108*100)</f>
        <v>#DIV/0!</v>
      </c>
    </row>
    <row r="109" spans="2:16" x14ac:dyDescent="0.2">
      <c r="B109" s="282"/>
      <c r="C109" s="282"/>
      <c r="D109" s="282"/>
      <c r="E109" s="283"/>
      <c r="F109" s="284"/>
      <c r="G109" s="285"/>
      <c r="H109" s="285"/>
      <c r="I109" s="286"/>
      <c r="J109" s="286"/>
      <c r="K109" s="286"/>
      <c r="L109" s="286"/>
      <c r="M109" s="286"/>
      <c r="N109" s="286"/>
      <c r="O109" s="287">
        <f t="shared" si="1"/>
        <v>0</v>
      </c>
      <c r="P109" s="288" t="e">
        <f t="array" ref="P109">SUM(J109:K109/G109*100)</f>
        <v>#DIV/0!</v>
      </c>
    </row>
    <row r="110" spans="2:16" x14ac:dyDescent="0.2">
      <c r="B110" s="282"/>
      <c r="C110" s="282"/>
      <c r="D110" s="282"/>
      <c r="E110" s="283"/>
      <c r="F110" s="284"/>
      <c r="G110" s="285"/>
      <c r="H110" s="285"/>
      <c r="I110" s="286"/>
      <c r="J110" s="286"/>
      <c r="K110" s="286"/>
      <c r="L110" s="286"/>
      <c r="M110" s="286"/>
      <c r="N110" s="286"/>
      <c r="O110" s="287">
        <f t="shared" si="1"/>
        <v>0</v>
      </c>
      <c r="P110" s="288" t="e">
        <f t="array" ref="P110">SUM(J110:K110/G110*100)</f>
        <v>#DIV/0!</v>
      </c>
    </row>
    <row r="111" spans="2:16" x14ac:dyDescent="0.2">
      <c r="B111" s="282"/>
      <c r="C111" s="282"/>
      <c r="D111" s="282"/>
      <c r="E111" s="283"/>
      <c r="F111" s="284"/>
      <c r="G111" s="285"/>
      <c r="H111" s="285"/>
      <c r="I111" s="286"/>
      <c r="J111" s="286"/>
      <c r="K111" s="286"/>
      <c r="L111" s="286"/>
      <c r="M111" s="286"/>
      <c r="N111" s="286"/>
      <c r="O111" s="287">
        <f t="shared" si="1"/>
        <v>0</v>
      </c>
      <c r="P111" s="288" t="e">
        <f t="array" ref="P111">SUM(J111:K111/G111*100)</f>
        <v>#DIV/0!</v>
      </c>
    </row>
    <row r="112" spans="2:16" x14ac:dyDescent="0.2">
      <c r="B112" s="282"/>
      <c r="C112" s="282"/>
      <c r="D112" s="282"/>
      <c r="E112" s="283"/>
      <c r="F112" s="284"/>
      <c r="G112" s="285"/>
      <c r="H112" s="285"/>
      <c r="I112" s="286"/>
      <c r="J112" s="286"/>
      <c r="K112" s="286"/>
      <c r="L112" s="286"/>
      <c r="M112" s="286"/>
      <c r="N112" s="286"/>
      <c r="O112" s="287">
        <f t="shared" si="1"/>
        <v>0</v>
      </c>
      <c r="P112" s="288" t="e">
        <f t="array" ref="P112">SUM(J112:K112/G112*100)</f>
        <v>#DIV/0!</v>
      </c>
    </row>
    <row r="113" spans="2:16" x14ac:dyDescent="0.2">
      <c r="B113" s="282"/>
      <c r="C113" s="282"/>
      <c r="D113" s="282"/>
      <c r="E113" s="283"/>
      <c r="F113" s="284"/>
      <c r="G113" s="285"/>
      <c r="H113" s="285"/>
      <c r="I113" s="286"/>
      <c r="J113" s="286"/>
      <c r="K113" s="286"/>
      <c r="L113" s="286"/>
      <c r="M113" s="286"/>
      <c r="N113" s="286"/>
      <c r="O113" s="287">
        <f t="shared" si="1"/>
        <v>0</v>
      </c>
      <c r="P113" s="288" t="e">
        <f t="array" ref="P113">SUM(J113:K113/G113*100)</f>
        <v>#DIV/0!</v>
      </c>
    </row>
    <row r="114" spans="2:16" x14ac:dyDescent="0.2">
      <c r="B114" s="282"/>
      <c r="C114" s="282"/>
      <c r="D114" s="282"/>
      <c r="E114" s="283"/>
      <c r="F114" s="284"/>
      <c r="G114" s="285"/>
      <c r="H114" s="285"/>
      <c r="I114" s="286"/>
      <c r="J114" s="286"/>
      <c r="K114" s="286"/>
      <c r="L114" s="286"/>
      <c r="M114" s="286"/>
      <c r="N114" s="286"/>
      <c r="O114" s="287">
        <f t="shared" si="1"/>
        <v>0</v>
      </c>
      <c r="P114" s="288" t="e">
        <f t="array" ref="P114">SUM(J114:K114/G114*100)</f>
        <v>#DIV/0!</v>
      </c>
    </row>
    <row r="115" spans="2:16" x14ac:dyDescent="0.2">
      <c r="B115" s="282"/>
      <c r="C115" s="282"/>
      <c r="D115" s="282"/>
      <c r="E115" s="283"/>
      <c r="F115" s="284"/>
      <c r="G115" s="285"/>
      <c r="H115" s="285"/>
      <c r="I115" s="286"/>
      <c r="J115" s="286"/>
      <c r="K115" s="286"/>
      <c r="L115" s="286"/>
      <c r="M115" s="286"/>
      <c r="N115" s="286"/>
      <c r="O115" s="287">
        <f t="shared" si="1"/>
        <v>0</v>
      </c>
      <c r="P115" s="288" t="e">
        <f t="array" ref="P115">SUM(J115:K115/G115*100)</f>
        <v>#DIV/0!</v>
      </c>
    </row>
    <row r="116" spans="2:16" x14ac:dyDescent="0.2">
      <c r="B116" s="282"/>
      <c r="C116" s="282"/>
      <c r="D116" s="282"/>
      <c r="E116" s="283"/>
      <c r="F116" s="284"/>
      <c r="G116" s="285"/>
      <c r="H116" s="285"/>
      <c r="I116" s="286"/>
      <c r="J116" s="286"/>
      <c r="K116" s="286"/>
      <c r="L116" s="286"/>
      <c r="M116" s="286"/>
      <c r="N116" s="286"/>
      <c r="O116" s="287">
        <f t="shared" si="1"/>
        <v>0</v>
      </c>
      <c r="P116" s="288" t="e">
        <f t="array" ref="P116">SUM(J116:K116/G116*100)</f>
        <v>#DIV/0!</v>
      </c>
    </row>
    <row r="117" spans="2:16" x14ac:dyDescent="0.2">
      <c r="B117" s="282"/>
      <c r="C117" s="282"/>
      <c r="D117" s="282"/>
      <c r="E117" s="283"/>
      <c r="F117" s="284"/>
      <c r="G117" s="285"/>
      <c r="H117" s="285"/>
      <c r="I117" s="286"/>
      <c r="J117" s="286"/>
      <c r="K117" s="286"/>
      <c r="L117" s="286"/>
      <c r="M117" s="286"/>
      <c r="N117" s="286"/>
      <c r="O117" s="287">
        <f t="shared" si="1"/>
        <v>0</v>
      </c>
      <c r="P117" s="288" t="e">
        <f t="array" ref="P117">SUM(J117:K117/G117*100)</f>
        <v>#DIV/0!</v>
      </c>
    </row>
    <row r="118" spans="2:16" x14ac:dyDescent="0.2">
      <c r="B118" s="282"/>
      <c r="C118" s="282"/>
      <c r="D118" s="282"/>
      <c r="E118" s="283"/>
      <c r="F118" s="284"/>
      <c r="G118" s="285"/>
      <c r="H118" s="285"/>
      <c r="I118" s="286"/>
      <c r="J118" s="286"/>
      <c r="K118" s="286"/>
      <c r="L118" s="286"/>
      <c r="M118" s="286"/>
      <c r="N118" s="286"/>
      <c r="O118" s="287">
        <f t="shared" si="1"/>
        <v>0</v>
      </c>
      <c r="P118" s="288" t="e">
        <f t="array" ref="P118">SUM(J118:K118/G118*100)</f>
        <v>#DIV/0!</v>
      </c>
    </row>
    <row r="119" spans="2:16" x14ac:dyDescent="0.2">
      <c r="B119" s="282"/>
      <c r="C119" s="282"/>
      <c r="D119" s="282"/>
      <c r="E119" s="283"/>
      <c r="F119" s="284"/>
      <c r="G119" s="285"/>
      <c r="H119" s="285"/>
      <c r="I119" s="286"/>
      <c r="J119" s="286"/>
      <c r="K119" s="286"/>
      <c r="L119" s="286"/>
      <c r="M119" s="286"/>
      <c r="N119" s="286"/>
      <c r="O119" s="287">
        <f t="shared" si="1"/>
        <v>0</v>
      </c>
      <c r="P119" s="288" t="e">
        <f t="array" ref="P119">SUM(J119:K119/G119*100)</f>
        <v>#DIV/0!</v>
      </c>
    </row>
    <row r="120" spans="2:16" x14ac:dyDescent="0.2">
      <c r="B120" s="282"/>
      <c r="C120" s="282"/>
      <c r="D120" s="282"/>
      <c r="E120" s="283"/>
      <c r="F120" s="284"/>
      <c r="G120" s="285"/>
      <c r="H120" s="285"/>
      <c r="I120" s="286"/>
      <c r="J120" s="286"/>
      <c r="K120" s="286"/>
      <c r="L120" s="286"/>
      <c r="M120" s="286"/>
      <c r="N120" s="286"/>
      <c r="O120" s="287">
        <f t="shared" si="1"/>
        <v>0</v>
      </c>
      <c r="P120" s="288" t="e">
        <f t="array" ref="P120">SUM(J120:K120/G120*100)</f>
        <v>#DIV/0!</v>
      </c>
    </row>
    <row r="121" spans="2:16" x14ac:dyDescent="0.2">
      <c r="B121" s="282"/>
      <c r="C121" s="282"/>
      <c r="D121" s="282"/>
      <c r="E121" s="283"/>
      <c r="F121" s="284"/>
      <c r="G121" s="285"/>
      <c r="H121" s="285"/>
      <c r="I121" s="286"/>
      <c r="J121" s="286"/>
      <c r="K121" s="286"/>
      <c r="L121" s="286"/>
      <c r="M121" s="286"/>
      <c r="N121" s="286"/>
      <c r="O121" s="287">
        <f t="shared" si="1"/>
        <v>0</v>
      </c>
      <c r="P121" s="288" t="e">
        <f t="array" ref="P121">SUM(J121:K121/G121*100)</f>
        <v>#DIV/0!</v>
      </c>
    </row>
    <row r="122" spans="2:16" x14ac:dyDescent="0.2">
      <c r="B122" s="282"/>
      <c r="C122" s="282"/>
      <c r="D122" s="282"/>
      <c r="E122" s="283"/>
      <c r="F122" s="284"/>
      <c r="G122" s="285"/>
      <c r="H122" s="285"/>
      <c r="I122" s="286"/>
      <c r="J122" s="286"/>
      <c r="K122" s="286"/>
      <c r="L122" s="286"/>
      <c r="M122" s="286"/>
      <c r="N122" s="286"/>
      <c r="O122" s="287">
        <f t="shared" si="1"/>
        <v>0</v>
      </c>
      <c r="P122" s="288" t="e">
        <f t="array" ref="P122">SUM(J122:K122/G122*100)</f>
        <v>#DIV/0!</v>
      </c>
    </row>
    <row r="123" spans="2:16" x14ac:dyDescent="0.2">
      <c r="B123" s="282"/>
      <c r="C123" s="282"/>
      <c r="D123" s="282"/>
      <c r="E123" s="283"/>
      <c r="F123" s="284"/>
      <c r="G123" s="285"/>
      <c r="H123" s="285"/>
      <c r="I123" s="286"/>
      <c r="J123" s="286"/>
      <c r="K123" s="286"/>
      <c r="L123" s="286"/>
      <c r="M123" s="286"/>
      <c r="N123" s="286"/>
      <c r="O123" s="287">
        <f t="shared" si="1"/>
        <v>0</v>
      </c>
      <c r="P123" s="288" t="e">
        <f t="array" ref="P123">SUM(J123:K123/G123*100)</f>
        <v>#DIV/0!</v>
      </c>
    </row>
    <row r="124" spans="2:16" x14ac:dyDescent="0.2">
      <c r="B124" s="282"/>
      <c r="C124" s="282"/>
      <c r="D124" s="282"/>
      <c r="E124" s="283"/>
      <c r="F124" s="284"/>
      <c r="G124" s="285"/>
      <c r="H124" s="285"/>
      <c r="I124" s="286"/>
      <c r="J124" s="286"/>
      <c r="K124" s="286"/>
      <c r="L124" s="286"/>
      <c r="M124" s="286"/>
      <c r="N124" s="286"/>
      <c r="O124" s="287">
        <f t="shared" si="1"/>
        <v>0</v>
      </c>
      <c r="P124" s="288" t="e">
        <f t="array" ref="P124">SUM(J124:K124/G124*100)</f>
        <v>#DIV/0!</v>
      </c>
    </row>
    <row r="125" spans="2:16" x14ac:dyDescent="0.2">
      <c r="B125" s="282"/>
      <c r="C125" s="282"/>
      <c r="D125" s="282"/>
      <c r="E125" s="283"/>
      <c r="F125" s="284"/>
      <c r="G125" s="285"/>
      <c r="H125" s="285"/>
      <c r="I125" s="286"/>
      <c r="J125" s="286"/>
      <c r="K125" s="286"/>
      <c r="L125" s="286"/>
      <c r="M125" s="286"/>
      <c r="N125" s="286"/>
      <c r="O125" s="287">
        <f t="shared" si="1"/>
        <v>0</v>
      </c>
      <c r="P125" s="288" t="e">
        <f t="array" ref="P125">SUM(J125:K125/G125*100)</f>
        <v>#DIV/0!</v>
      </c>
    </row>
    <row r="126" spans="2:16" x14ac:dyDescent="0.2">
      <c r="B126" s="282"/>
      <c r="C126" s="282"/>
      <c r="D126" s="282"/>
      <c r="E126" s="283"/>
      <c r="F126" s="284"/>
      <c r="G126" s="285"/>
      <c r="H126" s="285"/>
      <c r="I126" s="286"/>
      <c r="J126" s="286"/>
      <c r="K126" s="286"/>
      <c r="L126" s="286"/>
      <c r="M126" s="286"/>
      <c r="N126" s="286"/>
      <c r="O126" s="287">
        <f t="shared" si="1"/>
        <v>0</v>
      </c>
      <c r="P126" s="288" t="e">
        <f t="array" ref="P126">SUM(J126:K126/G126*100)</f>
        <v>#DIV/0!</v>
      </c>
    </row>
    <row r="127" spans="2:16" x14ac:dyDescent="0.2">
      <c r="B127" s="282"/>
      <c r="C127" s="282"/>
      <c r="D127" s="282"/>
      <c r="E127" s="283"/>
      <c r="F127" s="284"/>
      <c r="G127" s="285"/>
      <c r="H127" s="285"/>
      <c r="I127" s="286"/>
      <c r="J127" s="286"/>
      <c r="K127" s="286"/>
      <c r="L127" s="286"/>
      <c r="M127" s="286"/>
      <c r="N127" s="286"/>
      <c r="O127" s="287">
        <f t="shared" si="1"/>
        <v>0</v>
      </c>
      <c r="P127" s="288" t="e">
        <f t="array" ref="P127">SUM(J127:K127/G127*100)</f>
        <v>#DIV/0!</v>
      </c>
    </row>
    <row r="128" spans="2:16" x14ac:dyDescent="0.2">
      <c r="B128" s="282"/>
      <c r="C128" s="282"/>
      <c r="D128" s="282"/>
      <c r="E128" s="283"/>
      <c r="F128" s="284"/>
      <c r="G128" s="285"/>
      <c r="H128" s="285"/>
      <c r="I128" s="286"/>
      <c r="J128" s="286"/>
      <c r="K128" s="286"/>
      <c r="L128" s="286"/>
      <c r="M128" s="286"/>
      <c r="N128" s="286"/>
      <c r="O128" s="287">
        <f t="shared" si="1"/>
        <v>0</v>
      </c>
      <c r="P128" s="288" t="e">
        <f t="array" ref="P128">SUM(J128:K128/G128*100)</f>
        <v>#DIV/0!</v>
      </c>
    </row>
    <row r="129" spans="2:16" x14ac:dyDescent="0.2">
      <c r="B129" s="282"/>
      <c r="C129" s="282"/>
      <c r="D129" s="282"/>
      <c r="E129" s="283"/>
      <c r="F129" s="284"/>
      <c r="G129" s="285"/>
      <c r="H129" s="285"/>
      <c r="I129" s="286"/>
      <c r="J129" s="286"/>
      <c r="K129" s="286"/>
      <c r="L129" s="286"/>
      <c r="M129" s="286"/>
      <c r="N129" s="286"/>
      <c r="O129" s="287">
        <f t="shared" si="1"/>
        <v>0</v>
      </c>
      <c r="P129" s="288" t="e">
        <f t="array" ref="P129">SUM(J129:K129/G129*100)</f>
        <v>#DIV/0!</v>
      </c>
    </row>
    <row r="130" spans="2:16" x14ac:dyDescent="0.2">
      <c r="B130" s="282"/>
      <c r="C130" s="282"/>
      <c r="D130" s="282"/>
      <c r="E130" s="283"/>
      <c r="F130" s="284"/>
      <c r="G130" s="285"/>
      <c r="H130" s="285"/>
      <c r="I130" s="286"/>
      <c r="J130" s="286"/>
      <c r="K130" s="286"/>
      <c r="L130" s="286"/>
      <c r="M130" s="286"/>
      <c r="N130" s="286"/>
      <c r="O130" s="287">
        <f t="shared" si="1"/>
        <v>0</v>
      </c>
      <c r="P130" s="288" t="e">
        <f t="array" ref="P130">SUM(J130:K130/G130*100)</f>
        <v>#DIV/0!</v>
      </c>
    </row>
    <row r="131" spans="2:16" x14ac:dyDescent="0.2">
      <c r="B131" s="282"/>
      <c r="C131" s="282"/>
      <c r="D131" s="282"/>
      <c r="E131" s="283"/>
      <c r="F131" s="284"/>
      <c r="G131" s="285"/>
      <c r="H131" s="285"/>
      <c r="I131" s="286"/>
      <c r="J131" s="286"/>
      <c r="K131" s="286"/>
      <c r="L131" s="286"/>
      <c r="M131" s="286"/>
      <c r="N131" s="286"/>
      <c r="O131" s="287">
        <f t="shared" si="1"/>
        <v>0</v>
      </c>
      <c r="P131" s="288" t="e">
        <f t="array" ref="P131">SUM(J131:K131/G131*100)</f>
        <v>#DIV/0!</v>
      </c>
    </row>
    <row r="132" spans="2:16" x14ac:dyDescent="0.2">
      <c r="B132" s="282"/>
      <c r="C132" s="282"/>
      <c r="D132" s="282"/>
      <c r="E132" s="283"/>
      <c r="F132" s="284"/>
      <c r="G132" s="285"/>
      <c r="H132" s="285"/>
      <c r="I132" s="286"/>
      <c r="J132" s="286"/>
      <c r="K132" s="286"/>
      <c r="L132" s="286"/>
      <c r="M132" s="286"/>
      <c r="N132" s="286"/>
      <c r="O132" s="287">
        <f t="shared" si="1"/>
        <v>0</v>
      </c>
      <c r="P132" s="288" t="e">
        <f t="array" ref="P132">SUM(J132:K132/G132*100)</f>
        <v>#DIV/0!</v>
      </c>
    </row>
    <row r="133" spans="2:16" x14ac:dyDescent="0.2">
      <c r="B133" s="282"/>
      <c r="C133" s="282"/>
      <c r="D133" s="282"/>
      <c r="E133" s="283"/>
      <c r="F133" s="284"/>
      <c r="G133" s="285"/>
      <c r="H133" s="285"/>
      <c r="I133" s="286"/>
      <c r="J133" s="286"/>
      <c r="K133" s="286"/>
      <c r="L133" s="286"/>
      <c r="M133" s="286"/>
      <c r="N133" s="286"/>
      <c r="O133" s="287">
        <f t="shared" si="1"/>
        <v>0</v>
      </c>
      <c r="P133" s="288" t="e">
        <f t="array" ref="P133">SUM(J133:K133/G133*100)</f>
        <v>#DIV/0!</v>
      </c>
    </row>
    <row r="134" spans="2:16" x14ac:dyDescent="0.2">
      <c r="B134" s="282"/>
      <c r="C134" s="282"/>
      <c r="D134" s="282"/>
      <c r="E134" s="283"/>
      <c r="F134" s="284"/>
      <c r="G134" s="285"/>
      <c r="H134" s="285"/>
      <c r="I134" s="286"/>
      <c r="J134" s="286"/>
      <c r="K134" s="286"/>
      <c r="L134" s="286"/>
      <c r="M134" s="286"/>
      <c r="N134" s="286"/>
      <c r="O134" s="287">
        <f t="shared" si="1"/>
        <v>0</v>
      </c>
      <c r="P134" s="288" t="e">
        <f t="array" ref="P134">SUM(J134:K134/G134*100)</f>
        <v>#DIV/0!</v>
      </c>
    </row>
    <row r="135" spans="2:16" x14ac:dyDescent="0.2">
      <c r="B135" s="282"/>
      <c r="C135" s="282"/>
      <c r="D135" s="282"/>
      <c r="E135" s="283"/>
      <c r="F135" s="284"/>
      <c r="G135" s="285"/>
      <c r="H135" s="285"/>
      <c r="I135" s="286"/>
      <c r="J135" s="286"/>
      <c r="K135" s="286"/>
      <c r="L135" s="286"/>
      <c r="M135" s="286"/>
      <c r="N135" s="286"/>
      <c r="O135" s="287">
        <f t="shared" ref="O135:O198" si="2">IFERROR(N135*6,0)</f>
        <v>0</v>
      </c>
      <c r="P135" s="288" t="e">
        <f t="array" ref="P135">SUM(J135:K135/G135*100)</f>
        <v>#DIV/0!</v>
      </c>
    </row>
    <row r="136" spans="2:16" x14ac:dyDescent="0.2">
      <c r="B136" s="282"/>
      <c r="C136" s="282"/>
      <c r="D136" s="282"/>
      <c r="E136" s="283"/>
      <c r="F136" s="284"/>
      <c r="G136" s="285"/>
      <c r="H136" s="285"/>
      <c r="I136" s="286"/>
      <c r="J136" s="286"/>
      <c r="K136" s="286"/>
      <c r="L136" s="286"/>
      <c r="M136" s="286"/>
      <c r="N136" s="286"/>
      <c r="O136" s="287">
        <f t="shared" si="2"/>
        <v>0</v>
      </c>
      <c r="P136" s="288" t="e">
        <f t="array" ref="P136">SUM(J136:K136/G136*100)</f>
        <v>#DIV/0!</v>
      </c>
    </row>
    <row r="137" spans="2:16" x14ac:dyDescent="0.2">
      <c r="B137" s="282"/>
      <c r="C137" s="282"/>
      <c r="D137" s="282"/>
      <c r="E137" s="283"/>
      <c r="F137" s="284"/>
      <c r="G137" s="285"/>
      <c r="H137" s="285"/>
      <c r="I137" s="286"/>
      <c r="J137" s="286"/>
      <c r="K137" s="286"/>
      <c r="L137" s="286"/>
      <c r="M137" s="286"/>
      <c r="N137" s="286"/>
      <c r="O137" s="287">
        <f t="shared" si="2"/>
        <v>0</v>
      </c>
      <c r="P137" s="288" t="e">
        <f t="array" ref="P137">SUM(J137:K137/G137*100)</f>
        <v>#DIV/0!</v>
      </c>
    </row>
    <row r="138" spans="2:16" x14ac:dyDescent="0.2">
      <c r="B138" s="282"/>
      <c r="C138" s="282"/>
      <c r="D138" s="282"/>
      <c r="E138" s="283"/>
      <c r="F138" s="284"/>
      <c r="G138" s="285"/>
      <c r="H138" s="285"/>
      <c r="I138" s="286"/>
      <c r="J138" s="286"/>
      <c r="K138" s="286"/>
      <c r="L138" s="286"/>
      <c r="M138" s="286"/>
      <c r="N138" s="286"/>
      <c r="O138" s="287">
        <f t="shared" si="2"/>
        <v>0</v>
      </c>
      <c r="P138" s="288" t="e">
        <f t="array" ref="P138">SUM(J138:K138/G138*100)</f>
        <v>#DIV/0!</v>
      </c>
    </row>
    <row r="139" spans="2:16" x14ac:dyDescent="0.2">
      <c r="B139" s="282"/>
      <c r="C139" s="282"/>
      <c r="D139" s="282"/>
      <c r="E139" s="283"/>
      <c r="F139" s="284"/>
      <c r="G139" s="285"/>
      <c r="H139" s="285"/>
      <c r="I139" s="286"/>
      <c r="J139" s="286"/>
      <c r="K139" s="286"/>
      <c r="L139" s="286"/>
      <c r="M139" s="286"/>
      <c r="N139" s="286"/>
      <c r="O139" s="287">
        <f t="shared" si="2"/>
        <v>0</v>
      </c>
      <c r="P139" s="288" t="e">
        <f t="array" ref="P139">SUM(J139:K139/G139*100)</f>
        <v>#DIV/0!</v>
      </c>
    </row>
    <row r="140" spans="2:16" x14ac:dyDescent="0.2">
      <c r="B140" s="282"/>
      <c r="C140" s="282"/>
      <c r="D140" s="282"/>
      <c r="E140" s="283"/>
      <c r="F140" s="284"/>
      <c r="G140" s="285"/>
      <c r="H140" s="285"/>
      <c r="I140" s="286"/>
      <c r="J140" s="286"/>
      <c r="K140" s="286"/>
      <c r="L140" s="286"/>
      <c r="M140" s="286"/>
      <c r="N140" s="286"/>
      <c r="O140" s="287">
        <f t="shared" si="2"/>
        <v>0</v>
      </c>
      <c r="P140" s="288" t="e">
        <f t="array" ref="P140">SUM(J140:K140/G140*100)</f>
        <v>#DIV/0!</v>
      </c>
    </row>
    <row r="141" spans="2:16" x14ac:dyDescent="0.2">
      <c r="B141" s="282"/>
      <c r="C141" s="282"/>
      <c r="D141" s="282"/>
      <c r="E141" s="283"/>
      <c r="F141" s="284"/>
      <c r="G141" s="285"/>
      <c r="H141" s="285"/>
      <c r="I141" s="286"/>
      <c r="J141" s="286"/>
      <c r="K141" s="286"/>
      <c r="L141" s="286"/>
      <c r="M141" s="286"/>
      <c r="N141" s="286"/>
      <c r="O141" s="287">
        <f t="shared" si="2"/>
        <v>0</v>
      </c>
      <c r="P141" s="288" t="e">
        <f t="array" ref="P141">SUM(J141:K141/G141*100)</f>
        <v>#DIV/0!</v>
      </c>
    </row>
    <row r="142" spans="2:16" x14ac:dyDescent="0.2">
      <c r="B142" s="282"/>
      <c r="C142" s="282"/>
      <c r="D142" s="282"/>
      <c r="E142" s="283"/>
      <c r="F142" s="284"/>
      <c r="G142" s="285"/>
      <c r="H142" s="285"/>
      <c r="I142" s="286"/>
      <c r="J142" s="286"/>
      <c r="K142" s="286"/>
      <c r="L142" s="286"/>
      <c r="M142" s="286"/>
      <c r="N142" s="286"/>
      <c r="O142" s="287">
        <f t="shared" si="2"/>
        <v>0</v>
      </c>
      <c r="P142" s="288" t="e">
        <f t="array" ref="P142">SUM(J142:K142/G142*100)</f>
        <v>#DIV/0!</v>
      </c>
    </row>
    <row r="143" spans="2:16" x14ac:dyDescent="0.2">
      <c r="B143" s="282"/>
      <c r="C143" s="282"/>
      <c r="D143" s="282"/>
      <c r="E143" s="283"/>
      <c r="F143" s="284"/>
      <c r="G143" s="285"/>
      <c r="H143" s="285"/>
      <c r="I143" s="286"/>
      <c r="J143" s="286"/>
      <c r="K143" s="286"/>
      <c r="L143" s="286"/>
      <c r="M143" s="286"/>
      <c r="N143" s="286"/>
      <c r="O143" s="287">
        <f t="shared" si="2"/>
        <v>0</v>
      </c>
      <c r="P143" s="288" t="e">
        <f t="array" ref="P143">SUM(J143:K143/G143*100)</f>
        <v>#DIV/0!</v>
      </c>
    </row>
    <row r="144" spans="2:16" x14ac:dyDescent="0.2">
      <c r="B144" s="282"/>
      <c r="C144" s="282"/>
      <c r="D144" s="282"/>
      <c r="E144" s="283"/>
      <c r="F144" s="284"/>
      <c r="G144" s="285"/>
      <c r="H144" s="285"/>
      <c r="I144" s="286"/>
      <c r="J144" s="286"/>
      <c r="K144" s="286"/>
      <c r="L144" s="286"/>
      <c r="M144" s="286"/>
      <c r="N144" s="286"/>
      <c r="O144" s="287">
        <f t="shared" si="2"/>
        <v>0</v>
      </c>
      <c r="P144" s="288" t="e">
        <f t="array" ref="P144">SUM(J144:K144/G144*100)</f>
        <v>#DIV/0!</v>
      </c>
    </row>
    <row r="145" spans="2:16" x14ac:dyDescent="0.2">
      <c r="B145" s="282"/>
      <c r="C145" s="282"/>
      <c r="D145" s="282"/>
      <c r="E145" s="283"/>
      <c r="F145" s="284"/>
      <c r="G145" s="285"/>
      <c r="H145" s="285"/>
      <c r="I145" s="286"/>
      <c r="J145" s="286"/>
      <c r="K145" s="286"/>
      <c r="L145" s="286"/>
      <c r="M145" s="286"/>
      <c r="N145" s="286"/>
      <c r="O145" s="287">
        <f t="shared" si="2"/>
        <v>0</v>
      </c>
      <c r="P145" s="288" t="e">
        <f t="array" ref="P145">SUM(J145:K145/G145*100)</f>
        <v>#DIV/0!</v>
      </c>
    </row>
    <row r="146" spans="2:16" x14ac:dyDescent="0.2">
      <c r="B146" s="282"/>
      <c r="C146" s="282"/>
      <c r="D146" s="282"/>
      <c r="E146" s="283"/>
      <c r="F146" s="284"/>
      <c r="G146" s="285"/>
      <c r="H146" s="285"/>
      <c r="I146" s="286"/>
      <c r="J146" s="286"/>
      <c r="K146" s="286"/>
      <c r="L146" s="286"/>
      <c r="M146" s="286"/>
      <c r="N146" s="286"/>
      <c r="O146" s="287">
        <f t="shared" si="2"/>
        <v>0</v>
      </c>
      <c r="P146" s="288" t="e">
        <f t="array" ref="P146">SUM(J146:K146/G146*100)</f>
        <v>#DIV/0!</v>
      </c>
    </row>
    <row r="147" spans="2:16" x14ac:dyDescent="0.2">
      <c r="B147" s="282"/>
      <c r="C147" s="282"/>
      <c r="D147" s="282"/>
      <c r="E147" s="283"/>
      <c r="F147" s="284"/>
      <c r="G147" s="285"/>
      <c r="H147" s="285"/>
      <c r="I147" s="286"/>
      <c r="J147" s="286"/>
      <c r="K147" s="286"/>
      <c r="L147" s="286"/>
      <c r="M147" s="286"/>
      <c r="N147" s="286"/>
      <c r="O147" s="287">
        <f t="shared" si="2"/>
        <v>0</v>
      </c>
      <c r="P147" s="288" t="e">
        <f t="array" ref="P147">SUM(J147:K147/G147*100)</f>
        <v>#DIV/0!</v>
      </c>
    </row>
    <row r="148" spans="2:16" x14ac:dyDescent="0.2">
      <c r="B148" s="282"/>
      <c r="C148" s="282"/>
      <c r="D148" s="282"/>
      <c r="E148" s="283"/>
      <c r="F148" s="284"/>
      <c r="G148" s="285"/>
      <c r="H148" s="285"/>
      <c r="I148" s="286"/>
      <c r="J148" s="286"/>
      <c r="K148" s="286"/>
      <c r="L148" s="286"/>
      <c r="M148" s="286"/>
      <c r="N148" s="286"/>
      <c r="O148" s="287">
        <f t="shared" si="2"/>
        <v>0</v>
      </c>
      <c r="P148" s="288" t="e">
        <f t="array" ref="P148">SUM(J148:K148/G148*100)</f>
        <v>#DIV/0!</v>
      </c>
    </row>
    <row r="149" spans="2:16" x14ac:dyDescent="0.2">
      <c r="B149" s="282"/>
      <c r="C149" s="282"/>
      <c r="D149" s="282"/>
      <c r="E149" s="283"/>
      <c r="F149" s="284"/>
      <c r="G149" s="285"/>
      <c r="H149" s="285"/>
      <c r="I149" s="286"/>
      <c r="J149" s="286"/>
      <c r="K149" s="286"/>
      <c r="L149" s="286"/>
      <c r="M149" s="286"/>
      <c r="N149" s="286"/>
      <c r="O149" s="287">
        <f t="shared" si="2"/>
        <v>0</v>
      </c>
      <c r="P149" s="288" t="e">
        <f t="array" ref="P149">SUM(J149:K149/G149*100)</f>
        <v>#DIV/0!</v>
      </c>
    </row>
    <row r="150" spans="2:16" x14ac:dyDescent="0.2">
      <c r="B150" s="282"/>
      <c r="C150" s="282"/>
      <c r="D150" s="282"/>
      <c r="E150" s="283"/>
      <c r="F150" s="284"/>
      <c r="G150" s="285"/>
      <c r="H150" s="285"/>
      <c r="I150" s="286"/>
      <c r="J150" s="286"/>
      <c r="K150" s="286"/>
      <c r="L150" s="286"/>
      <c r="M150" s="286"/>
      <c r="N150" s="286"/>
      <c r="O150" s="287">
        <f t="shared" si="2"/>
        <v>0</v>
      </c>
      <c r="P150" s="288" t="e">
        <f t="array" ref="P150">SUM(J150:K150/G150*100)</f>
        <v>#DIV/0!</v>
      </c>
    </row>
    <row r="151" spans="2:16" x14ac:dyDescent="0.2">
      <c r="B151" s="282"/>
      <c r="C151" s="282"/>
      <c r="D151" s="282"/>
      <c r="E151" s="283"/>
      <c r="F151" s="284"/>
      <c r="G151" s="285"/>
      <c r="H151" s="285"/>
      <c r="I151" s="286"/>
      <c r="J151" s="286"/>
      <c r="K151" s="286"/>
      <c r="L151" s="286"/>
      <c r="M151" s="286"/>
      <c r="N151" s="286"/>
      <c r="O151" s="287">
        <f t="shared" si="2"/>
        <v>0</v>
      </c>
      <c r="P151" s="288" t="e">
        <f t="array" ref="P151">SUM(J151:K151/G151*100)</f>
        <v>#DIV/0!</v>
      </c>
    </row>
    <row r="152" spans="2:16" x14ac:dyDescent="0.2">
      <c r="B152" s="282"/>
      <c r="C152" s="282"/>
      <c r="D152" s="282"/>
      <c r="E152" s="283"/>
      <c r="F152" s="284"/>
      <c r="G152" s="285"/>
      <c r="H152" s="285"/>
      <c r="I152" s="286"/>
      <c r="J152" s="286"/>
      <c r="K152" s="286"/>
      <c r="L152" s="286"/>
      <c r="M152" s="286"/>
      <c r="N152" s="286"/>
      <c r="O152" s="287">
        <f t="shared" si="2"/>
        <v>0</v>
      </c>
      <c r="P152" s="288" t="e">
        <f t="array" ref="P152">SUM(J152:K152/G152*100)</f>
        <v>#DIV/0!</v>
      </c>
    </row>
    <row r="153" spans="2:16" x14ac:dyDescent="0.2">
      <c r="B153" s="282"/>
      <c r="C153" s="282"/>
      <c r="D153" s="282"/>
      <c r="E153" s="283"/>
      <c r="F153" s="284"/>
      <c r="G153" s="285"/>
      <c r="H153" s="285"/>
      <c r="I153" s="286"/>
      <c r="J153" s="286"/>
      <c r="K153" s="286"/>
      <c r="L153" s="286"/>
      <c r="M153" s="286"/>
      <c r="N153" s="286"/>
      <c r="O153" s="287">
        <f t="shared" si="2"/>
        <v>0</v>
      </c>
      <c r="P153" s="288" t="e">
        <f t="array" ref="P153">SUM(J153:K153/G153*100)</f>
        <v>#DIV/0!</v>
      </c>
    </row>
    <row r="154" spans="2:16" x14ac:dyDescent="0.2">
      <c r="B154" s="282"/>
      <c r="C154" s="282"/>
      <c r="D154" s="282"/>
      <c r="E154" s="283"/>
      <c r="F154" s="284"/>
      <c r="G154" s="285"/>
      <c r="H154" s="285"/>
      <c r="I154" s="286"/>
      <c r="J154" s="286"/>
      <c r="K154" s="286"/>
      <c r="L154" s="286"/>
      <c r="M154" s="286"/>
      <c r="N154" s="286"/>
      <c r="O154" s="287">
        <f t="shared" si="2"/>
        <v>0</v>
      </c>
      <c r="P154" s="288" t="e">
        <f t="array" ref="P154">SUM(J154:K154/G154*100)</f>
        <v>#DIV/0!</v>
      </c>
    </row>
    <row r="155" spans="2:16" x14ac:dyDescent="0.2">
      <c r="B155" s="282"/>
      <c r="C155" s="282"/>
      <c r="D155" s="282"/>
      <c r="E155" s="283"/>
      <c r="F155" s="284"/>
      <c r="G155" s="285"/>
      <c r="H155" s="285"/>
      <c r="I155" s="286"/>
      <c r="J155" s="286"/>
      <c r="K155" s="286"/>
      <c r="L155" s="286"/>
      <c r="M155" s="286"/>
      <c r="N155" s="286"/>
      <c r="O155" s="287">
        <f t="shared" si="2"/>
        <v>0</v>
      </c>
      <c r="P155" s="288" t="e">
        <f t="array" ref="P155">SUM(J155:K155/G155*100)</f>
        <v>#DIV/0!</v>
      </c>
    </row>
    <row r="156" spans="2:16" x14ac:dyDescent="0.2">
      <c r="B156" s="282"/>
      <c r="C156" s="282"/>
      <c r="D156" s="282"/>
      <c r="E156" s="283"/>
      <c r="F156" s="284"/>
      <c r="G156" s="285"/>
      <c r="H156" s="285"/>
      <c r="I156" s="286"/>
      <c r="J156" s="286"/>
      <c r="K156" s="286"/>
      <c r="L156" s="286"/>
      <c r="M156" s="286"/>
      <c r="N156" s="286"/>
      <c r="O156" s="287">
        <f t="shared" si="2"/>
        <v>0</v>
      </c>
      <c r="P156" s="288" t="e">
        <f t="array" ref="P156">SUM(J156:K156/G156*100)</f>
        <v>#DIV/0!</v>
      </c>
    </row>
    <row r="157" spans="2:16" x14ac:dyDescent="0.2">
      <c r="B157" s="282"/>
      <c r="C157" s="282"/>
      <c r="D157" s="282"/>
      <c r="E157" s="283"/>
      <c r="F157" s="284"/>
      <c r="G157" s="285"/>
      <c r="H157" s="285"/>
      <c r="I157" s="286"/>
      <c r="J157" s="286"/>
      <c r="K157" s="286"/>
      <c r="L157" s="286"/>
      <c r="M157" s="286"/>
      <c r="N157" s="286"/>
      <c r="O157" s="287">
        <f t="shared" si="2"/>
        <v>0</v>
      </c>
      <c r="P157" s="288" t="e">
        <f t="array" ref="P157">SUM(J157:K157/G157*100)</f>
        <v>#DIV/0!</v>
      </c>
    </row>
    <row r="158" spans="2:16" x14ac:dyDescent="0.2">
      <c r="B158" s="282"/>
      <c r="C158" s="282"/>
      <c r="D158" s="282"/>
      <c r="E158" s="283"/>
      <c r="F158" s="284"/>
      <c r="G158" s="285"/>
      <c r="H158" s="285"/>
      <c r="I158" s="286"/>
      <c r="J158" s="286"/>
      <c r="K158" s="286"/>
      <c r="L158" s="286"/>
      <c r="M158" s="286"/>
      <c r="N158" s="286"/>
      <c r="O158" s="287">
        <f t="shared" si="2"/>
        <v>0</v>
      </c>
      <c r="P158" s="288" t="e">
        <f t="array" ref="P158">SUM(J158:K158/G158*100)</f>
        <v>#DIV/0!</v>
      </c>
    </row>
    <row r="159" spans="2:16" x14ac:dyDescent="0.2">
      <c r="B159" s="282"/>
      <c r="C159" s="282"/>
      <c r="D159" s="282"/>
      <c r="E159" s="283"/>
      <c r="F159" s="284"/>
      <c r="G159" s="285"/>
      <c r="H159" s="285"/>
      <c r="I159" s="286"/>
      <c r="J159" s="286"/>
      <c r="K159" s="286"/>
      <c r="L159" s="286"/>
      <c r="M159" s="286"/>
      <c r="N159" s="286"/>
      <c r="O159" s="287">
        <f t="shared" si="2"/>
        <v>0</v>
      </c>
      <c r="P159" s="288" t="e">
        <f t="array" ref="P159">SUM(J159:K159/G159*100)</f>
        <v>#DIV/0!</v>
      </c>
    </row>
    <row r="160" spans="2:16" x14ac:dyDescent="0.2">
      <c r="B160" s="282"/>
      <c r="C160" s="282"/>
      <c r="D160" s="282"/>
      <c r="E160" s="283"/>
      <c r="F160" s="284"/>
      <c r="G160" s="285"/>
      <c r="H160" s="285"/>
      <c r="I160" s="286"/>
      <c r="J160" s="286"/>
      <c r="K160" s="286"/>
      <c r="L160" s="286"/>
      <c r="M160" s="286"/>
      <c r="N160" s="286"/>
      <c r="O160" s="287">
        <f t="shared" si="2"/>
        <v>0</v>
      </c>
      <c r="P160" s="288" t="e">
        <f t="array" ref="P160">SUM(J160:K160/G160*100)</f>
        <v>#DIV/0!</v>
      </c>
    </row>
    <row r="161" spans="2:16" x14ac:dyDescent="0.2">
      <c r="B161" s="282"/>
      <c r="C161" s="282"/>
      <c r="D161" s="282"/>
      <c r="E161" s="283"/>
      <c r="F161" s="284"/>
      <c r="G161" s="285"/>
      <c r="H161" s="285"/>
      <c r="I161" s="286"/>
      <c r="J161" s="286"/>
      <c r="K161" s="286"/>
      <c r="L161" s="286"/>
      <c r="M161" s="286"/>
      <c r="N161" s="286"/>
      <c r="O161" s="287">
        <f t="shared" si="2"/>
        <v>0</v>
      </c>
      <c r="P161" s="288" t="e">
        <f t="array" ref="P161">SUM(J161:K161/G161*100)</f>
        <v>#DIV/0!</v>
      </c>
    </row>
    <row r="162" spans="2:16" x14ac:dyDescent="0.2">
      <c r="B162" s="282"/>
      <c r="C162" s="282"/>
      <c r="D162" s="282"/>
      <c r="E162" s="283"/>
      <c r="F162" s="284"/>
      <c r="G162" s="285"/>
      <c r="H162" s="285"/>
      <c r="I162" s="286"/>
      <c r="J162" s="286"/>
      <c r="K162" s="286"/>
      <c r="L162" s="286"/>
      <c r="M162" s="286"/>
      <c r="N162" s="286"/>
      <c r="O162" s="287">
        <f t="shared" si="2"/>
        <v>0</v>
      </c>
      <c r="P162" s="288" t="e">
        <f t="array" ref="P162">SUM(J162:K162/G162*100)</f>
        <v>#DIV/0!</v>
      </c>
    </row>
    <row r="163" spans="2:16" x14ac:dyDescent="0.2">
      <c r="B163" s="282"/>
      <c r="C163" s="282"/>
      <c r="D163" s="282"/>
      <c r="E163" s="283"/>
      <c r="F163" s="284"/>
      <c r="G163" s="285"/>
      <c r="H163" s="285"/>
      <c r="I163" s="286"/>
      <c r="J163" s="286"/>
      <c r="K163" s="286"/>
      <c r="L163" s="286"/>
      <c r="M163" s="286"/>
      <c r="N163" s="286"/>
      <c r="O163" s="287">
        <f t="shared" si="2"/>
        <v>0</v>
      </c>
      <c r="P163" s="288" t="e">
        <f t="array" ref="P163">SUM(J163:K163/G163*100)</f>
        <v>#DIV/0!</v>
      </c>
    </row>
    <row r="164" spans="2:16" x14ac:dyDescent="0.2">
      <c r="B164" s="282"/>
      <c r="C164" s="282"/>
      <c r="D164" s="282"/>
      <c r="E164" s="283"/>
      <c r="F164" s="284"/>
      <c r="G164" s="285"/>
      <c r="H164" s="285"/>
      <c r="I164" s="286"/>
      <c r="J164" s="286"/>
      <c r="K164" s="286"/>
      <c r="L164" s="286"/>
      <c r="M164" s="286"/>
      <c r="N164" s="286"/>
      <c r="O164" s="287">
        <f t="shared" si="2"/>
        <v>0</v>
      </c>
      <c r="P164" s="288" t="e">
        <f t="array" ref="P164">SUM(J164:K164/G164*100)</f>
        <v>#DIV/0!</v>
      </c>
    </row>
    <row r="165" spans="2:16" x14ac:dyDescent="0.2">
      <c r="B165" s="282"/>
      <c r="C165" s="282"/>
      <c r="D165" s="282"/>
      <c r="E165" s="283"/>
      <c r="F165" s="284"/>
      <c r="G165" s="285"/>
      <c r="H165" s="285"/>
      <c r="I165" s="286"/>
      <c r="J165" s="286"/>
      <c r="K165" s="286"/>
      <c r="L165" s="286"/>
      <c r="M165" s="286"/>
      <c r="N165" s="286"/>
      <c r="O165" s="287">
        <f t="shared" si="2"/>
        <v>0</v>
      </c>
      <c r="P165" s="288" t="e">
        <f t="array" ref="P165">SUM(J165:K165/G165*100)</f>
        <v>#DIV/0!</v>
      </c>
    </row>
    <row r="166" spans="2:16" x14ac:dyDescent="0.2">
      <c r="B166" s="282"/>
      <c r="C166" s="282"/>
      <c r="D166" s="282"/>
      <c r="E166" s="283"/>
      <c r="F166" s="284"/>
      <c r="G166" s="285"/>
      <c r="H166" s="285"/>
      <c r="I166" s="286"/>
      <c r="J166" s="286"/>
      <c r="K166" s="286"/>
      <c r="L166" s="286"/>
      <c r="M166" s="286"/>
      <c r="N166" s="286"/>
      <c r="O166" s="287">
        <f t="shared" si="2"/>
        <v>0</v>
      </c>
      <c r="P166" s="288" t="e">
        <f t="array" ref="P166">SUM(J166:K166/G166*100)</f>
        <v>#DIV/0!</v>
      </c>
    </row>
    <row r="167" spans="2:16" x14ac:dyDescent="0.2">
      <c r="B167" s="282"/>
      <c r="C167" s="282"/>
      <c r="D167" s="282"/>
      <c r="E167" s="283"/>
      <c r="F167" s="284"/>
      <c r="G167" s="285"/>
      <c r="H167" s="285"/>
      <c r="I167" s="286"/>
      <c r="J167" s="286"/>
      <c r="K167" s="286"/>
      <c r="L167" s="286"/>
      <c r="M167" s="286"/>
      <c r="N167" s="286"/>
      <c r="O167" s="287">
        <f t="shared" si="2"/>
        <v>0</v>
      </c>
      <c r="P167" s="288" t="e">
        <f t="array" ref="P167">SUM(J167:K167/G167*100)</f>
        <v>#DIV/0!</v>
      </c>
    </row>
    <row r="168" spans="2:16" x14ac:dyDescent="0.2">
      <c r="B168" s="282"/>
      <c r="C168" s="282"/>
      <c r="D168" s="282"/>
      <c r="E168" s="283"/>
      <c r="F168" s="284"/>
      <c r="G168" s="285"/>
      <c r="H168" s="285"/>
      <c r="I168" s="286"/>
      <c r="J168" s="286"/>
      <c r="K168" s="286"/>
      <c r="L168" s="286"/>
      <c r="M168" s="286"/>
      <c r="N168" s="286"/>
      <c r="O168" s="287">
        <f t="shared" si="2"/>
        <v>0</v>
      </c>
      <c r="P168" s="288" t="e">
        <f t="array" ref="P168">SUM(J168:K168/G168*100)</f>
        <v>#DIV/0!</v>
      </c>
    </row>
    <row r="169" spans="2:16" x14ac:dyDescent="0.2">
      <c r="B169" s="282"/>
      <c r="C169" s="282"/>
      <c r="D169" s="282"/>
      <c r="E169" s="283"/>
      <c r="F169" s="284"/>
      <c r="G169" s="285"/>
      <c r="H169" s="285"/>
      <c r="I169" s="286"/>
      <c r="J169" s="286"/>
      <c r="K169" s="286"/>
      <c r="L169" s="286"/>
      <c r="M169" s="286"/>
      <c r="N169" s="286"/>
      <c r="O169" s="287">
        <f t="shared" si="2"/>
        <v>0</v>
      </c>
      <c r="P169" s="288" t="e">
        <f t="array" ref="P169">SUM(J169:K169/G169*100)</f>
        <v>#DIV/0!</v>
      </c>
    </row>
    <row r="170" spans="2:16" x14ac:dyDescent="0.2">
      <c r="B170" s="282"/>
      <c r="C170" s="282"/>
      <c r="D170" s="282"/>
      <c r="E170" s="283"/>
      <c r="F170" s="284"/>
      <c r="G170" s="285"/>
      <c r="H170" s="285"/>
      <c r="I170" s="286"/>
      <c r="J170" s="286"/>
      <c r="K170" s="286"/>
      <c r="L170" s="286"/>
      <c r="M170" s="286"/>
      <c r="N170" s="286"/>
      <c r="O170" s="287">
        <f t="shared" si="2"/>
        <v>0</v>
      </c>
      <c r="P170" s="288" t="e">
        <f t="array" ref="P170">SUM(J170:K170/G170*100)</f>
        <v>#DIV/0!</v>
      </c>
    </row>
    <row r="171" spans="2:16" x14ac:dyDescent="0.2">
      <c r="B171" s="282"/>
      <c r="C171" s="282"/>
      <c r="D171" s="282"/>
      <c r="E171" s="283"/>
      <c r="F171" s="284"/>
      <c r="G171" s="285"/>
      <c r="H171" s="285"/>
      <c r="I171" s="286"/>
      <c r="J171" s="286"/>
      <c r="K171" s="286"/>
      <c r="L171" s="286"/>
      <c r="M171" s="286"/>
      <c r="N171" s="286"/>
      <c r="O171" s="287">
        <f t="shared" si="2"/>
        <v>0</v>
      </c>
      <c r="P171" s="288" t="e">
        <f t="array" ref="P171">SUM(J171:K171/G171*100)</f>
        <v>#DIV/0!</v>
      </c>
    </row>
    <row r="172" spans="2:16" x14ac:dyDescent="0.2">
      <c r="B172" s="282"/>
      <c r="C172" s="282"/>
      <c r="D172" s="282"/>
      <c r="E172" s="283"/>
      <c r="F172" s="284"/>
      <c r="G172" s="285"/>
      <c r="H172" s="285"/>
      <c r="I172" s="286"/>
      <c r="J172" s="286"/>
      <c r="K172" s="286"/>
      <c r="L172" s="286"/>
      <c r="M172" s="286"/>
      <c r="N172" s="286"/>
      <c r="O172" s="287">
        <f t="shared" si="2"/>
        <v>0</v>
      </c>
      <c r="P172" s="288" t="e">
        <f t="array" ref="P172">SUM(J172:K172/G172*100)</f>
        <v>#DIV/0!</v>
      </c>
    </row>
    <row r="173" spans="2:16" x14ac:dyDescent="0.2">
      <c r="B173" s="282"/>
      <c r="C173" s="282"/>
      <c r="D173" s="282"/>
      <c r="E173" s="283"/>
      <c r="F173" s="284"/>
      <c r="G173" s="285"/>
      <c r="H173" s="285"/>
      <c r="I173" s="286"/>
      <c r="J173" s="286"/>
      <c r="K173" s="286"/>
      <c r="L173" s="286"/>
      <c r="M173" s="286"/>
      <c r="N173" s="286"/>
      <c r="O173" s="287">
        <f t="shared" si="2"/>
        <v>0</v>
      </c>
      <c r="P173" s="288" t="e">
        <f t="array" ref="P173">SUM(J173:K173/G173*100)</f>
        <v>#DIV/0!</v>
      </c>
    </row>
    <row r="174" spans="2:16" x14ac:dyDescent="0.2">
      <c r="B174" s="282"/>
      <c r="C174" s="282"/>
      <c r="D174" s="282"/>
      <c r="E174" s="283"/>
      <c r="F174" s="284"/>
      <c r="G174" s="285"/>
      <c r="H174" s="285"/>
      <c r="I174" s="286"/>
      <c r="J174" s="286"/>
      <c r="K174" s="286"/>
      <c r="L174" s="286"/>
      <c r="M174" s="286"/>
      <c r="N174" s="286"/>
      <c r="O174" s="287">
        <f t="shared" si="2"/>
        <v>0</v>
      </c>
      <c r="P174" s="288" t="e">
        <f t="array" ref="P174">SUM(J174:K174/G174*100)</f>
        <v>#DIV/0!</v>
      </c>
    </row>
    <row r="175" spans="2:16" x14ac:dyDescent="0.2">
      <c r="B175" s="282"/>
      <c r="C175" s="282"/>
      <c r="D175" s="282"/>
      <c r="E175" s="283"/>
      <c r="F175" s="284"/>
      <c r="G175" s="285"/>
      <c r="H175" s="285"/>
      <c r="I175" s="286"/>
      <c r="J175" s="286"/>
      <c r="K175" s="286"/>
      <c r="L175" s="286"/>
      <c r="M175" s="286"/>
      <c r="N175" s="286"/>
      <c r="O175" s="287">
        <f t="shared" si="2"/>
        <v>0</v>
      </c>
      <c r="P175" s="288" t="e">
        <f t="array" ref="P175">SUM(J175:K175/G175*100)</f>
        <v>#DIV/0!</v>
      </c>
    </row>
    <row r="176" spans="2:16" x14ac:dyDescent="0.2">
      <c r="B176" s="282"/>
      <c r="C176" s="282"/>
      <c r="D176" s="282"/>
      <c r="E176" s="283"/>
      <c r="F176" s="284"/>
      <c r="G176" s="285"/>
      <c r="H176" s="285"/>
      <c r="I176" s="286"/>
      <c r="J176" s="286"/>
      <c r="K176" s="286"/>
      <c r="L176" s="286"/>
      <c r="M176" s="286"/>
      <c r="N176" s="286"/>
      <c r="O176" s="287">
        <f t="shared" si="2"/>
        <v>0</v>
      </c>
      <c r="P176" s="288" t="e">
        <f t="array" ref="P176">SUM(J176:K176/G176*100)</f>
        <v>#DIV/0!</v>
      </c>
    </row>
    <row r="177" spans="2:16" x14ac:dyDescent="0.2">
      <c r="B177" s="282"/>
      <c r="C177" s="282"/>
      <c r="D177" s="282"/>
      <c r="E177" s="283"/>
      <c r="F177" s="284"/>
      <c r="G177" s="285"/>
      <c r="H177" s="285"/>
      <c r="I177" s="286"/>
      <c r="J177" s="286"/>
      <c r="K177" s="286"/>
      <c r="L177" s="286"/>
      <c r="M177" s="286"/>
      <c r="N177" s="286"/>
      <c r="O177" s="287">
        <f t="shared" si="2"/>
        <v>0</v>
      </c>
      <c r="P177" s="288" t="e">
        <f t="array" ref="P177">SUM(J177:K177/G177*100)</f>
        <v>#DIV/0!</v>
      </c>
    </row>
    <row r="178" spans="2:16" x14ac:dyDescent="0.2">
      <c r="B178" s="282"/>
      <c r="C178" s="282"/>
      <c r="D178" s="282"/>
      <c r="E178" s="283"/>
      <c r="F178" s="284"/>
      <c r="G178" s="285"/>
      <c r="H178" s="285"/>
      <c r="I178" s="286"/>
      <c r="J178" s="286"/>
      <c r="K178" s="286"/>
      <c r="L178" s="286"/>
      <c r="M178" s="286"/>
      <c r="N178" s="286"/>
      <c r="O178" s="287">
        <f t="shared" si="2"/>
        <v>0</v>
      </c>
      <c r="P178" s="288" t="e">
        <f t="array" ref="P178">SUM(J178:K178/G178*100)</f>
        <v>#DIV/0!</v>
      </c>
    </row>
    <row r="179" spans="2:16" x14ac:dyDescent="0.2">
      <c r="B179" s="282"/>
      <c r="C179" s="282"/>
      <c r="D179" s="282"/>
      <c r="E179" s="283"/>
      <c r="F179" s="284"/>
      <c r="G179" s="285"/>
      <c r="H179" s="285"/>
      <c r="I179" s="286"/>
      <c r="J179" s="286"/>
      <c r="K179" s="286"/>
      <c r="L179" s="286"/>
      <c r="M179" s="286"/>
      <c r="N179" s="286"/>
      <c r="O179" s="287">
        <f t="shared" si="2"/>
        <v>0</v>
      </c>
      <c r="P179" s="288" t="e">
        <f t="array" ref="P179">SUM(J179:K179/G179*100)</f>
        <v>#DIV/0!</v>
      </c>
    </row>
    <row r="180" spans="2:16" x14ac:dyDescent="0.2">
      <c r="B180" s="282"/>
      <c r="C180" s="282"/>
      <c r="D180" s="282"/>
      <c r="E180" s="283"/>
      <c r="F180" s="284"/>
      <c r="G180" s="285"/>
      <c r="H180" s="285"/>
      <c r="I180" s="286"/>
      <c r="J180" s="286"/>
      <c r="K180" s="286"/>
      <c r="L180" s="286"/>
      <c r="M180" s="286"/>
      <c r="N180" s="286"/>
      <c r="O180" s="287">
        <f t="shared" si="2"/>
        <v>0</v>
      </c>
      <c r="P180" s="288" t="e">
        <f t="array" ref="P180">SUM(J180:K180/G180*100)</f>
        <v>#DIV/0!</v>
      </c>
    </row>
    <row r="181" spans="2:16" x14ac:dyDescent="0.2">
      <c r="B181" s="282"/>
      <c r="C181" s="282"/>
      <c r="D181" s="282"/>
      <c r="E181" s="283"/>
      <c r="F181" s="284"/>
      <c r="G181" s="285"/>
      <c r="H181" s="285"/>
      <c r="I181" s="286"/>
      <c r="J181" s="286"/>
      <c r="K181" s="286"/>
      <c r="L181" s="286"/>
      <c r="M181" s="286"/>
      <c r="N181" s="286"/>
      <c r="O181" s="287">
        <f t="shared" si="2"/>
        <v>0</v>
      </c>
      <c r="P181" s="288" t="e">
        <f t="array" ref="P181">SUM(J181:K181/G181*100)</f>
        <v>#DIV/0!</v>
      </c>
    </row>
    <row r="182" spans="2:16" x14ac:dyDescent="0.2">
      <c r="B182" s="282"/>
      <c r="C182" s="282"/>
      <c r="D182" s="282"/>
      <c r="E182" s="283"/>
      <c r="F182" s="284"/>
      <c r="G182" s="285"/>
      <c r="H182" s="285"/>
      <c r="I182" s="286"/>
      <c r="J182" s="286"/>
      <c r="K182" s="286"/>
      <c r="L182" s="286"/>
      <c r="M182" s="286"/>
      <c r="N182" s="286"/>
      <c r="O182" s="287">
        <f t="shared" si="2"/>
        <v>0</v>
      </c>
      <c r="P182" s="288" t="e">
        <f t="array" ref="P182">SUM(J182:K182/G182*100)</f>
        <v>#DIV/0!</v>
      </c>
    </row>
    <row r="183" spans="2:16" x14ac:dyDescent="0.2">
      <c r="B183" s="282"/>
      <c r="C183" s="282"/>
      <c r="D183" s="282"/>
      <c r="E183" s="283"/>
      <c r="F183" s="284"/>
      <c r="G183" s="285"/>
      <c r="H183" s="285"/>
      <c r="I183" s="286"/>
      <c r="J183" s="286"/>
      <c r="K183" s="286"/>
      <c r="L183" s="286"/>
      <c r="M183" s="286"/>
      <c r="N183" s="286"/>
      <c r="O183" s="287">
        <f t="shared" si="2"/>
        <v>0</v>
      </c>
      <c r="P183" s="288" t="e">
        <f t="array" ref="P183">SUM(J183:K183/G183*100)</f>
        <v>#DIV/0!</v>
      </c>
    </row>
    <row r="184" spans="2:16" x14ac:dyDescent="0.2">
      <c r="B184" s="282"/>
      <c r="C184" s="282"/>
      <c r="D184" s="282"/>
      <c r="E184" s="283"/>
      <c r="F184" s="284"/>
      <c r="G184" s="285"/>
      <c r="H184" s="285"/>
      <c r="I184" s="286"/>
      <c r="J184" s="286"/>
      <c r="K184" s="286"/>
      <c r="L184" s="286"/>
      <c r="M184" s="286"/>
      <c r="N184" s="286"/>
      <c r="O184" s="287">
        <f t="shared" si="2"/>
        <v>0</v>
      </c>
      <c r="P184" s="288" t="e">
        <f t="array" ref="P184">SUM(J184:K184/G184*100)</f>
        <v>#DIV/0!</v>
      </c>
    </row>
    <row r="185" spans="2:16" x14ac:dyDescent="0.2">
      <c r="B185" s="282"/>
      <c r="C185" s="282"/>
      <c r="D185" s="282"/>
      <c r="E185" s="283"/>
      <c r="F185" s="284"/>
      <c r="G185" s="285"/>
      <c r="H185" s="285"/>
      <c r="I185" s="286"/>
      <c r="J185" s="286"/>
      <c r="K185" s="286"/>
      <c r="L185" s="286"/>
      <c r="M185" s="286"/>
      <c r="N185" s="286"/>
      <c r="O185" s="287">
        <f t="shared" si="2"/>
        <v>0</v>
      </c>
      <c r="P185" s="288" t="e">
        <f t="array" ref="P185">SUM(J185:K185/G185*100)</f>
        <v>#DIV/0!</v>
      </c>
    </row>
    <row r="186" spans="2:16" x14ac:dyDescent="0.2">
      <c r="B186" s="282"/>
      <c r="C186" s="282"/>
      <c r="D186" s="282"/>
      <c r="E186" s="283"/>
      <c r="F186" s="284"/>
      <c r="G186" s="285"/>
      <c r="H186" s="285"/>
      <c r="I186" s="286"/>
      <c r="J186" s="286"/>
      <c r="K186" s="286"/>
      <c r="L186" s="286"/>
      <c r="M186" s="286"/>
      <c r="N186" s="286"/>
      <c r="O186" s="287">
        <f t="shared" si="2"/>
        <v>0</v>
      </c>
      <c r="P186" s="288" t="e">
        <f t="array" ref="P186">SUM(J186:K186/G186*100)</f>
        <v>#DIV/0!</v>
      </c>
    </row>
    <row r="187" spans="2:16" x14ac:dyDescent="0.2">
      <c r="B187" s="282"/>
      <c r="C187" s="282"/>
      <c r="D187" s="282"/>
      <c r="E187" s="283"/>
      <c r="F187" s="284"/>
      <c r="G187" s="285"/>
      <c r="H187" s="285"/>
      <c r="I187" s="286"/>
      <c r="J187" s="286"/>
      <c r="K187" s="286"/>
      <c r="L187" s="286"/>
      <c r="M187" s="286"/>
      <c r="N187" s="286"/>
      <c r="O187" s="287">
        <f t="shared" si="2"/>
        <v>0</v>
      </c>
      <c r="P187" s="288" t="e">
        <f t="array" ref="P187">SUM(J187:K187/G187*100)</f>
        <v>#DIV/0!</v>
      </c>
    </row>
    <row r="188" spans="2:16" x14ac:dyDescent="0.2">
      <c r="B188" s="282"/>
      <c r="C188" s="282"/>
      <c r="D188" s="282"/>
      <c r="E188" s="283"/>
      <c r="F188" s="284"/>
      <c r="G188" s="285"/>
      <c r="H188" s="285"/>
      <c r="I188" s="286"/>
      <c r="J188" s="286"/>
      <c r="K188" s="286"/>
      <c r="L188" s="286"/>
      <c r="M188" s="286"/>
      <c r="N188" s="286"/>
      <c r="O188" s="287">
        <f t="shared" si="2"/>
        <v>0</v>
      </c>
      <c r="P188" s="288" t="e">
        <f t="array" ref="P188">SUM(J188:K188/G188*100)</f>
        <v>#DIV/0!</v>
      </c>
    </row>
    <row r="189" spans="2:16" x14ac:dyDescent="0.2">
      <c r="B189" s="282"/>
      <c r="C189" s="282"/>
      <c r="D189" s="282"/>
      <c r="E189" s="283"/>
      <c r="F189" s="284"/>
      <c r="G189" s="285"/>
      <c r="H189" s="285"/>
      <c r="I189" s="286"/>
      <c r="J189" s="286"/>
      <c r="K189" s="286"/>
      <c r="L189" s="286"/>
      <c r="M189" s="286"/>
      <c r="N189" s="286"/>
      <c r="O189" s="287">
        <f t="shared" si="2"/>
        <v>0</v>
      </c>
      <c r="P189" s="288" t="e">
        <f t="array" ref="P189">SUM(J189:K189/G189*100)</f>
        <v>#DIV/0!</v>
      </c>
    </row>
    <row r="190" spans="2:16" x14ac:dyDescent="0.2">
      <c r="B190" s="282"/>
      <c r="C190" s="282"/>
      <c r="D190" s="282"/>
      <c r="E190" s="283"/>
      <c r="F190" s="284"/>
      <c r="G190" s="285"/>
      <c r="H190" s="285"/>
      <c r="I190" s="286"/>
      <c r="J190" s="286"/>
      <c r="K190" s="286"/>
      <c r="L190" s="286"/>
      <c r="M190" s="286"/>
      <c r="N190" s="286"/>
      <c r="O190" s="287">
        <f t="shared" si="2"/>
        <v>0</v>
      </c>
      <c r="P190" s="288" t="e">
        <f t="array" ref="P190">SUM(J190:K190/G190*100)</f>
        <v>#DIV/0!</v>
      </c>
    </row>
    <row r="191" spans="2:16" x14ac:dyDescent="0.2">
      <c r="B191" s="282"/>
      <c r="C191" s="282"/>
      <c r="D191" s="282"/>
      <c r="E191" s="283"/>
      <c r="F191" s="284"/>
      <c r="G191" s="285"/>
      <c r="H191" s="285"/>
      <c r="I191" s="286"/>
      <c r="J191" s="286"/>
      <c r="K191" s="286"/>
      <c r="L191" s="286"/>
      <c r="M191" s="286"/>
      <c r="N191" s="286"/>
      <c r="O191" s="287">
        <f t="shared" si="2"/>
        <v>0</v>
      </c>
      <c r="P191" s="288" t="e">
        <f t="array" ref="P191">SUM(J191:K191/G191*100)</f>
        <v>#DIV/0!</v>
      </c>
    </row>
    <row r="192" spans="2:16" x14ac:dyDescent="0.2">
      <c r="B192" s="282"/>
      <c r="C192" s="282"/>
      <c r="D192" s="282"/>
      <c r="E192" s="283"/>
      <c r="F192" s="284"/>
      <c r="G192" s="285"/>
      <c r="H192" s="285"/>
      <c r="I192" s="286"/>
      <c r="J192" s="286"/>
      <c r="K192" s="286"/>
      <c r="L192" s="286"/>
      <c r="M192" s="286"/>
      <c r="N192" s="286"/>
      <c r="O192" s="287">
        <f t="shared" si="2"/>
        <v>0</v>
      </c>
      <c r="P192" s="288" t="e">
        <f t="array" ref="P192">SUM(J192:K192/G192*100)</f>
        <v>#DIV/0!</v>
      </c>
    </row>
    <row r="193" spans="2:16" x14ac:dyDescent="0.2">
      <c r="B193" s="282"/>
      <c r="C193" s="282"/>
      <c r="D193" s="282"/>
      <c r="E193" s="283"/>
      <c r="F193" s="284"/>
      <c r="G193" s="285"/>
      <c r="H193" s="285"/>
      <c r="I193" s="286"/>
      <c r="J193" s="286"/>
      <c r="K193" s="286"/>
      <c r="L193" s="286"/>
      <c r="M193" s="286"/>
      <c r="N193" s="286"/>
      <c r="O193" s="287">
        <f t="shared" si="2"/>
        <v>0</v>
      </c>
      <c r="P193" s="288" t="e">
        <f t="array" ref="P193">SUM(J193:K193/G193*100)</f>
        <v>#DIV/0!</v>
      </c>
    </row>
    <row r="194" spans="2:16" x14ac:dyDescent="0.2">
      <c r="B194" s="282"/>
      <c r="C194" s="282"/>
      <c r="D194" s="282"/>
      <c r="E194" s="283"/>
      <c r="F194" s="284"/>
      <c r="G194" s="285"/>
      <c r="H194" s="285"/>
      <c r="I194" s="286"/>
      <c r="J194" s="286"/>
      <c r="K194" s="286"/>
      <c r="L194" s="286"/>
      <c r="M194" s="286"/>
      <c r="N194" s="286"/>
      <c r="O194" s="287">
        <f t="shared" si="2"/>
        <v>0</v>
      </c>
      <c r="P194" s="288" t="e">
        <f t="array" ref="P194">SUM(J194:K194/G194*100)</f>
        <v>#DIV/0!</v>
      </c>
    </row>
    <row r="195" spans="2:16" x14ac:dyDescent="0.2">
      <c r="B195" s="282"/>
      <c r="C195" s="282"/>
      <c r="D195" s="282"/>
      <c r="E195" s="283"/>
      <c r="F195" s="284"/>
      <c r="G195" s="285"/>
      <c r="H195" s="285"/>
      <c r="I195" s="286"/>
      <c r="J195" s="286"/>
      <c r="K195" s="286"/>
      <c r="L195" s="286"/>
      <c r="M195" s="286"/>
      <c r="N195" s="286"/>
      <c r="O195" s="287">
        <f t="shared" si="2"/>
        <v>0</v>
      </c>
      <c r="P195" s="288" t="e">
        <f t="array" ref="P195">SUM(J195:K195/G195*100)</f>
        <v>#DIV/0!</v>
      </c>
    </row>
    <row r="196" spans="2:16" x14ac:dyDescent="0.2">
      <c r="B196" s="282"/>
      <c r="C196" s="282"/>
      <c r="D196" s="282"/>
      <c r="E196" s="283"/>
      <c r="F196" s="284"/>
      <c r="G196" s="285"/>
      <c r="H196" s="285"/>
      <c r="I196" s="286"/>
      <c r="J196" s="286"/>
      <c r="K196" s="286"/>
      <c r="L196" s="286"/>
      <c r="M196" s="286"/>
      <c r="N196" s="286"/>
      <c r="O196" s="287">
        <f t="shared" si="2"/>
        <v>0</v>
      </c>
      <c r="P196" s="288" t="e">
        <f t="array" ref="P196">SUM(J196:K196/G196*100)</f>
        <v>#DIV/0!</v>
      </c>
    </row>
    <row r="197" spans="2:16" x14ac:dyDescent="0.2">
      <c r="B197" s="282"/>
      <c r="C197" s="282"/>
      <c r="D197" s="282"/>
      <c r="E197" s="283"/>
      <c r="F197" s="284"/>
      <c r="G197" s="285"/>
      <c r="H197" s="285"/>
      <c r="I197" s="286"/>
      <c r="J197" s="286"/>
      <c r="K197" s="286"/>
      <c r="L197" s="286"/>
      <c r="M197" s="286"/>
      <c r="N197" s="286"/>
      <c r="O197" s="287">
        <f t="shared" si="2"/>
        <v>0</v>
      </c>
      <c r="P197" s="288" t="e">
        <f t="array" ref="P197">SUM(J197:K197/G197*100)</f>
        <v>#DIV/0!</v>
      </c>
    </row>
    <row r="198" spans="2:16" x14ac:dyDescent="0.2">
      <c r="B198" s="282"/>
      <c r="C198" s="282"/>
      <c r="D198" s="282"/>
      <c r="E198" s="283"/>
      <c r="F198" s="284"/>
      <c r="G198" s="285"/>
      <c r="H198" s="285"/>
      <c r="I198" s="286"/>
      <c r="J198" s="286"/>
      <c r="K198" s="286"/>
      <c r="L198" s="286"/>
      <c r="M198" s="286"/>
      <c r="N198" s="286"/>
      <c r="O198" s="287">
        <f t="shared" si="2"/>
        <v>0</v>
      </c>
      <c r="P198" s="288" t="e">
        <f t="array" ref="P198">SUM(J198:K198/G198*100)</f>
        <v>#DIV/0!</v>
      </c>
    </row>
    <row r="199" spans="2:16" x14ac:dyDescent="0.2">
      <c r="B199" s="282"/>
      <c r="C199" s="282"/>
      <c r="D199" s="282"/>
      <c r="E199" s="283"/>
      <c r="F199" s="284"/>
      <c r="G199" s="285"/>
      <c r="H199" s="285"/>
      <c r="I199" s="286"/>
      <c r="J199" s="286"/>
      <c r="K199" s="286"/>
      <c r="L199" s="286"/>
      <c r="M199" s="286"/>
      <c r="N199" s="286"/>
      <c r="O199" s="287">
        <f t="shared" ref="O199:O262" si="3">IFERROR(N199*6,0)</f>
        <v>0</v>
      </c>
      <c r="P199" s="288" t="e">
        <f t="array" ref="P199">SUM(J199:K199/G199*100)</f>
        <v>#DIV/0!</v>
      </c>
    </row>
    <row r="200" spans="2:16" x14ac:dyDescent="0.2">
      <c r="B200" s="282"/>
      <c r="C200" s="282"/>
      <c r="D200" s="282"/>
      <c r="E200" s="283"/>
      <c r="F200" s="284"/>
      <c r="G200" s="285"/>
      <c r="H200" s="285"/>
      <c r="I200" s="286"/>
      <c r="J200" s="286"/>
      <c r="K200" s="286"/>
      <c r="L200" s="286"/>
      <c r="M200" s="286"/>
      <c r="N200" s="286"/>
      <c r="O200" s="287">
        <f t="shared" si="3"/>
        <v>0</v>
      </c>
      <c r="P200" s="288" t="e">
        <f t="array" ref="P200">SUM(J200:K200/G200*100)</f>
        <v>#DIV/0!</v>
      </c>
    </row>
    <row r="201" spans="2:16" x14ac:dyDescent="0.2">
      <c r="B201" s="282"/>
      <c r="C201" s="282"/>
      <c r="D201" s="282"/>
      <c r="E201" s="283"/>
      <c r="F201" s="284"/>
      <c r="G201" s="285"/>
      <c r="H201" s="285"/>
      <c r="I201" s="286"/>
      <c r="J201" s="286"/>
      <c r="K201" s="286"/>
      <c r="L201" s="286"/>
      <c r="M201" s="286"/>
      <c r="N201" s="286"/>
      <c r="O201" s="287">
        <f t="shared" si="3"/>
        <v>0</v>
      </c>
      <c r="P201" s="288" t="e">
        <f t="array" ref="P201">SUM(J201:K201/G201*100)</f>
        <v>#DIV/0!</v>
      </c>
    </row>
    <row r="202" spans="2:16" x14ac:dyDescent="0.2">
      <c r="B202" s="282"/>
      <c r="C202" s="282"/>
      <c r="D202" s="282"/>
      <c r="E202" s="283"/>
      <c r="F202" s="284"/>
      <c r="G202" s="285"/>
      <c r="H202" s="285"/>
      <c r="I202" s="286"/>
      <c r="J202" s="286"/>
      <c r="K202" s="286"/>
      <c r="L202" s="286"/>
      <c r="M202" s="286"/>
      <c r="N202" s="286"/>
      <c r="O202" s="287">
        <f t="shared" si="3"/>
        <v>0</v>
      </c>
      <c r="P202" s="288" t="e">
        <f t="array" ref="P202">SUM(J202:K202/G202*100)</f>
        <v>#DIV/0!</v>
      </c>
    </row>
    <row r="203" spans="2:16" x14ac:dyDescent="0.2">
      <c r="B203" s="282"/>
      <c r="C203" s="282"/>
      <c r="D203" s="282"/>
      <c r="E203" s="283"/>
      <c r="F203" s="284"/>
      <c r="G203" s="285"/>
      <c r="H203" s="285"/>
      <c r="I203" s="286"/>
      <c r="J203" s="286"/>
      <c r="K203" s="286"/>
      <c r="L203" s="286"/>
      <c r="M203" s="286"/>
      <c r="N203" s="286"/>
      <c r="O203" s="287">
        <f t="shared" si="3"/>
        <v>0</v>
      </c>
      <c r="P203" s="288" t="e">
        <f t="array" ref="P203">SUM(J203:K203/G203*100)</f>
        <v>#DIV/0!</v>
      </c>
    </row>
    <row r="204" spans="2:16" x14ac:dyDescent="0.2">
      <c r="B204" s="282"/>
      <c r="C204" s="282"/>
      <c r="D204" s="282"/>
      <c r="E204" s="283"/>
      <c r="F204" s="284"/>
      <c r="G204" s="285"/>
      <c r="H204" s="285"/>
      <c r="I204" s="286"/>
      <c r="J204" s="286"/>
      <c r="K204" s="286"/>
      <c r="L204" s="286"/>
      <c r="M204" s="286"/>
      <c r="N204" s="286"/>
      <c r="O204" s="287">
        <f t="shared" si="3"/>
        <v>0</v>
      </c>
      <c r="P204" s="288" t="e">
        <f t="array" ref="P204">SUM(J204:K204/G204*100)</f>
        <v>#DIV/0!</v>
      </c>
    </row>
    <row r="205" spans="2:16" x14ac:dyDescent="0.2">
      <c r="B205" s="282"/>
      <c r="C205" s="282"/>
      <c r="D205" s="282"/>
      <c r="E205" s="283"/>
      <c r="F205" s="284"/>
      <c r="G205" s="285"/>
      <c r="H205" s="285"/>
      <c r="I205" s="286"/>
      <c r="J205" s="286"/>
      <c r="K205" s="286"/>
      <c r="L205" s="286"/>
      <c r="M205" s="286"/>
      <c r="N205" s="286"/>
      <c r="O205" s="287">
        <f t="shared" si="3"/>
        <v>0</v>
      </c>
      <c r="P205" s="288" t="e">
        <f t="array" ref="P205">SUM(J205:K205/G205*100)</f>
        <v>#DIV/0!</v>
      </c>
    </row>
    <row r="206" spans="2:16" x14ac:dyDescent="0.2">
      <c r="B206" s="282"/>
      <c r="C206" s="282"/>
      <c r="D206" s="282"/>
      <c r="E206" s="283"/>
      <c r="F206" s="284"/>
      <c r="G206" s="285"/>
      <c r="H206" s="285"/>
      <c r="I206" s="286"/>
      <c r="J206" s="286"/>
      <c r="K206" s="286"/>
      <c r="L206" s="286"/>
      <c r="M206" s="286"/>
      <c r="N206" s="286"/>
      <c r="O206" s="287">
        <f t="shared" si="3"/>
        <v>0</v>
      </c>
      <c r="P206" s="288" t="e">
        <f t="array" ref="P206">SUM(J206:K206/G206*100)</f>
        <v>#DIV/0!</v>
      </c>
    </row>
    <row r="207" spans="2:16" x14ac:dyDescent="0.2">
      <c r="B207" s="282"/>
      <c r="C207" s="282"/>
      <c r="D207" s="282"/>
      <c r="E207" s="283"/>
      <c r="F207" s="284"/>
      <c r="G207" s="285"/>
      <c r="H207" s="285"/>
      <c r="I207" s="286"/>
      <c r="J207" s="286"/>
      <c r="K207" s="286"/>
      <c r="L207" s="286"/>
      <c r="M207" s="286"/>
      <c r="N207" s="286"/>
      <c r="O207" s="287">
        <f t="shared" si="3"/>
        <v>0</v>
      </c>
      <c r="P207" s="288" t="e">
        <f t="array" ref="P207">SUM(J207:K207/G207*100)</f>
        <v>#DIV/0!</v>
      </c>
    </row>
    <row r="208" spans="2:16" x14ac:dyDescent="0.2">
      <c r="B208" s="282"/>
      <c r="C208" s="282"/>
      <c r="D208" s="282"/>
      <c r="E208" s="283"/>
      <c r="F208" s="284"/>
      <c r="G208" s="285"/>
      <c r="H208" s="285"/>
      <c r="I208" s="286"/>
      <c r="J208" s="286"/>
      <c r="K208" s="286"/>
      <c r="L208" s="286"/>
      <c r="M208" s="286"/>
      <c r="N208" s="286"/>
      <c r="O208" s="287">
        <f t="shared" si="3"/>
        <v>0</v>
      </c>
      <c r="P208" s="288" t="e">
        <f t="array" ref="P208">SUM(J208:K208/G208*100)</f>
        <v>#DIV/0!</v>
      </c>
    </row>
    <row r="209" spans="2:16" x14ac:dyDescent="0.2">
      <c r="B209" s="282"/>
      <c r="C209" s="282"/>
      <c r="D209" s="282"/>
      <c r="E209" s="283"/>
      <c r="F209" s="284"/>
      <c r="G209" s="285"/>
      <c r="H209" s="285"/>
      <c r="I209" s="286"/>
      <c r="J209" s="286"/>
      <c r="K209" s="286"/>
      <c r="L209" s="286"/>
      <c r="M209" s="286"/>
      <c r="N209" s="286"/>
      <c r="O209" s="287">
        <f t="shared" si="3"/>
        <v>0</v>
      </c>
      <c r="P209" s="288" t="e">
        <f t="array" ref="P209">SUM(J209:K209/G209*100)</f>
        <v>#DIV/0!</v>
      </c>
    </row>
    <row r="210" spans="2:16" x14ac:dyDescent="0.2">
      <c r="B210" s="282"/>
      <c r="C210" s="282"/>
      <c r="D210" s="282"/>
      <c r="E210" s="283"/>
      <c r="F210" s="284"/>
      <c r="G210" s="285"/>
      <c r="H210" s="285"/>
      <c r="I210" s="286"/>
      <c r="J210" s="286"/>
      <c r="K210" s="286"/>
      <c r="L210" s="286"/>
      <c r="M210" s="286"/>
      <c r="N210" s="286"/>
      <c r="O210" s="287">
        <f t="shared" si="3"/>
        <v>0</v>
      </c>
      <c r="P210" s="288" t="e">
        <f t="array" ref="P210">SUM(J210:K210/G210*100)</f>
        <v>#DIV/0!</v>
      </c>
    </row>
    <row r="211" spans="2:16" x14ac:dyDescent="0.2">
      <c r="B211" s="282"/>
      <c r="C211" s="282"/>
      <c r="D211" s="282"/>
      <c r="E211" s="283"/>
      <c r="F211" s="284"/>
      <c r="G211" s="285"/>
      <c r="H211" s="285"/>
      <c r="I211" s="286"/>
      <c r="J211" s="286"/>
      <c r="K211" s="286"/>
      <c r="L211" s="286"/>
      <c r="M211" s="286"/>
      <c r="N211" s="286"/>
      <c r="O211" s="287">
        <f t="shared" si="3"/>
        <v>0</v>
      </c>
      <c r="P211" s="288" t="e">
        <f t="array" ref="P211">SUM(J211:K211/G211*100)</f>
        <v>#DIV/0!</v>
      </c>
    </row>
    <row r="212" spans="2:16" x14ac:dyDescent="0.2">
      <c r="B212" s="282"/>
      <c r="C212" s="282"/>
      <c r="D212" s="282"/>
      <c r="E212" s="283"/>
      <c r="F212" s="284"/>
      <c r="G212" s="285"/>
      <c r="H212" s="285"/>
      <c r="I212" s="286"/>
      <c r="J212" s="286"/>
      <c r="K212" s="286"/>
      <c r="L212" s="286"/>
      <c r="M212" s="286"/>
      <c r="N212" s="286"/>
      <c r="O212" s="287">
        <f t="shared" si="3"/>
        <v>0</v>
      </c>
      <c r="P212" s="288" t="e">
        <f t="array" ref="P212">SUM(J212:K212/G212*100)</f>
        <v>#DIV/0!</v>
      </c>
    </row>
    <row r="213" spans="2:16" x14ac:dyDescent="0.2">
      <c r="B213" s="282"/>
      <c r="C213" s="282"/>
      <c r="D213" s="282"/>
      <c r="E213" s="283"/>
      <c r="F213" s="284"/>
      <c r="G213" s="285"/>
      <c r="H213" s="285"/>
      <c r="I213" s="286"/>
      <c r="J213" s="286"/>
      <c r="K213" s="286"/>
      <c r="L213" s="286"/>
      <c r="M213" s="286"/>
      <c r="N213" s="286"/>
      <c r="O213" s="287">
        <f t="shared" si="3"/>
        <v>0</v>
      </c>
      <c r="P213" s="288" t="e">
        <f t="array" ref="P213">SUM(J213:K213/G213*100)</f>
        <v>#DIV/0!</v>
      </c>
    </row>
    <row r="214" spans="2:16" x14ac:dyDescent="0.2">
      <c r="B214" s="282"/>
      <c r="C214" s="282"/>
      <c r="D214" s="282"/>
      <c r="E214" s="283"/>
      <c r="F214" s="284"/>
      <c r="G214" s="285"/>
      <c r="H214" s="285"/>
      <c r="I214" s="286"/>
      <c r="J214" s="286"/>
      <c r="K214" s="286"/>
      <c r="L214" s="286"/>
      <c r="M214" s="286"/>
      <c r="N214" s="286"/>
      <c r="O214" s="287">
        <f t="shared" si="3"/>
        <v>0</v>
      </c>
      <c r="P214" s="288" t="e">
        <f t="array" ref="P214">SUM(J214:K214/G214*100)</f>
        <v>#DIV/0!</v>
      </c>
    </row>
    <row r="215" spans="2:16" x14ac:dyDescent="0.2">
      <c r="B215" s="282"/>
      <c r="C215" s="282"/>
      <c r="D215" s="282"/>
      <c r="E215" s="283"/>
      <c r="F215" s="284"/>
      <c r="G215" s="285"/>
      <c r="H215" s="285"/>
      <c r="I215" s="286"/>
      <c r="J215" s="286"/>
      <c r="K215" s="286"/>
      <c r="L215" s="286"/>
      <c r="M215" s="286"/>
      <c r="N215" s="286"/>
      <c r="O215" s="287">
        <f t="shared" si="3"/>
        <v>0</v>
      </c>
      <c r="P215" s="288" t="e">
        <f t="array" ref="P215">SUM(J215:K215/G215*100)</f>
        <v>#DIV/0!</v>
      </c>
    </row>
    <row r="216" spans="2:16" x14ac:dyDescent="0.2">
      <c r="B216" s="282"/>
      <c r="C216" s="282"/>
      <c r="D216" s="282"/>
      <c r="E216" s="283"/>
      <c r="F216" s="284"/>
      <c r="G216" s="285"/>
      <c r="H216" s="285"/>
      <c r="I216" s="286"/>
      <c r="J216" s="286"/>
      <c r="K216" s="286"/>
      <c r="L216" s="286"/>
      <c r="M216" s="286"/>
      <c r="N216" s="286"/>
      <c r="O216" s="287">
        <f t="shared" si="3"/>
        <v>0</v>
      </c>
      <c r="P216" s="288" t="e">
        <f t="array" ref="P216">SUM(J216:K216/G216*100)</f>
        <v>#DIV/0!</v>
      </c>
    </row>
    <row r="217" spans="2:16" x14ac:dyDescent="0.2">
      <c r="B217" s="282"/>
      <c r="C217" s="282"/>
      <c r="D217" s="282"/>
      <c r="E217" s="283"/>
      <c r="F217" s="284"/>
      <c r="G217" s="285"/>
      <c r="H217" s="285"/>
      <c r="I217" s="286"/>
      <c r="J217" s="286"/>
      <c r="K217" s="286"/>
      <c r="L217" s="286"/>
      <c r="M217" s="286"/>
      <c r="N217" s="286"/>
      <c r="O217" s="287">
        <f t="shared" si="3"/>
        <v>0</v>
      </c>
      <c r="P217" s="288" t="e">
        <f t="array" ref="P217">SUM(J217:K217/G217*100)</f>
        <v>#DIV/0!</v>
      </c>
    </row>
    <row r="218" spans="2:16" x14ac:dyDescent="0.2">
      <c r="B218" s="282"/>
      <c r="C218" s="282"/>
      <c r="D218" s="282"/>
      <c r="E218" s="283"/>
      <c r="F218" s="284"/>
      <c r="G218" s="285"/>
      <c r="H218" s="285"/>
      <c r="I218" s="286"/>
      <c r="J218" s="286"/>
      <c r="K218" s="286"/>
      <c r="L218" s="286"/>
      <c r="M218" s="286"/>
      <c r="N218" s="286"/>
      <c r="O218" s="287">
        <f t="shared" si="3"/>
        <v>0</v>
      </c>
      <c r="P218" s="288" t="e">
        <f t="array" ref="P218">SUM(J218:K218/G218*100)</f>
        <v>#DIV/0!</v>
      </c>
    </row>
    <row r="219" spans="2:16" x14ac:dyDescent="0.2">
      <c r="B219" s="282"/>
      <c r="C219" s="282"/>
      <c r="D219" s="282"/>
      <c r="E219" s="283"/>
      <c r="F219" s="284"/>
      <c r="G219" s="285"/>
      <c r="H219" s="285"/>
      <c r="I219" s="286"/>
      <c r="J219" s="286"/>
      <c r="K219" s="286"/>
      <c r="L219" s="286"/>
      <c r="M219" s="286"/>
      <c r="N219" s="286"/>
      <c r="O219" s="287">
        <f t="shared" si="3"/>
        <v>0</v>
      </c>
      <c r="P219" s="288" t="e">
        <f t="array" ref="P219">SUM(J219:K219/G219*100)</f>
        <v>#DIV/0!</v>
      </c>
    </row>
    <row r="220" spans="2:16" x14ac:dyDescent="0.2">
      <c r="B220" s="282"/>
      <c r="C220" s="282"/>
      <c r="D220" s="282"/>
      <c r="E220" s="283"/>
      <c r="F220" s="284"/>
      <c r="G220" s="285"/>
      <c r="H220" s="285"/>
      <c r="I220" s="286"/>
      <c r="J220" s="286"/>
      <c r="K220" s="286"/>
      <c r="L220" s="286"/>
      <c r="M220" s="286"/>
      <c r="N220" s="286"/>
      <c r="O220" s="287">
        <f t="shared" si="3"/>
        <v>0</v>
      </c>
      <c r="P220" s="288" t="e">
        <f t="array" ref="P220">SUM(J220:K220/G220*100)</f>
        <v>#DIV/0!</v>
      </c>
    </row>
    <row r="221" spans="2:16" x14ac:dyDescent="0.2">
      <c r="B221" s="282"/>
      <c r="C221" s="282"/>
      <c r="D221" s="282"/>
      <c r="E221" s="283"/>
      <c r="F221" s="284"/>
      <c r="G221" s="285"/>
      <c r="H221" s="285"/>
      <c r="I221" s="286"/>
      <c r="J221" s="286"/>
      <c r="K221" s="286"/>
      <c r="L221" s="286"/>
      <c r="M221" s="286"/>
      <c r="N221" s="286"/>
      <c r="O221" s="287">
        <f t="shared" si="3"/>
        <v>0</v>
      </c>
      <c r="P221" s="288" t="e">
        <f t="array" ref="P221">SUM(J221:K221/G221*100)</f>
        <v>#DIV/0!</v>
      </c>
    </row>
    <row r="222" spans="2:16" x14ac:dyDescent="0.2">
      <c r="B222" s="282"/>
      <c r="C222" s="282"/>
      <c r="D222" s="282"/>
      <c r="E222" s="283"/>
      <c r="F222" s="284"/>
      <c r="G222" s="285"/>
      <c r="H222" s="285"/>
      <c r="I222" s="286"/>
      <c r="J222" s="286"/>
      <c r="K222" s="286"/>
      <c r="L222" s="286"/>
      <c r="M222" s="286"/>
      <c r="N222" s="286"/>
      <c r="O222" s="287">
        <f t="shared" si="3"/>
        <v>0</v>
      </c>
      <c r="P222" s="288" t="e">
        <f t="array" ref="P222">SUM(J222:K222/G222*100)</f>
        <v>#DIV/0!</v>
      </c>
    </row>
    <row r="223" spans="2:16" x14ac:dyDescent="0.2">
      <c r="B223" s="282"/>
      <c r="C223" s="282"/>
      <c r="D223" s="282"/>
      <c r="E223" s="283"/>
      <c r="F223" s="284"/>
      <c r="G223" s="285"/>
      <c r="H223" s="285"/>
      <c r="I223" s="286"/>
      <c r="J223" s="286"/>
      <c r="K223" s="286"/>
      <c r="L223" s="286"/>
      <c r="M223" s="286"/>
      <c r="N223" s="286"/>
      <c r="O223" s="287">
        <f t="shared" si="3"/>
        <v>0</v>
      </c>
      <c r="P223" s="288" t="e">
        <f t="array" ref="P223">SUM(J223:K223/G223*100)</f>
        <v>#DIV/0!</v>
      </c>
    </row>
    <row r="224" spans="2:16" x14ac:dyDescent="0.2">
      <c r="B224" s="282"/>
      <c r="C224" s="282"/>
      <c r="D224" s="282"/>
      <c r="E224" s="283"/>
      <c r="F224" s="284"/>
      <c r="G224" s="285"/>
      <c r="H224" s="285"/>
      <c r="I224" s="286"/>
      <c r="J224" s="286"/>
      <c r="K224" s="286"/>
      <c r="L224" s="286"/>
      <c r="M224" s="286"/>
      <c r="N224" s="286"/>
      <c r="O224" s="287">
        <f t="shared" si="3"/>
        <v>0</v>
      </c>
      <c r="P224" s="288" t="e">
        <f t="array" ref="P224">SUM(J224:K224/G224*100)</f>
        <v>#DIV/0!</v>
      </c>
    </row>
    <row r="225" spans="2:16" x14ac:dyDescent="0.2">
      <c r="B225" s="282"/>
      <c r="C225" s="282"/>
      <c r="D225" s="282"/>
      <c r="E225" s="283"/>
      <c r="F225" s="284"/>
      <c r="G225" s="285"/>
      <c r="H225" s="285"/>
      <c r="I225" s="286"/>
      <c r="J225" s="286"/>
      <c r="K225" s="286"/>
      <c r="L225" s="286"/>
      <c r="M225" s="286"/>
      <c r="N225" s="286"/>
      <c r="O225" s="287">
        <f t="shared" si="3"/>
        <v>0</v>
      </c>
      <c r="P225" s="288" t="e">
        <f t="array" ref="P225">SUM(J225:K225/G225*100)</f>
        <v>#DIV/0!</v>
      </c>
    </row>
    <row r="226" spans="2:16" x14ac:dyDescent="0.2">
      <c r="B226" s="282"/>
      <c r="C226" s="282"/>
      <c r="D226" s="282"/>
      <c r="E226" s="283"/>
      <c r="F226" s="284"/>
      <c r="G226" s="285"/>
      <c r="H226" s="285"/>
      <c r="I226" s="286"/>
      <c r="J226" s="286"/>
      <c r="K226" s="286"/>
      <c r="L226" s="286"/>
      <c r="M226" s="286"/>
      <c r="N226" s="286"/>
      <c r="O226" s="287">
        <f t="shared" si="3"/>
        <v>0</v>
      </c>
      <c r="P226" s="288" t="e">
        <f t="array" ref="P226">SUM(J226:K226/G226*100)</f>
        <v>#DIV/0!</v>
      </c>
    </row>
    <row r="227" spans="2:16" x14ac:dyDescent="0.2">
      <c r="B227" s="282"/>
      <c r="C227" s="282"/>
      <c r="D227" s="282"/>
      <c r="E227" s="283"/>
      <c r="F227" s="284"/>
      <c r="G227" s="285"/>
      <c r="H227" s="285"/>
      <c r="I227" s="286"/>
      <c r="J227" s="286"/>
      <c r="K227" s="286"/>
      <c r="L227" s="286"/>
      <c r="M227" s="286"/>
      <c r="N227" s="286"/>
      <c r="O227" s="287">
        <f t="shared" si="3"/>
        <v>0</v>
      </c>
      <c r="P227" s="288" t="e">
        <f t="array" ref="P227">SUM(J227:K227/G227*100)</f>
        <v>#DIV/0!</v>
      </c>
    </row>
    <row r="228" spans="2:16" x14ac:dyDescent="0.2">
      <c r="B228" s="282"/>
      <c r="C228" s="282"/>
      <c r="D228" s="282"/>
      <c r="E228" s="283"/>
      <c r="F228" s="284"/>
      <c r="G228" s="285"/>
      <c r="H228" s="285"/>
      <c r="I228" s="286"/>
      <c r="J228" s="286"/>
      <c r="K228" s="286"/>
      <c r="L228" s="286"/>
      <c r="M228" s="286"/>
      <c r="N228" s="286"/>
      <c r="O228" s="287">
        <f t="shared" si="3"/>
        <v>0</v>
      </c>
      <c r="P228" s="288" t="e">
        <f t="array" ref="P228">SUM(J228:K228/G228*100)</f>
        <v>#DIV/0!</v>
      </c>
    </row>
    <row r="229" spans="2:16" x14ac:dyDescent="0.2">
      <c r="B229" s="282"/>
      <c r="C229" s="282"/>
      <c r="D229" s="282"/>
      <c r="E229" s="283"/>
      <c r="F229" s="284"/>
      <c r="G229" s="285"/>
      <c r="H229" s="285"/>
      <c r="I229" s="286"/>
      <c r="J229" s="286"/>
      <c r="K229" s="286"/>
      <c r="L229" s="286"/>
      <c r="M229" s="286"/>
      <c r="N229" s="286"/>
      <c r="O229" s="287">
        <f t="shared" si="3"/>
        <v>0</v>
      </c>
      <c r="P229" s="288" t="e">
        <f t="array" ref="P229">SUM(J229:K229/G229*100)</f>
        <v>#DIV/0!</v>
      </c>
    </row>
    <row r="230" spans="2:16" x14ac:dyDescent="0.2">
      <c r="B230" s="282"/>
      <c r="C230" s="282"/>
      <c r="D230" s="282"/>
      <c r="E230" s="283"/>
      <c r="F230" s="284"/>
      <c r="G230" s="285"/>
      <c r="H230" s="285"/>
      <c r="I230" s="286"/>
      <c r="J230" s="286"/>
      <c r="K230" s="286"/>
      <c r="L230" s="286"/>
      <c r="M230" s="286"/>
      <c r="N230" s="286"/>
      <c r="O230" s="287">
        <f t="shared" si="3"/>
        <v>0</v>
      </c>
      <c r="P230" s="288" t="e">
        <f t="array" ref="P230">SUM(J230:K230/G230*100)</f>
        <v>#DIV/0!</v>
      </c>
    </row>
    <row r="231" spans="2:16" x14ac:dyDescent="0.2">
      <c r="B231" s="282"/>
      <c r="C231" s="282"/>
      <c r="D231" s="282"/>
      <c r="E231" s="283"/>
      <c r="F231" s="284"/>
      <c r="G231" s="285"/>
      <c r="H231" s="285"/>
      <c r="I231" s="286"/>
      <c r="J231" s="286"/>
      <c r="K231" s="286"/>
      <c r="L231" s="286"/>
      <c r="M231" s="286"/>
      <c r="N231" s="286"/>
      <c r="O231" s="287">
        <f t="shared" si="3"/>
        <v>0</v>
      </c>
      <c r="P231" s="288" t="e">
        <f t="array" ref="P231">SUM(J231:K231/G231*100)</f>
        <v>#DIV/0!</v>
      </c>
    </row>
    <row r="232" spans="2:16" x14ac:dyDescent="0.2">
      <c r="B232" s="282"/>
      <c r="C232" s="282"/>
      <c r="D232" s="282"/>
      <c r="E232" s="283"/>
      <c r="F232" s="284"/>
      <c r="G232" s="285"/>
      <c r="H232" s="285"/>
      <c r="I232" s="286"/>
      <c r="J232" s="286"/>
      <c r="K232" s="286"/>
      <c r="L232" s="286"/>
      <c r="M232" s="286"/>
      <c r="N232" s="286"/>
      <c r="O232" s="287">
        <f t="shared" si="3"/>
        <v>0</v>
      </c>
      <c r="P232" s="288" t="e">
        <f t="array" ref="P232">SUM(J232:K232/G232*100)</f>
        <v>#DIV/0!</v>
      </c>
    </row>
    <row r="233" spans="2:16" x14ac:dyDescent="0.2">
      <c r="B233" s="282"/>
      <c r="C233" s="282"/>
      <c r="D233" s="282"/>
      <c r="E233" s="283"/>
      <c r="F233" s="284"/>
      <c r="G233" s="285"/>
      <c r="H233" s="285"/>
      <c r="I233" s="286"/>
      <c r="J233" s="286"/>
      <c r="K233" s="286"/>
      <c r="L233" s="286"/>
      <c r="M233" s="286"/>
      <c r="N233" s="286"/>
      <c r="O233" s="287">
        <f t="shared" si="3"/>
        <v>0</v>
      </c>
      <c r="P233" s="288" t="e">
        <f t="array" ref="P233">SUM(J233:K233/G233*100)</f>
        <v>#DIV/0!</v>
      </c>
    </row>
    <row r="234" spans="2:16" x14ac:dyDescent="0.2">
      <c r="B234" s="282"/>
      <c r="C234" s="282"/>
      <c r="D234" s="282"/>
      <c r="E234" s="283"/>
      <c r="F234" s="284"/>
      <c r="G234" s="285"/>
      <c r="H234" s="285"/>
      <c r="I234" s="286"/>
      <c r="J234" s="286"/>
      <c r="K234" s="286"/>
      <c r="L234" s="286"/>
      <c r="M234" s="286"/>
      <c r="N234" s="286"/>
      <c r="O234" s="287">
        <f t="shared" si="3"/>
        <v>0</v>
      </c>
      <c r="P234" s="288" t="e">
        <f t="array" ref="P234">SUM(J234:K234/G234*100)</f>
        <v>#DIV/0!</v>
      </c>
    </row>
    <row r="235" spans="2:16" x14ac:dyDescent="0.2">
      <c r="B235" s="282"/>
      <c r="C235" s="282"/>
      <c r="D235" s="282"/>
      <c r="E235" s="283"/>
      <c r="F235" s="284"/>
      <c r="G235" s="285"/>
      <c r="H235" s="285"/>
      <c r="I235" s="286"/>
      <c r="J235" s="286"/>
      <c r="K235" s="286"/>
      <c r="L235" s="286"/>
      <c r="M235" s="286"/>
      <c r="N235" s="286"/>
      <c r="O235" s="287">
        <f t="shared" si="3"/>
        <v>0</v>
      </c>
      <c r="P235" s="288" t="e">
        <f t="array" ref="P235">SUM(J235:K235/G235*100)</f>
        <v>#DIV/0!</v>
      </c>
    </row>
    <row r="236" spans="2:16" x14ac:dyDescent="0.2">
      <c r="B236" s="282"/>
      <c r="C236" s="282"/>
      <c r="D236" s="282"/>
      <c r="E236" s="283"/>
      <c r="F236" s="284"/>
      <c r="G236" s="285"/>
      <c r="H236" s="285"/>
      <c r="I236" s="286"/>
      <c r="J236" s="286"/>
      <c r="K236" s="286"/>
      <c r="L236" s="286"/>
      <c r="M236" s="286"/>
      <c r="N236" s="286"/>
      <c r="O236" s="287">
        <f t="shared" si="3"/>
        <v>0</v>
      </c>
      <c r="P236" s="288" t="e">
        <f t="array" ref="P236">SUM(J236:K236/G236*100)</f>
        <v>#DIV/0!</v>
      </c>
    </row>
    <row r="237" spans="2:16" x14ac:dyDescent="0.2">
      <c r="B237" s="282"/>
      <c r="C237" s="282"/>
      <c r="D237" s="282"/>
      <c r="E237" s="283"/>
      <c r="F237" s="284"/>
      <c r="G237" s="285"/>
      <c r="H237" s="285"/>
      <c r="I237" s="286"/>
      <c r="J237" s="286"/>
      <c r="K237" s="286"/>
      <c r="L237" s="286"/>
      <c r="M237" s="286"/>
      <c r="N237" s="286"/>
      <c r="O237" s="287">
        <f t="shared" si="3"/>
        <v>0</v>
      </c>
      <c r="P237" s="288" t="e">
        <f t="array" ref="P237">SUM(J237:K237/G237*100)</f>
        <v>#DIV/0!</v>
      </c>
    </row>
    <row r="238" spans="2:16" x14ac:dyDescent="0.2">
      <c r="B238" s="282"/>
      <c r="C238" s="282"/>
      <c r="D238" s="282"/>
      <c r="E238" s="283"/>
      <c r="F238" s="284"/>
      <c r="G238" s="285"/>
      <c r="H238" s="285"/>
      <c r="I238" s="286"/>
      <c r="J238" s="286"/>
      <c r="K238" s="286"/>
      <c r="L238" s="286"/>
      <c r="M238" s="286"/>
      <c r="N238" s="286"/>
      <c r="O238" s="287">
        <f t="shared" si="3"/>
        <v>0</v>
      </c>
      <c r="P238" s="288" t="e">
        <f t="array" ref="P238">SUM(J238:K238/G238*100)</f>
        <v>#DIV/0!</v>
      </c>
    </row>
    <row r="239" spans="2:16" x14ac:dyDescent="0.2">
      <c r="B239" s="282"/>
      <c r="C239" s="282"/>
      <c r="D239" s="282"/>
      <c r="E239" s="283"/>
      <c r="F239" s="284"/>
      <c r="G239" s="285"/>
      <c r="H239" s="285"/>
      <c r="I239" s="286"/>
      <c r="J239" s="286"/>
      <c r="K239" s="286"/>
      <c r="L239" s="286"/>
      <c r="M239" s="286"/>
      <c r="N239" s="286"/>
      <c r="O239" s="287">
        <f t="shared" si="3"/>
        <v>0</v>
      </c>
      <c r="P239" s="288" t="e">
        <f t="array" ref="P239">SUM(J239:K239/G239*100)</f>
        <v>#DIV/0!</v>
      </c>
    </row>
    <row r="240" spans="2:16" x14ac:dyDescent="0.2">
      <c r="B240" s="282"/>
      <c r="C240" s="282"/>
      <c r="D240" s="282"/>
      <c r="E240" s="283"/>
      <c r="F240" s="284"/>
      <c r="G240" s="285"/>
      <c r="H240" s="285"/>
      <c r="I240" s="286"/>
      <c r="J240" s="286"/>
      <c r="K240" s="286"/>
      <c r="L240" s="286"/>
      <c r="M240" s="286"/>
      <c r="N240" s="286"/>
      <c r="O240" s="287">
        <f t="shared" si="3"/>
        <v>0</v>
      </c>
      <c r="P240" s="288" t="e">
        <f t="array" ref="P240">SUM(J240:K240/G240*100)</f>
        <v>#DIV/0!</v>
      </c>
    </row>
    <row r="241" spans="2:16" x14ac:dyDescent="0.2">
      <c r="B241" s="282"/>
      <c r="C241" s="282"/>
      <c r="D241" s="282"/>
      <c r="E241" s="283"/>
      <c r="F241" s="284"/>
      <c r="G241" s="285"/>
      <c r="H241" s="285"/>
      <c r="I241" s="286"/>
      <c r="J241" s="286"/>
      <c r="K241" s="286"/>
      <c r="L241" s="286"/>
      <c r="M241" s="286"/>
      <c r="N241" s="286"/>
      <c r="O241" s="287">
        <f t="shared" si="3"/>
        <v>0</v>
      </c>
      <c r="P241" s="288" t="e">
        <f t="array" ref="P241">SUM(J241:K241/G241*100)</f>
        <v>#DIV/0!</v>
      </c>
    </row>
    <row r="242" spans="2:16" x14ac:dyDescent="0.2">
      <c r="B242" s="282"/>
      <c r="C242" s="282"/>
      <c r="D242" s="282"/>
      <c r="E242" s="283"/>
      <c r="F242" s="284"/>
      <c r="G242" s="285"/>
      <c r="H242" s="285"/>
      <c r="I242" s="286"/>
      <c r="J242" s="286"/>
      <c r="K242" s="286"/>
      <c r="L242" s="286"/>
      <c r="M242" s="286"/>
      <c r="N242" s="286"/>
      <c r="O242" s="287">
        <f t="shared" si="3"/>
        <v>0</v>
      </c>
      <c r="P242" s="288" t="e">
        <f t="array" ref="P242">SUM(J242:K242/G242*100)</f>
        <v>#DIV/0!</v>
      </c>
    </row>
    <row r="243" spans="2:16" x14ac:dyDescent="0.2">
      <c r="B243" s="282"/>
      <c r="C243" s="282"/>
      <c r="D243" s="282"/>
      <c r="E243" s="283"/>
      <c r="F243" s="284"/>
      <c r="G243" s="285"/>
      <c r="H243" s="285"/>
      <c r="I243" s="286"/>
      <c r="J243" s="286"/>
      <c r="K243" s="286"/>
      <c r="L243" s="286"/>
      <c r="M243" s="286"/>
      <c r="N243" s="286"/>
      <c r="O243" s="287">
        <f t="shared" si="3"/>
        <v>0</v>
      </c>
      <c r="P243" s="288" t="e">
        <f t="array" ref="P243">SUM(J243:K243/G243*100)</f>
        <v>#DIV/0!</v>
      </c>
    </row>
    <row r="244" spans="2:16" x14ac:dyDescent="0.2">
      <c r="B244" s="282"/>
      <c r="C244" s="282"/>
      <c r="D244" s="282"/>
      <c r="E244" s="283"/>
      <c r="F244" s="284"/>
      <c r="G244" s="285"/>
      <c r="H244" s="285"/>
      <c r="I244" s="286"/>
      <c r="J244" s="286"/>
      <c r="K244" s="286"/>
      <c r="L244" s="286"/>
      <c r="M244" s="286"/>
      <c r="N244" s="286"/>
      <c r="O244" s="287">
        <f t="shared" si="3"/>
        <v>0</v>
      </c>
      <c r="P244" s="288" t="e">
        <f t="array" ref="P244">SUM(J244:K244/G244*100)</f>
        <v>#DIV/0!</v>
      </c>
    </row>
    <row r="245" spans="2:16" x14ac:dyDescent="0.2">
      <c r="B245" s="282"/>
      <c r="C245" s="282"/>
      <c r="D245" s="282"/>
      <c r="E245" s="283"/>
      <c r="F245" s="284"/>
      <c r="G245" s="285"/>
      <c r="H245" s="285"/>
      <c r="I245" s="286"/>
      <c r="J245" s="286"/>
      <c r="K245" s="286"/>
      <c r="L245" s="286"/>
      <c r="M245" s="286"/>
      <c r="N245" s="286"/>
      <c r="O245" s="287">
        <f t="shared" si="3"/>
        <v>0</v>
      </c>
      <c r="P245" s="288" t="e">
        <f t="array" ref="P245">SUM(J245:K245/G245*100)</f>
        <v>#DIV/0!</v>
      </c>
    </row>
    <row r="246" spans="2:16" x14ac:dyDescent="0.2">
      <c r="B246" s="282"/>
      <c r="C246" s="282"/>
      <c r="D246" s="282"/>
      <c r="E246" s="283"/>
      <c r="F246" s="284"/>
      <c r="G246" s="285"/>
      <c r="H246" s="285"/>
      <c r="I246" s="286"/>
      <c r="J246" s="286"/>
      <c r="K246" s="286"/>
      <c r="L246" s="286"/>
      <c r="M246" s="286"/>
      <c r="N246" s="286"/>
      <c r="O246" s="287">
        <f t="shared" si="3"/>
        <v>0</v>
      </c>
      <c r="P246" s="288" t="e">
        <f t="array" ref="P246">SUM(J246:K246/G246*100)</f>
        <v>#DIV/0!</v>
      </c>
    </row>
    <row r="247" spans="2:16" x14ac:dyDescent="0.2">
      <c r="B247" s="282"/>
      <c r="C247" s="282"/>
      <c r="D247" s="282"/>
      <c r="E247" s="283"/>
      <c r="F247" s="284"/>
      <c r="G247" s="285"/>
      <c r="H247" s="285"/>
      <c r="I247" s="286"/>
      <c r="J247" s="286"/>
      <c r="K247" s="286"/>
      <c r="L247" s="286"/>
      <c r="M247" s="286"/>
      <c r="N247" s="286"/>
      <c r="O247" s="287">
        <f t="shared" si="3"/>
        <v>0</v>
      </c>
      <c r="P247" s="288" t="e">
        <f t="array" ref="P247">SUM(J247:K247/G247*100)</f>
        <v>#DIV/0!</v>
      </c>
    </row>
    <row r="248" spans="2:16" x14ac:dyDescent="0.2">
      <c r="B248" s="282"/>
      <c r="C248" s="282"/>
      <c r="D248" s="282"/>
      <c r="E248" s="283"/>
      <c r="F248" s="284"/>
      <c r="G248" s="285"/>
      <c r="H248" s="285"/>
      <c r="I248" s="286"/>
      <c r="J248" s="286"/>
      <c r="K248" s="286"/>
      <c r="L248" s="286"/>
      <c r="M248" s="286"/>
      <c r="N248" s="286"/>
      <c r="O248" s="287">
        <f t="shared" si="3"/>
        <v>0</v>
      </c>
      <c r="P248" s="288" t="e">
        <f t="array" ref="P248">SUM(J248:K248/G248*100)</f>
        <v>#DIV/0!</v>
      </c>
    </row>
    <row r="249" spans="2:16" x14ac:dyDescent="0.2">
      <c r="B249" s="282"/>
      <c r="C249" s="282"/>
      <c r="D249" s="282"/>
      <c r="E249" s="283"/>
      <c r="F249" s="284"/>
      <c r="G249" s="285"/>
      <c r="H249" s="285"/>
      <c r="I249" s="286"/>
      <c r="J249" s="286"/>
      <c r="K249" s="286"/>
      <c r="L249" s="286"/>
      <c r="M249" s="286"/>
      <c r="N249" s="286"/>
      <c r="O249" s="287">
        <f t="shared" si="3"/>
        <v>0</v>
      </c>
      <c r="P249" s="288" t="e">
        <f t="array" ref="P249">SUM(J249:K249/G249*100)</f>
        <v>#DIV/0!</v>
      </c>
    </row>
    <row r="250" spans="2:16" x14ac:dyDescent="0.2">
      <c r="B250" s="282"/>
      <c r="C250" s="282"/>
      <c r="D250" s="282"/>
      <c r="E250" s="283"/>
      <c r="F250" s="284"/>
      <c r="G250" s="285"/>
      <c r="H250" s="285"/>
      <c r="I250" s="286"/>
      <c r="J250" s="286"/>
      <c r="K250" s="286"/>
      <c r="L250" s="286"/>
      <c r="M250" s="286"/>
      <c r="N250" s="286"/>
      <c r="O250" s="287">
        <f t="shared" si="3"/>
        <v>0</v>
      </c>
      <c r="P250" s="288" t="e">
        <f t="array" ref="P250">SUM(J250:K250/G250*100)</f>
        <v>#DIV/0!</v>
      </c>
    </row>
    <row r="251" spans="2:16" x14ac:dyDescent="0.2">
      <c r="B251" s="282"/>
      <c r="C251" s="282"/>
      <c r="D251" s="282"/>
      <c r="E251" s="283"/>
      <c r="F251" s="284"/>
      <c r="G251" s="285"/>
      <c r="H251" s="285"/>
      <c r="I251" s="286"/>
      <c r="J251" s="286"/>
      <c r="K251" s="286"/>
      <c r="L251" s="286"/>
      <c r="M251" s="286"/>
      <c r="N251" s="286"/>
      <c r="O251" s="287">
        <f t="shared" si="3"/>
        <v>0</v>
      </c>
      <c r="P251" s="288" t="e">
        <f t="array" ref="P251">SUM(J251:K251/G251*100)</f>
        <v>#DIV/0!</v>
      </c>
    </row>
    <row r="252" spans="2:16" x14ac:dyDescent="0.2">
      <c r="B252" s="282"/>
      <c r="C252" s="282"/>
      <c r="D252" s="282"/>
      <c r="E252" s="283"/>
      <c r="F252" s="284"/>
      <c r="G252" s="285"/>
      <c r="H252" s="285"/>
      <c r="I252" s="286"/>
      <c r="J252" s="286"/>
      <c r="K252" s="286"/>
      <c r="L252" s="286"/>
      <c r="M252" s="286"/>
      <c r="N252" s="286"/>
      <c r="O252" s="287">
        <f t="shared" si="3"/>
        <v>0</v>
      </c>
      <c r="P252" s="288" t="e">
        <f t="array" ref="P252">SUM(J252:K252/G252*100)</f>
        <v>#DIV/0!</v>
      </c>
    </row>
    <row r="253" spans="2:16" x14ac:dyDescent="0.2">
      <c r="B253" s="282"/>
      <c r="C253" s="282"/>
      <c r="D253" s="282"/>
      <c r="E253" s="283"/>
      <c r="F253" s="284"/>
      <c r="G253" s="285"/>
      <c r="H253" s="285"/>
      <c r="I253" s="286"/>
      <c r="J253" s="286"/>
      <c r="K253" s="286"/>
      <c r="L253" s="286"/>
      <c r="M253" s="286"/>
      <c r="N253" s="286"/>
      <c r="O253" s="287">
        <f t="shared" si="3"/>
        <v>0</v>
      </c>
      <c r="P253" s="288" t="e">
        <f t="array" ref="P253">SUM(J253:K253/G253*100)</f>
        <v>#DIV/0!</v>
      </c>
    </row>
    <row r="254" spans="2:16" x14ac:dyDescent="0.2">
      <c r="B254" s="282"/>
      <c r="C254" s="282"/>
      <c r="D254" s="282"/>
      <c r="E254" s="283"/>
      <c r="F254" s="284"/>
      <c r="G254" s="285"/>
      <c r="H254" s="285"/>
      <c r="I254" s="286"/>
      <c r="J254" s="286"/>
      <c r="K254" s="286"/>
      <c r="L254" s="286"/>
      <c r="M254" s="286"/>
      <c r="N254" s="286"/>
      <c r="O254" s="287">
        <f t="shared" si="3"/>
        <v>0</v>
      </c>
      <c r="P254" s="288" t="e">
        <f t="array" ref="P254">SUM(J254:K254/G254*100)</f>
        <v>#DIV/0!</v>
      </c>
    </row>
    <row r="255" spans="2:16" x14ac:dyDescent="0.2">
      <c r="B255" s="282"/>
      <c r="C255" s="282"/>
      <c r="D255" s="282"/>
      <c r="E255" s="283"/>
      <c r="F255" s="284"/>
      <c r="G255" s="285"/>
      <c r="H255" s="285"/>
      <c r="I255" s="286"/>
      <c r="J255" s="286"/>
      <c r="K255" s="286"/>
      <c r="L255" s="286"/>
      <c r="M255" s="286"/>
      <c r="N255" s="286"/>
      <c r="O255" s="287">
        <f t="shared" si="3"/>
        <v>0</v>
      </c>
      <c r="P255" s="288" t="e">
        <f t="array" ref="P255">SUM(J255:K255/G255*100)</f>
        <v>#DIV/0!</v>
      </c>
    </row>
    <row r="256" spans="2:16" x14ac:dyDescent="0.2">
      <c r="B256" s="282"/>
      <c r="C256" s="282"/>
      <c r="D256" s="282"/>
      <c r="E256" s="283"/>
      <c r="F256" s="284"/>
      <c r="G256" s="285"/>
      <c r="H256" s="285"/>
      <c r="I256" s="286"/>
      <c r="J256" s="286"/>
      <c r="K256" s="286"/>
      <c r="L256" s="286"/>
      <c r="M256" s="286"/>
      <c r="N256" s="286"/>
      <c r="O256" s="287">
        <f t="shared" si="3"/>
        <v>0</v>
      </c>
      <c r="P256" s="288" t="e">
        <f t="array" ref="P256">SUM(J256:K256/G256*100)</f>
        <v>#DIV/0!</v>
      </c>
    </row>
    <row r="257" spans="2:16" x14ac:dyDescent="0.2">
      <c r="B257" s="282"/>
      <c r="C257" s="282"/>
      <c r="D257" s="282"/>
      <c r="E257" s="283"/>
      <c r="F257" s="284"/>
      <c r="G257" s="285"/>
      <c r="H257" s="285"/>
      <c r="I257" s="286"/>
      <c r="J257" s="286"/>
      <c r="K257" s="286"/>
      <c r="L257" s="286"/>
      <c r="M257" s="286"/>
      <c r="N257" s="286"/>
      <c r="O257" s="287">
        <f t="shared" si="3"/>
        <v>0</v>
      </c>
      <c r="P257" s="288" t="e">
        <f t="array" ref="P257">SUM(J257:K257/G257*100)</f>
        <v>#DIV/0!</v>
      </c>
    </row>
    <row r="258" spans="2:16" x14ac:dyDescent="0.2">
      <c r="B258" s="282"/>
      <c r="C258" s="282"/>
      <c r="D258" s="282"/>
      <c r="E258" s="283"/>
      <c r="F258" s="284"/>
      <c r="G258" s="285"/>
      <c r="H258" s="285"/>
      <c r="I258" s="286"/>
      <c r="J258" s="286"/>
      <c r="K258" s="286"/>
      <c r="L258" s="286"/>
      <c r="M258" s="286"/>
      <c r="N258" s="286"/>
      <c r="O258" s="287">
        <f t="shared" si="3"/>
        <v>0</v>
      </c>
      <c r="P258" s="288" t="e">
        <f t="array" ref="P258">SUM(J258:K258/G258*100)</f>
        <v>#DIV/0!</v>
      </c>
    </row>
    <row r="259" spans="2:16" x14ac:dyDescent="0.2">
      <c r="B259" s="282"/>
      <c r="C259" s="282"/>
      <c r="D259" s="282"/>
      <c r="E259" s="283"/>
      <c r="F259" s="284"/>
      <c r="G259" s="285"/>
      <c r="H259" s="285"/>
      <c r="I259" s="286"/>
      <c r="J259" s="286"/>
      <c r="K259" s="286"/>
      <c r="L259" s="286"/>
      <c r="M259" s="286"/>
      <c r="N259" s="286"/>
      <c r="O259" s="287">
        <f t="shared" si="3"/>
        <v>0</v>
      </c>
      <c r="P259" s="288" t="e">
        <f t="array" ref="P259">SUM(J259:K259/G259*100)</f>
        <v>#DIV/0!</v>
      </c>
    </row>
    <row r="260" spans="2:16" x14ac:dyDescent="0.2">
      <c r="B260" s="282"/>
      <c r="C260" s="282"/>
      <c r="D260" s="282"/>
      <c r="E260" s="283"/>
      <c r="F260" s="284"/>
      <c r="G260" s="285"/>
      <c r="H260" s="285"/>
      <c r="I260" s="286"/>
      <c r="J260" s="286"/>
      <c r="K260" s="286"/>
      <c r="L260" s="286"/>
      <c r="M260" s="286"/>
      <c r="N260" s="286"/>
      <c r="O260" s="287">
        <f t="shared" si="3"/>
        <v>0</v>
      </c>
      <c r="P260" s="288" t="e">
        <f t="array" ref="P260">SUM(J260:K260/G260*100)</f>
        <v>#DIV/0!</v>
      </c>
    </row>
    <row r="261" spans="2:16" x14ac:dyDescent="0.2">
      <c r="B261" s="282"/>
      <c r="C261" s="282"/>
      <c r="D261" s="282"/>
      <c r="E261" s="283"/>
      <c r="F261" s="284"/>
      <c r="G261" s="285"/>
      <c r="H261" s="285"/>
      <c r="I261" s="286"/>
      <c r="J261" s="286"/>
      <c r="K261" s="286"/>
      <c r="L261" s="286"/>
      <c r="M261" s="286"/>
      <c r="N261" s="286"/>
      <c r="O261" s="287">
        <f t="shared" si="3"/>
        <v>0</v>
      </c>
      <c r="P261" s="288" t="e">
        <f t="array" ref="P261">SUM(J261:K261/G261*100)</f>
        <v>#DIV/0!</v>
      </c>
    </row>
    <row r="262" spans="2:16" x14ac:dyDescent="0.2">
      <c r="B262" s="282"/>
      <c r="C262" s="282"/>
      <c r="D262" s="282"/>
      <c r="E262" s="283"/>
      <c r="F262" s="284"/>
      <c r="G262" s="285"/>
      <c r="H262" s="285"/>
      <c r="I262" s="286"/>
      <c r="J262" s="286"/>
      <c r="K262" s="286"/>
      <c r="L262" s="286"/>
      <c r="M262" s="286"/>
      <c r="N262" s="286"/>
      <c r="O262" s="287">
        <f t="shared" si="3"/>
        <v>0</v>
      </c>
      <c r="P262" s="288" t="e">
        <f t="array" ref="P262">SUM(J262:K262/G262*100)</f>
        <v>#DIV/0!</v>
      </c>
    </row>
    <row r="263" spans="2:16" x14ac:dyDescent="0.2">
      <c r="B263" s="282"/>
      <c r="C263" s="282"/>
      <c r="D263" s="282"/>
      <c r="E263" s="283"/>
      <c r="F263" s="284"/>
      <c r="G263" s="285"/>
      <c r="H263" s="285"/>
      <c r="I263" s="286"/>
      <c r="J263" s="286"/>
      <c r="K263" s="286"/>
      <c r="L263" s="286"/>
      <c r="M263" s="286"/>
      <c r="N263" s="286"/>
      <c r="O263" s="287">
        <f t="shared" ref="O263:O326" si="4">IFERROR(N263*6,0)</f>
        <v>0</v>
      </c>
      <c r="P263" s="288" t="e">
        <f t="array" ref="P263">SUM(J263:K263/G263*100)</f>
        <v>#DIV/0!</v>
      </c>
    </row>
    <row r="264" spans="2:16" x14ac:dyDescent="0.2">
      <c r="B264" s="282"/>
      <c r="C264" s="282"/>
      <c r="D264" s="282"/>
      <c r="E264" s="283"/>
      <c r="F264" s="284"/>
      <c r="G264" s="285"/>
      <c r="H264" s="285"/>
      <c r="I264" s="286"/>
      <c r="J264" s="286"/>
      <c r="K264" s="286"/>
      <c r="L264" s="286"/>
      <c r="M264" s="286"/>
      <c r="N264" s="286"/>
      <c r="O264" s="287">
        <f t="shared" si="4"/>
        <v>0</v>
      </c>
      <c r="P264" s="288" t="e">
        <f t="array" ref="P264">SUM(J264:K264/G264*100)</f>
        <v>#DIV/0!</v>
      </c>
    </row>
    <row r="265" spans="2:16" x14ac:dyDescent="0.2">
      <c r="B265" s="282"/>
      <c r="C265" s="282"/>
      <c r="D265" s="282"/>
      <c r="E265" s="283"/>
      <c r="F265" s="284"/>
      <c r="G265" s="285"/>
      <c r="H265" s="285"/>
      <c r="I265" s="286"/>
      <c r="J265" s="286"/>
      <c r="K265" s="286"/>
      <c r="L265" s="286"/>
      <c r="M265" s="286"/>
      <c r="N265" s="286"/>
      <c r="O265" s="287">
        <f t="shared" si="4"/>
        <v>0</v>
      </c>
      <c r="P265" s="288" t="e">
        <f t="array" ref="P265">SUM(J265:K265/G265*100)</f>
        <v>#DIV/0!</v>
      </c>
    </row>
    <row r="266" spans="2:16" x14ac:dyDescent="0.2">
      <c r="B266" s="282"/>
      <c r="C266" s="282"/>
      <c r="D266" s="282"/>
      <c r="E266" s="283"/>
      <c r="F266" s="284"/>
      <c r="G266" s="285"/>
      <c r="H266" s="285"/>
      <c r="I266" s="286"/>
      <c r="J266" s="286"/>
      <c r="K266" s="286"/>
      <c r="L266" s="286"/>
      <c r="M266" s="286"/>
      <c r="N266" s="286"/>
      <c r="O266" s="287">
        <f t="shared" si="4"/>
        <v>0</v>
      </c>
      <c r="P266" s="288" t="e">
        <f t="array" ref="P266">SUM(J266:K266/G266*100)</f>
        <v>#DIV/0!</v>
      </c>
    </row>
    <row r="267" spans="2:16" x14ac:dyDescent="0.2">
      <c r="B267" s="282"/>
      <c r="C267" s="282"/>
      <c r="D267" s="282"/>
      <c r="E267" s="283"/>
      <c r="F267" s="284"/>
      <c r="G267" s="285"/>
      <c r="H267" s="285"/>
      <c r="I267" s="286"/>
      <c r="J267" s="286"/>
      <c r="K267" s="286"/>
      <c r="L267" s="286"/>
      <c r="M267" s="286"/>
      <c r="N267" s="286"/>
      <c r="O267" s="287">
        <f t="shared" si="4"/>
        <v>0</v>
      </c>
      <c r="P267" s="288" t="e">
        <f t="array" ref="P267">SUM(J267:K267/G267*100)</f>
        <v>#DIV/0!</v>
      </c>
    </row>
    <row r="268" spans="2:16" x14ac:dyDescent="0.2">
      <c r="B268" s="282"/>
      <c r="C268" s="282"/>
      <c r="D268" s="282"/>
      <c r="E268" s="283"/>
      <c r="F268" s="284"/>
      <c r="G268" s="285"/>
      <c r="H268" s="285"/>
      <c r="I268" s="286"/>
      <c r="J268" s="286"/>
      <c r="K268" s="286"/>
      <c r="L268" s="286"/>
      <c r="M268" s="286"/>
      <c r="N268" s="286"/>
      <c r="O268" s="287">
        <f t="shared" si="4"/>
        <v>0</v>
      </c>
      <c r="P268" s="288" t="e">
        <f t="array" ref="P268">SUM(J268:K268/G268*100)</f>
        <v>#DIV/0!</v>
      </c>
    </row>
    <row r="269" spans="2:16" x14ac:dyDescent="0.2">
      <c r="B269" s="282"/>
      <c r="C269" s="282"/>
      <c r="D269" s="282"/>
      <c r="E269" s="283"/>
      <c r="F269" s="284"/>
      <c r="G269" s="285"/>
      <c r="H269" s="285"/>
      <c r="I269" s="286"/>
      <c r="J269" s="286"/>
      <c r="K269" s="286"/>
      <c r="L269" s="286"/>
      <c r="M269" s="286"/>
      <c r="N269" s="286"/>
      <c r="O269" s="287">
        <f t="shared" si="4"/>
        <v>0</v>
      </c>
      <c r="P269" s="288" t="e">
        <f t="array" ref="P269">SUM(J269:K269/G269*100)</f>
        <v>#DIV/0!</v>
      </c>
    </row>
    <row r="270" spans="2:16" x14ac:dyDescent="0.2">
      <c r="B270" s="282"/>
      <c r="C270" s="282"/>
      <c r="D270" s="282"/>
      <c r="E270" s="283"/>
      <c r="F270" s="284"/>
      <c r="G270" s="285"/>
      <c r="H270" s="285"/>
      <c r="I270" s="286"/>
      <c r="J270" s="286"/>
      <c r="K270" s="286"/>
      <c r="L270" s="286"/>
      <c r="M270" s="286"/>
      <c r="N270" s="286"/>
      <c r="O270" s="287">
        <f t="shared" si="4"/>
        <v>0</v>
      </c>
      <c r="P270" s="288" t="e">
        <f t="array" ref="P270">SUM(J270:K270/G270*100)</f>
        <v>#DIV/0!</v>
      </c>
    </row>
    <row r="271" spans="2:16" x14ac:dyDescent="0.2">
      <c r="B271" s="282"/>
      <c r="C271" s="282"/>
      <c r="D271" s="282"/>
      <c r="E271" s="283"/>
      <c r="F271" s="284"/>
      <c r="G271" s="285"/>
      <c r="H271" s="285"/>
      <c r="I271" s="286"/>
      <c r="J271" s="286"/>
      <c r="K271" s="286"/>
      <c r="L271" s="286"/>
      <c r="M271" s="286"/>
      <c r="N271" s="286"/>
      <c r="O271" s="287">
        <f t="shared" si="4"/>
        <v>0</v>
      </c>
      <c r="P271" s="288" t="e">
        <f t="array" ref="P271">SUM(J271:K271/G271*100)</f>
        <v>#DIV/0!</v>
      </c>
    </row>
    <row r="272" spans="2:16" x14ac:dyDescent="0.2">
      <c r="B272" s="282"/>
      <c r="C272" s="282"/>
      <c r="D272" s="282"/>
      <c r="E272" s="283"/>
      <c r="F272" s="284"/>
      <c r="G272" s="285"/>
      <c r="H272" s="285"/>
      <c r="I272" s="286"/>
      <c r="J272" s="286"/>
      <c r="K272" s="286"/>
      <c r="L272" s="286"/>
      <c r="M272" s="286"/>
      <c r="N272" s="286"/>
      <c r="O272" s="287">
        <f t="shared" si="4"/>
        <v>0</v>
      </c>
      <c r="P272" s="288" t="e">
        <f t="array" ref="P272">SUM(J272:K272/G272*100)</f>
        <v>#DIV/0!</v>
      </c>
    </row>
    <row r="273" spans="2:18" x14ac:dyDescent="0.2">
      <c r="B273" s="282"/>
      <c r="C273" s="282"/>
      <c r="D273" s="282"/>
      <c r="E273" s="283"/>
      <c r="F273" s="284"/>
      <c r="G273" s="285"/>
      <c r="H273" s="285"/>
      <c r="I273" s="286"/>
      <c r="J273" s="286"/>
      <c r="K273" s="286"/>
      <c r="L273" s="286"/>
      <c r="M273" s="286"/>
      <c r="N273" s="286"/>
      <c r="O273" s="287">
        <f t="shared" si="4"/>
        <v>0</v>
      </c>
      <c r="P273" s="288" t="e">
        <f t="array" ref="P273">SUM(J273:K273/G273*100)</f>
        <v>#DIV/0!</v>
      </c>
    </row>
    <row r="274" spans="2:18" x14ac:dyDescent="0.2">
      <c r="B274" s="282"/>
      <c r="C274" s="282"/>
      <c r="D274" s="282"/>
      <c r="E274" s="283"/>
      <c r="F274" s="284"/>
      <c r="G274" s="285"/>
      <c r="H274" s="285"/>
      <c r="I274" s="286"/>
      <c r="J274" s="286"/>
      <c r="K274" s="286"/>
      <c r="L274" s="286"/>
      <c r="M274" s="286"/>
      <c r="N274" s="286"/>
      <c r="O274" s="287">
        <f t="shared" si="4"/>
        <v>0</v>
      </c>
      <c r="P274" s="288" t="e">
        <f t="array" ref="P274">SUM(J274:K274/G274*100)</f>
        <v>#DIV/0!</v>
      </c>
    </row>
    <row r="275" spans="2:18" x14ac:dyDescent="0.2">
      <c r="B275" s="282"/>
      <c r="C275" s="282"/>
      <c r="D275" s="282"/>
      <c r="E275" s="283"/>
      <c r="F275" s="284"/>
      <c r="G275" s="285"/>
      <c r="H275" s="285"/>
      <c r="I275" s="286"/>
      <c r="J275" s="286"/>
      <c r="K275" s="286"/>
      <c r="L275" s="286"/>
      <c r="M275" s="286"/>
      <c r="N275" s="286"/>
      <c r="O275" s="287">
        <f t="shared" si="4"/>
        <v>0</v>
      </c>
      <c r="P275" s="288" t="e">
        <f t="array" ref="P275">SUM(J275:K275/G275*100)</f>
        <v>#DIV/0!</v>
      </c>
    </row>
    <row r="276" spans="2:18" x14ac:dyDescent="0.2">
      <c r="B276" s="282"/>
      <c r="C276" s="282"/>
      <c r="D276" s="282"/>
      <c r="E276" s="283"/>
      <c r="F276" s="284"/>
      <c r="G276" s="285"/>
      <c r="H276" s="285"/>
      <c r="I276" s="286"/>
      <c r="J276" s="286"/>
      <c r="K276" s="286"/>
      <c r="L276" s="286"/>
      <c r="M276" s="286"/>
      <c r="N276" s="286"/>
      <c r="O276" s="287">
        <f t="shared" si="4"/>
        <v>0</v>
      </c>
      <c r="P276" s="288" t="e">
        <f t="array" ref="P276">SUM(J276:K276/G276*100)</f>
        <v>#DIV/0!</v>
      </c>
    </row>
    <row r="277" spans="2:18" x14ac:dyDescent="0.2">
      <c r="B277" s="282"/>
      <c r="C277" s="282"/>
      <c r="D277" s="282"/>
      <c r="E277" s="283"/>
      <c r="F277" s="284"/>
      <c r="G277" s="285"/>
      <c r="H277" s="285"/>
      <c r="I277" s="286"/>
      <c r="J277" s="286"/>
      <c r="K277" s="286"/>
      <c r="L277" s="286"/>
      <c r="M277" s="286"/>
      <c r="N277" s="286"/>
      <c r="O277" s="287">
        <f t="shared" si="4"/>
        <v>0</v>
      </c>
      <c r="P277" s="288" t="e">
        <f t="array" ref="P277">SUM(J277:K277/G277*100)</f>
        <v>#DIV/0!</v>
      </c>
    </row>
    <row r="278" spans="2:18" x14ac:dyDescent="0.2">
      <c r="B278" s="282"/>
      <c r="C278" s="282"/>
      <c r="D278" s="282"/>
      <c r="E278" s="283"/>
      <c r="F278" s="284"/>
      <c r="G278" s="285"/>
      <c r="H278" s="285"/>
      <c r="I278" s="286"/>
      <c r="J278" s="286"/>
      <c r="K278" s="286"/>
      <c r="L278" s="286"/>
      <c r="M278" s="286"/>
      <c r="N278" s="286"/>
      <c r="O278" s="287">
        <f t="shared" si="4"/>
        <v>0</v>
      </c>
      <c r="P278" s="288" t="e">
        <f t="array" ref="P278">SUM(J278:K278/G278*100)</f>
        <v>#DIV/0!</v>
      </c>
    </row>
    <row r="279" spans="2:18" x14ac:dyDescent="0.2">
      <c r="B279" s="282"/>
      <c r="C279" s="282"/>
      <c r="D279" s="282"/>
      <c r="E279" s="283"/>
      <c r="F279" s="284"/>
      <c r="G279" s="285"/>
      <c r="H279" s="285"/>
      <c r="I279" s="286"/>
      <c r="J279" s="286"/>
      <c r="K279" s="286"/>
      <c r="L279" s="286"/>
      <c r="M279" s="286"/>
      <c r="N279" s="286"/>
      <c r="O279" s="287">
        <f t="shared" si="4"/>
        <v>0</v>
      </c>
      <c r="P279" s="288" t="e">
        <f t="array" ref="P279">SUM(J279:K279/G279*100)</f>
        <v>#DIV/0!</v>
      </c>
    </row>
    <row r="280" spans="2:18" x14ac:dyDescent="0.2">
      <c r="B280" s="282"/>
      <c r="C280" s="282"/>
      <c r="D280" s="282"/>
      <c r="E280" s="283"/>
      <c r="F280" s="284"/>
      <c r="G280" s="285"/>
      <c r="H280" s="285"/>
      <c r="I280" s="286"/>
      <c r="J280" s="286"/>
      <c r="K280" s="286"/>
      <c r="L280" s="286"/>
      <c r="M280" s="286"/>
      <c r="N280" s="286"/>
      <c r="O280" s="287">
        <f t="shared" si="4"/>
        <v>0</v>
      </c>
      <c r="P280" s="288" t="e">
        <f t="array" ref="P280">SUM(J280:K280/G280*100)</f>
        <v>#DIV/0!</v>
      </c>
    </row>
    <row r="281" spans="2:18" x14ac:dyDescent="0.2">
      <c r="B281" s="282"/>
      <c r="C281" s="282"/>
      <c r="D281" s="282"/>
      <c r="E281" s="283"/>
      <c r="F281" s="284"/>
      <c r="G281" s="285"/>
      <c r="H281" s="285"/>
      <c r="I281" s="286"/>
      <c r="J281" s="286"/>
      <c r="K281" s="286"/>
      <c r="L281" s="286"/>
      <c r="M281" s="286"/>
      <c r="N281" s="286"/>
      <c r="O281" s="287">
        <f t="shared" si="4"/>
        <v>0</v>
      </c>
      <c r="P281" s="288" t="e">
        <f t="array" ref="P281">SUM(J281:K281/G281*100)</f>
        <v>#DIV/0!</v>
      </c>
    </row>
    <row r="282" spans="2:18" x14ac:dyDescent="0.2">
      <c r="B282" s="282"/>
      <c r="C282" s="282"/>
      <c r="D282" s="282"/>
      <c r="E282" s="283"/>
      <c r="F282" s="284"/>
      <c r="G282" s="285"/>
      <c r="H282" s="285"/>
      <c r="I282" s="286"/>
      <c r="J282" s="286"/>
      <c r="K282" s="286"/>
      <c r="L282" s="286"/>
      <c r="M282" s="286"/>
      <c r="N282" s="286"/>
      <c r="O282" s="287">
        <f t="shared" si="4"/>
        <v>0</v>
      </c>
      <c r="P282" s="288" t="e">
        <f t="array" ref="P282">SUM(J282:K282/G282*100)</f>
        <v>#DIV/0!</v>
      </c>
    </row>
    <row r="283" spans="2:18" x14ac:dyDescent="0.2">
      <c r="B283" s="282"/>
      <c r="C283" s="282"/>
      <c r="D283" s="282"/>
      <c r="E283" s="283"/>
      <c r="F283" s="284"/>
      <c r="G283" s="285"/>
      <c r="H283" s="285"/>
      <c r="I283" s="286"/>
      <c r="J283" s="286"/>
      <c r="K283" s="286"/>
      <c r="L283" s="286"/>
      <c r="M283" s="286"/>
      <c r="N283" s="286"/>
      <c r="O283" s="287">
        <f t="shared" si="4"/>
        <v>0</v>
      </c>
      <c r="P283" s="288" t="e">
        <f t="array" ref="P283">SUM(J283:K283/G283*100)</f>
        <v>#DIV/0!</v>
      </c>
    </row>
    <row r="284" spans="2:18" x14ac:dyDescent="0.2">
      <c r="B284" s="282"/>
      <c r="C284" s="282"/>
      <c r="D284" s="282"/>
      <c r="E284" s="283"/>
      <c r="F284" s="284"/>
      <c r="G284" s="285"/>
      <c r="H284" s="285"/>
      <c r="I284" s="286"/>
      <c r="J284" s="286"/>
      <c r="K284" s="286"/>
      <c r="L284" s="286"/>
      <c r="M284" s="286"/>
      <c r="N284" s="286"/>
      <c r="O284" s="287">
        <f t="shared" si="4"/>
        <v>0</v>
      </c>
      <c r="P284" s="288" t="e">
        <f t="array" ref="P284">SUM(J284:K284/G284*100)</f>
        <v>#DIV/0!</v>
      </c>
    </row>
    <row r="285" spans="2:18" x14ac:dyDescent="0.2">
      <c r="B285" s="282"/>
      <c r="C285" s="282"/>
      <c r="D285" s="282"/>
      <c r="E285" s="283"/>
      <c r="F285" s="284"/>
      <c r="G285" s="285"/>
      <c r="H285" s="285"/>
      <c r="I285" s="286"/>
      <c r="J285" s="286"/>
      <c r="K285" s="286"/>
      <c r="L285" s="286"/>
      <c r="M285" s="286"/>
      <c r="N285" s="286"/>
      <c r="O285" s="287">
        <f t="shared" si="4"/>
        <v>0</v>
      </c>
      <c r="P285" s="288" t="e">
        <f t="array" ref="P285">SUM(J285:K285/G285*100)</f>
        <v>#DIV/0!</v>
      </c>
      <c r="R285" s="290" t="e">
        <f>L285/F285</f>
        <v>#DIV/0!</v>
      </c>
    </row>
    <row r="286" spans="2:18" x14ac:dyDescent="0.2">
      <c r="B286" s="282"/>
      <c r="C286" s="282"/>
      <c r="D286" s="282"/>
      <c r="E286" s="283"/>
      <c r="F286" s="284"/>
      <c r="G286" s="285"/>
      <c r="H286" s="285"/>
      <c r="I286" s="286"/>
      <c r="J286" s="286"/>
      <c r="K286" s="286"/>
      <c r="L286" s="286"/>
      <c r="M286" s="286"/>
      <c r="N286" s="286"/>
      <c r="O286" s="287">
        <f t="shared" si="4"/>
        <v>0</v>
      </c>
      <c r="P286" s="288" t="e">
        <f t="array" ref="P286">SUM(J286:K286/G286*100)</f>
        <v>#DIV/0!</v>
      </c>
      <c r="R286" s="290" t="e">
        <f>L286/F286</f>
        <v>#DIV/0!</v>
      </c>
    </row>
    <row r="287" spans="2:18" x14ac:dyDescent="0.2">
      <c r="B287" s="282"/>
      <c r="C287" s="282"/>
      <c r="D287" s="282"/>
      <c r="E287" s="283"/>
      <c r="F287" s="284"/>
      <c r="G287" s="285"/>
      <c r="H287" s="285"/>
      <c r="I287" s="286"/>
      <c r="J287" s="286"/>
      <c r="K287" s="286"/>
      <c r="L287" s="286"/>
      <c r="M287" s="286"/>
      <c r="N287" s="286"/>
      <c r="O287" s="287">
        <f t="shared" si="4"/>
        <v>0</v>
      </c>
      <c r="P287" s="288" t="e">
        <f t="array" ref="P287">SUM(J287:K287/G287*100)</f>
        <v>#DIV/0!</v>
      </c>
      <c r="R287" s="290"/>
    </row>
    <row r="288" spans="2:18" x14ac:dyDescent="0.2">
      <c r="B288" s="282"/>
      <c r="C288" s="282"/>
      <c r="D288" s="282"/>
      <c r="E288" s="283"/>
      <c r="F288" s="284"/>
      <c r="G288" s="285"/>
      <c r="H288" s="285"/>
      <c r="I288" s="286"/>
      <c r="J288" s="286"/>
      <c r="K288" s="286"/>
      <c r="L288" s="286"/>
      <c r="M288" s="286"/>
      <c r="N288" s="286"/>
      <c r="O288" s="287">
        <f t="shared" si="4"/>
        <v>0</v>
      </c>
      <c r="P288" s="288" t="e">
        <f t="array" ref="P288">SUM(J288:K288/G288*100)</f>
        <v>#DIV/0!</v>
      </c>
      <c r="R288" s="290"/>
    </row>
    <row r="289" spans="2:18" x14ac:dyDescent="0.2">
      <c r="B289" s="282"/>
      <c r="C289" s="282"/>
      <c r="D289" s="282"/>
      <c r="E289" s="283"/>
      <c r="F289" s="284"/>
      <c r="G289" s="285"/>
      <c r="H289" s="285"/>
      <c r="I289" s="286"/>
      <c r="J289" s="286"/>
      <c r="K289" s="286"/>
      <c r="L289" s="286"/>
      <c r="M289" s="286"/>
      <c r="N289" s="286"/>
      <c r="O289" s="287">
        <f t="shared" si="4"/>
        <v>0</v>
      </c>
      <c r="P289" s="288" t="e">
        <f t="array" ref="P289">SUM(J289:K289/G289*100)</f>
        <v>#DIV/0!</v>
      </c>
      <c r="R289" s="290" t="e">
        <f>L289/F289</f>
        <v>#DIV/0!</v>
      </c>
    </row>
    <row r="290" spans="2:18" x14ac:dyDescent="0.2">
      <c r="B290" s="282"/>
      <c r="C290" s="282"/>
      <c r="D290" s="282"/>
      <c r="E290" s="283"/>
      <c r="F290" s="284"/>
      <c r="G290" s="285"/>
      <c r="H290" s="285"/>
      <c r="I290" s="286"/>
      <c r="J290" s="286"/>
      <c r="K290" s="286"/>
      <c r="L290" s="286"/>
      <c r="M290" s="286"/>
      <c r="N290" s="286"/>
      <c r="O290" s="287">
        <f t="shared" si="4"/>
        <v>0</v>
      </c>
      <c r="P290" s="288" t="e">
        <f t="array" ref="P290">SUM(J290:K290/G290*100)</f>
        <v>#DIV/0!</v>
      </c>
      <c r="R290" s="290" t="e">
        <f>L290/F290</f>
        <v>#DIV/0!</v>
      </c>
    </row>
    <row r="291" spans="2:18" x14ac:dyDescent="0.2">
      <c r="B291" s="282"/>
      <c r="C291" s="282"/>
      <c r="D291" s="282"/>
      <c r="E291" s="283"/>
      <c r="F291" s="284"/>
      <c r="G291" s="285"/>
      <c r="H291" s="285"/>
      <c r="I291" s="286"/>
      <c r="J291" s="286"/>
      <c r="K291" s="286"/>
      <c r="L291" s="286"/>
      <c r="M291" s="286"/>
      <c r="N291" s="286"/>
      <c r="O291" s="287">
        <f t="shared" si="4"/>
        <v>0</v>
      </c>
      <c r="P291" s="288" t="e">
        <f t="array" ref="P291">SUM(J291:K291/G291*100)</f>
        <v>#DIV/0!</v>
      </c>
      <c r="R291" s="290" t="e">
        <f>L291/F291</f>
        <v>#DIV/0!</v>
      </c>
    </row>
    <row r="292" spans="2:18" x14ac:dyDescent="0.2">
      <c r="B292" s="282"/>
      <c r="C292" s="282"/>
      <c r="D292" s="282"/>
      <c r="E292" s="283"/>
      <c r="F292" s="284"/>
      <c r="G292" s="285"/>
      <c r="H292" s="285"/>
      <c r="I292" s="286"/>
      <c r="J292" s="286"/>
      <c r="K292" s="286"/>
      <c r="L292" s="286"/>
      <c r="M292" s="286"/>
      <c r="N292" s="286"/>
      <c r="O292" s="287">
        <f t="shared" si="4"/>
        <v>0</v>
      </c>
      <c r="P292" s="288" t="e">
        <f t="array" ref="P292">SUM(J292:K292/G292*100)</f>
        <v>#DIV/0!</v>
      </c>
      <c r="R292" s="290" t="e">
        <f>L292/F292</f>
        <v>#DIV/0!</v>
      </c>
    </row>
    <row r="293" spans="2:18" x14ac:dyDescent="0.2">
      <c r="B293" s="282"/>
      <c r="C293" s="282"/>
      <c r="D293" s="282"/>
      <c r="E293" s="283"/>
      <c r="F293" s="284"/>
      <c r="G293" s="285"/>
      <c r="H293" s="285"/>
      <c r="I293" s="286"/>
      <c r="J293" s="286"/>
      <c r="K293" s="286"/>
      <c r="L293" s="286"/>
      <c r="M293" s="286"/>
      <c r="N293" s="286"/>
      <c r="O293" s="287">
        <f t="shared" si="4"/>
        <v>0</v>
      </c>
      <c r="P293" s="288" t="e">
        <f t="array" ref="P293">SUM(J293:K293/G293*100)</f>
        <v>#DIV/0!</v>
      </c>
      <c r="R293" s="290" t="e">
        <f>L293/F293</f>
        <v>#DIV/0!</v>
      </c>
    </row>
    <row r="294" spans="2:18" x14ac:dyDescent="0.2">
      <c r="B294" s="282"/>
      <c r="C294" s="282"/>
      <c r="D294" s="282"/>
      <c r="E294" s="283"/>
      <c r="F294" s="284"/>
      <c r="G294" s="285"/>
      <c r="H294" s="285"/>
      <c r="I294" s="286"/>
      <c r="J294" s="286"/>
      <c r="K294" s="286"/>
      <c r="L294" s="286"/>
      <c r="M294" s="286"/>
      <c r="N294" s="286"/>
      <c r="O294" s="287">
        <f t="shared" si="4"/>
        <v>0</v>
      </c>
      <c r="P294" s="288" t="e">
        <f t="array" ref="P294">SUM(J294:K294/G294*100)</f>
        <v>#DIV/0!</v>
      </c>
      <c r="R294" s="290"/>
    </row>
    <row r="295" spans="2:18" x14ac:dyDescent="0.2">
      <c r="B295" s="282"/>
      <c r="C295" s="282"/>
      <c r="D295" s="282"/>
      <c r="E295" s="283"/>
      <c r="F295" s="284"/>
      <c r="G295" s="285"/>
      <c r="H295" s="285"/>
      <c r="I295" s="286"/>
      <c r="J295" s="286"/>
      <c r="K295" s="286"/>
      <c r="L295" s="286"/>
      <c r="M295" s="286"/>
      <c r="N295" s="286"/>
      <c r="O295" s="287">
        <f t="shared" si="4"/>
        <v>0</v>
      </c>
      <c r="P295" s="288" t="e">
        <f t="array" ref="P295">SUM(J295:K295/G295*100)</f>
        <v>#DIV/0!</v>
      </c>
      <c r="R295" s="290"/>
    </row>
    <row r="296" spans="2:18" x14ac:dyDescent="0.2">
      <c r="B296" s="282"/>
      <c r="C296" s="282"/>
      <c r="D296" s="282"/>
      <c r="E296" s="283"/>
      <c r="F296" s="284"/>
      <c r="G296" s="285"/>
      <c r="H296" s="285"/>
      <c r="I296" s="286"/>
      <c r="J296" s="286"/>
      <c r="K296" s="286"/>
      <c r="L296" s="286"/>
      <c r="M296" s="286"/>
      <c r="N296" s="286"/>
      <c r="O296" s="287">
        <f t="shared" si="4"/>
        <v>0</v>
      </c>
      <c r="P296" s="288" t="e">
        <f t="array" ref="P296">SUM(J296:K296/G296*100)</f>
        <v>#DIV/0!</v>
      </c>
      <c r="R296" s="290"/>
    </row>
    <row r="297" spans="2:18" x14ac:dyDescent="0.2">
      <c r="B297" s="282"/>
      <c r="C297" s="282"/>
      <c r="D297" s="282"/>
      <c r="E297" s="283"/>
      <c r="F297" s="284"/>
      <c r="G297" s="285"/>
      <c r="H297" s="285"/>
      <c r="I297" s="286"/>
      <c r="J297" s="286"/>
      <c r="K297" s="286"/>
      <c r="L297" s="286"/>
      <c r="M297" s="286"/>
      <c r="N297" s="286"/>
      <c r="O297" s="287">
        <f t="shared" si="4"/>
        <v>0</v>
      </c>
      <c r="P297" s="288" t="e">
        <f t="array" ref="P297">SUM(J297:K297/G297*100)</f>
        <v>#DIV/0!</v>
      </c>
      <c r="R297" s="290"/>
    </row>
    <row r="298" spans="2:18" x14ac:dyDescent="0.2">
      <c r="B298" s="282"/>
      <c r="C298" s="282"/>
      <c r="D298" s="282"/>
      <c r="E298" s="283"/>
      <c r="F298" s="284"/>
      <c r="G298" s="285"/>
      <c r="H298" s="285"/>
      <c r="I298" s="286"/>
      <c r="J298" s="286"/>
      <c r="K298" s="286"/>
      <c r="L298" s="286"/>
      <c r="M298" s="286"/>
      <c r="N298" s="286"/>
      <c r="O298" s="287">
        <f t="shared" si="4"/>
        <v>0</v>
      </c>
      <c r="P298" s="288" t="e">
        <f t="array" ref="P298">SUM(J298:K298/G298*100)</f>
        <v>#DIV/0!</v>
      </c>
      <c r="R298" s="290"/>
    </row>
    <row r="299" spans="2:18" x14ac:dyDescent="0.2">
      <c r="B299" s="282"/>
      <c r="C299" s="282"/>
      <c r="D299" s="282"/>
      <c r="E299" s="283"/>
      <c r="F299" s="284"/>
      <c r="G299" s="285"/>
      <c r="H299" s="285"/>
      <c r="I299" s="286"/>
      <c r="J299" s="286"/>
      <c r="K299" s="286"/>
      <c r="L299" s="286"/>
      <c r="M299" s="286"/>
      <c r="N299" s="286"/>
      <c r="O299" s="287">
        <f t="shared" si="4"/>
        <v>0</v>
      </c>
      <c r="P299" s="288" t="e">
        <f t="array" ref="P299">SUM(J299:K299/G299*100)</f>
        <v>#DIV/0!</v>
      </c>
      <c r="R299" s="290"/>
    </row>
    <row r="300" spans="2:18" x14ac:dyDescent="0.2">
      <c r="B300" s="282"/>
      <c r="C300" s="282"/>
      <c r="D300" s="282"/>
      <c r="E300" s="283"/>
      <c r="F300" s="284"/>
      <c r="G300" s="285"/>
      <c r="H300" s="285"/>
      <c r="I300" s="286"/>
      <c r="J300" s="286"/>
      <c r="K300" s="286"/>
      <c r="L300" s="286"/>
      <c r="M300" s="286"/>
      <c r="N300" s="286"/>
      <c r="O300" s="287">
        <f t="shared" si="4"/>
        <v>0</v>
      </c>
      <c r="P300" s="288" t="e">
        <f t="array" ref="P300">SUM(J300:K300/G300*100)</f>
        <v>#DIV/0!</v>
      </c>
      <c r="R300" s="290"/>
    </row>
    <row r="301" spans="2:18" x14ac:dyDescent="0.2">
      <c r="B301" s="282"/>
      <c r="C301" s="282"/>
      <c r="D301" s="282"/>
      <c r="E301" s="283"/>
      <c r="F301" s="284"/>
      <c r="G301" s="285"/>
      <c r="H301" s="285"/>
      <c r="I301" s="286"/>
      <c r="J301" s="286"/>
      <c r="K301" s="286"/>
      <c r="L301" s="286"/>
      <c r="M301" s="286"/>
      <c r="N301" s="286"/>
      <c r="O301" s="287">
        <f t="shared" si="4"/>
        <v>0</v>
      </c>
      <c r="P301" s="288" t="e">
        <f t="array" ref="P301">SUM(J301:K301/G301*100)</f>
        <v>#DIV/0!</v>
      </c>
      <c r="R301" s="290"/>
    </row>
    <row r="302" spans="2:18" x14ac:dyDescent="0.2">
      <c r="B302" s="282"/>
      <c r="C302" s="282"/>
      <c r="D302" s="282"/>
      <c r="E302" s="283"/>
      <c r="F302" s="284"/>
      <c r="G302" s="285"/>
      <c r="H302" s="285"/>
      <c r="I302" s="286"/>
      <c r="J302" s="286"/>
      <c r="K302" s="286"/>
      <c r="L302" s="286"/>
      <c r="M302" s="286"/>
      <c r="N302" s="286"/>
      <c r="O302" s="287">
        <f t="shared" si="4"/>
        <v>0</v>
      </c>
      <c r="P302" s="288" t="e">
        <f t="array" ref="P302">SUM(J302:K302/G302*100)</f>
        <v>#DIV/0!</v>
      </c>
      <c r="R302" s="290"/>
    </row>
    <row r="303" spans="2:18" x14ac:dyDescent="0.2">
      <c r="B303" s="282"/>
      <c r="C303" s="282"/>
      <c r="D303" s="282"/>
      <c r="E303" s="283"/>
      <c r="F303" s="284"/>
      <c r="G303" s="285"/>
      <c r="H303" s="285"/>
      <c r="I303" s="286"/>
      <c r="J303" s="286"/>
      <c r="K303" s="286"/>
      <c r="L303" s="286"/>
      <c r="M303" s="286"/>
      <c r="N303" s="286"/>
      <c r="O303" s="287">
        <f t="shared" si="4"/>
        <v>0</v>
      </c>
      <c r="P303" s="288" t="e">
        <f t="array" ref="P303">SUM(J303:K303/G303*100)</f>
        <v>#DIV/0!</v>
      </c>
      <c r="R303" s="290"/>
    </row>
    <row r="304" spans="2:18" x14ac:dyDescent="0.2">
      <c r="B304" s="282"/>
      <c r="C304" s="282"/>
      <c r="D304" s="282"/>
      <c r="E304" s="283"/>
      <c r="F304" s="284"/>
      <c r="G304" s="285"/>
      <c r="H304" s="285"/>
      <c r="I304" s="286"/>
      <c r="J304" s="286"/>
      <c r="K304" s="286"/>
      <c r="L304" s="286"/>
      <c r="M304" s="286"/>
      <c r="N304" s="286"/>
      <c r="O304" s="287">
        <f t="shared" si="4"/>
        <v>0</v>
      </c>
      <c r="P304" s="288" t="e">
        <f t="array" ref="P304">SUM(J304:K304/G304*100)</f>
        <v>#DIV/0!</v>
      </c>
      <c r="R304" s="290" t="e">
        <f>L304/F304</f>
        <v>#DIV/0!</v>
      </c>
    </row>
    <row r="305" spans="2:18" x14ac:dyDescent="0.2">
      <c r="B305" s="282"/>
      <c r="C305" s="282"/>
      <c r="D305" s="282"/>
      <c r="E305" s="283"/>
      <c r="F305" s="284"/>
      <c r="G305" s="285"/>
      <c r="H305" s="285"/>
      <c r="I305" s="286"/>
      <c r="J305" s="286"/>
      <c r="K305" s="286"/>
      <c r="L305" s="286"/>
      <c r="M305" s="286"/>
      <c r="N305" s="286"/>
      <c r="O305" s="287">
        <f t="shared" si="4"/>
        <v>0</v>
      </c>
      <c r="P305" s="288" t="e">
        <f t="array" ref="P305">SUM(J305:K305/G305*100)</f>
        <v>#DIV/0!</v>
      </c>
      <c r="R305" s="290" t="e">
        <f>L305/F305</f>
        <v>#DIV/0!</v>
      </c>
    </row>
    <row r="306" spans="2:18" x14ac:dyDescent="0.2">
      <c r="B306" s="282"/>
      <c r="C306" s="282"/>
      <c r="D306" s="282"/>
      <c r="E306" s="283"/>
      <c r="F306" s="284"/>
      <c r="G306" s="285"/>
      <c r="H306" s="285"/>
      <c r="I306" s="286"/>
      <c r="J306" s="286"/>
      <c r="K306" s="286"/>
      <c r="L306" s="286"/>
      <c r="M306" s="286"/>
      <c r="N306" s="286"/>
      <c r="O306" s="287">
        <f t="shared" si="4"/>
        <v>0</v>
      </c>
      <c r="P306" s="288" t="e">
        <f t="array" ref="P306">SUM(J306:K306/G306*100)</f>
        <v>#DIV/0!</v>
      </c>
      <c r="R306" s="290" t="e">
        <f>L306/F306</f>
        <v>#DIV/0!</v>
      </c>
    </row>
    <row r="307" spans="2:18" x14ac:dyDescent="0.2">
      <c r="B307" s="282"/>
      <c r="C307" s="282"/>
      <c r="D307" s="282"/>
      <c r="E307" s="283"/>
      <c r="F307" s="284"/>
      <c r="G307" s="285"/>
      <c r="H307" s="285"/>
      <c r="I307" s="286"/>
      <c r="J307" s="286"/>
      <c r="K307" s="286"/>
      <c r="L307" s="286"/>
      <c r="M307" s="286"/>
      <c r="N307" s="286"/>
      <c r="O307" s="287">
        <f t="shared" si="4"/>
        <v>0</v>
      </c>
      <c r="P307" s="288" t="e">
        <f t="array" ref="P307">SUM(J307:K307/G307*100)</f>
        <v>#DIV/0!</v>
      </c>
      <c r="R307" s="290" t="e">
        <f>L307/F307</f>
        <v>#DIV/0!</v>
      </c>
    </row>
    <row r="308" spans="2:18" x14ac:dyDescent="0.2">
      <c r="B308" s="282"/>
      <c r="C308" s="282"/>
      <c r="D308" s="282"/>
      <c r="E308" s="283"/>
      <c r="F308" s="284"/>
      <c r="G308" s="285"/>
      <c r="H308" s="285"/>
      <c r="I308" s="286"/>
      <c r="J308" s="286"/>
      <c r="K308" s="286"/>
      <c r="L308" s="286"/>
      <c r="M308" s="286"/>
      <c r="N308" s="286"/>
      <c r="O308" s="287">
        <f t="shared" si="4"/>
        <v>0</v>
      </c>
      <c r="P308" s="288" t="e">
        <f t="array" ref="P308">SUM(J308:K308/G308*100)</f>
        <v>#DIV/0!</v>
      </c>
      <c r="R308" s="290"/>
    </row>
    <row r="309" spans="2:18" x14ac:dyDescent="0.2">
      <c r="B309" s="282"/>
      <c r="C309" s="282"/>
      <c r="D309" s="282"/>
      <c r="E309" s="283"/>
      <c r="F309" s="284"/>
      <c r="G309" s="285"/>
      <c r="H309" s="285"/>
      <c r="I309" s="286"/>
      <c r="J309" s="286"/>
      <c r="K309" s="286"/>
      <c r="L309" s="286"/>
      <c r="M309" s="286"/>
      <c r="N309" s="286"/>
      <c r="O309" s="287">
        <f t="shared" si="4"/>
        <v>0</v>
      </c>
      <c r="P309" s="288" t="e">
        <f t="array" ref="P309">SUM(J309:K309/G309*100)</f>
        <v>#DIV/0!</v>
      </c>
      <c r="R309" s="290"/>
    </row>
    <row r="310" spans="2:18" x14ac:dyDescent="0.2">
      <c r="B310" s="282"/>
      <c r="C310" s="282"/>
      <c r="D310" s="282"/>
      <c r="E310" s="283"/>
      <c r="F310" s="284"/>
      <c r="G310" s="285"/>
      <c r="H310" s="285"/>
      <c r="I310" s="286"/>
      <c r="J310" s="286"/>
      <c r="K310" s="286"/>
      <c r="L310" s="286"/>
      <c r="M310" s="286"/>
      <c r="N310" s="286"/>
      <c r="O310" s="287">
        <f t="shared" si="4"/>
        <v>0</v>
      </c>
      <c r="P310" s="288" t="e">
        <f t="array" ref="P310">SUM(J310:K310/G310*100)</f>
        <v>#DIV/0!</v>
      </c>
      <c r="R310" s="290"/>
    </row>
    <row r="311" spans="2:18" x14ac:dyDescent="0.2">
      <c r="B311" s="282"/>
      <c r="C311" s="282"/>
      <c r="D311" s="282"/>
      <c r="E311" s="283"/>
      <c r="F311" s="284"/>
      <c r="G311" s="285"/>
      <c r="H311" s="285"/>
      <c r="I311" s="286"/>
      <c r="J311" s="286"/>
      <c r="K311" s="286"/>
      <c r="L311" s="286"/>
      <c r="M311" s="286"/>
      <c r="N311" s="286"/>
      <c r="O311" s="287">
        <f t="shared" si="4"/>
        <v>0</v>
      </c>
      <c r="P311" s="288" t="e">
        <f t="array" ref="P311">SUM(J311:K311/G311*100)</f>
        <v>#DIV/0!</v>
      </c>
      <c r="R311" s="290"/>
    </row>
    <row r="312" spans="2:18" x14ac:dyDescent="0.2">
      <c r="B312" s="282"/>
      <c r="C312" s="282"/>
      <c r="D312" s="282"/>
      <c r="E312" s="283"/>
      <c r="F312" s="284"/>
      <c r="G312" s="285"/>
      <c r="H312" s="285"/>
      <c r="I312" s="286"/>
      <c r="J312" s="286"/>
      <c r="K312" s="286"/>
      <c r="L312" s="286"/>
      <c r="M312" s="286"/>
      <c r="N312" s="286"/>
      <c r="O312" s="287">
        <f t="shared" si="4"/>
        <v>0</v>
      </c>
      <c r="P312" s="288" t="e">
        <f t="array" ref="P312">SUM(J312:K312/G312*100)</f>
        <v>#DIV/0!</v>
      </c>
      <c r="R312" s="290" t="e">
        <f>L312/F312</f>
        <v>#DIV/0!</v>
      </c>
    </row>
    <row r="313" spans="2:18" x14ac:dyDescent="0.2">
      <c r="B313" s="282"/>
      <c r="C313" s="282"/>
      <c r="D313" s="282"/>
      <c r="E313" s="283"/>
      <c r="F313" s="284"/>
      <c r="G313" s="285"/>
      <c r="H313" s="285"/>
      <c r="I313" s="286"/>
      <c r="J313" s="286"/>
      <c r="K313" s="286"/>
      <c r="L313" s="286"/>
      <c r="M313" s="286"/>
      <c r="N313" s="286"/>
      <c r="O313" s="287">
        <f t="shared" si="4"/>
        <v>0</v>
      </c>
      <c r="P313" s="288" t="e">
        <f t="array" ref="P313">SUM(J313:K313/G313*100)</f>
        <v>#DIV/0!</v>
      </c>
      <c r="R313" s="290" t="e">
        <f>L313/F313</f>
        <v>#DIV/0!</v>
      </c>
    </row>
    <row r="314" spans="2:18" x14ac:dyDescent="0.2">
      <c r="B314" s="282"/>
      <c r="C314" s="282"/>
      <c r="D314" s="282"/>
      <c r="E314" s="283"/>
      <c r="F314" s="284"/>
      <c r="G314" s="285"/>
      <c r="H314" s="285"/>
      <c r="I314" s="286"/>
      <c r="J314" s="286"/>
      <c r="K314" s="286"/>
      <c r="L314" s="286"/>
      <c r="M314" s="286"/>
      <c r="N314" s="286"/>
      <c r="O314" s="287">
        <f t="shared" si="4"/>
        <v>0</v>
      </c>
      <c r="P314" s="288" t="e">
        <f t="array" ref="P314">SUM(J314:K314/G314*100)</f>
        <v>#DIV/0!</v>
      </c>
      <c r="R314" s="290" t="e">
        <f>L314/F314</f>
        <v>#DIV/0!</v>
      </c>
    </row>
    <row r="315" spans="2:18" x14ac:dyDescent="0.2">
      <c r="B315" s="282"/>
      <c r="C315" s="282"/>
      <c r="D315" s="282"/>
      <c r="E315" s="283"/>
      <c r="F315" s="284"/>
      <c r="G315" s="285"/>
      <c r="H315" s="285"/>
      <c r="I315" s="286"/>
      <c r="J315" s="286"/>
      <c r="K315" s="286"/>
      <c r="L315" s="286"/>
      <c r="M315" s="286"/>
      <c r="N315" s="286"/>
      <c r="O315" s="287"/>
      <c r="P315" s="288" t="e">
        <f t="array" ref="P315">SUM(J315:K315/G315*100)</f>
        <v>#DIV/0!</v>
      </c>
    </row>
    <row r="316" spans="2:18" x14ac:dyDescent="0.2">
      <c r="B316" s="282"/>
      <c r="C316" s="282"/>
      <c r="D316" s="282"/>
      <c r="E316" s="283"/>
      <c r="F316" s="284"/>
      <c r="G316" s="285"/>
      <c r="H316" s="285"/>
      <c r="I316" s="286"/>
      <c r="J316" s="286"/>
      <c r="K316" s="286"/>
      <c r="L316" s="286"/>
      <c r="M316" s="286"/>
      <c r="N316" s="286"/>
      <c r="O316" s="287"/>
      <c r="P316" s="288" t="e">
        <f t="array" ref="P316">SUM(J316:K316/G316*100)</f>
        <v>#DIV/0!</v>
      </c>
    </row>
    <row r="317" spans="2:18" x14ac:dyDescent="0.2">
      <c r="B317" s="282"/>
      <c r="C317" s="282"/>
      <c r="D317" s="282"/>
      <c r="E317" s="283"/>
      <c r="F317" s="284"/>
      <c r="G317" s="285"/>
      <c r="H317" s="285"/>
      <c r="I317" s="286"/>
      <c r="J317" s="286"/>
      <c r="K317" s="286"/>
      <c r="L317" s="286"/>
      <c r="M317" s="286"/>
      <c r="N317" s="286"/>
      <c r="O317" s="287"/>
      <c r="P317" s="288" t="e">
        <f t="array" ref="P317">SUM(J317:K317/G317*100)</f>
        <v>#DIV/0!</v>
      </c>
    </row>
    <row r="318" spans="2:18" x14ac:dyDescent="0.2">
      <c r="B318" s="282"/>
      <c r="C318" s="282"/>
      <c r="D318" s="282"/>
      <c r="E318" s="283"/>
      <c r="F318" s="284"/>
      <c r="G318" s="285"/>
      <c r="H318" s="285"/>
      <c r="I318" s="286"/>
      <c r="J318" s="286"/>
      <c r="K318" s="286"/>
      <c r="L318" s="286"/>
      <c r="M318" s="286"/>
      <c r="N318" s="286"/>
      <c r="O318" s="287">
        <f t="shared" ref="O318:O363" si="5">IFERROR(L318*6,0)</f>
        <v>0</v>
      </c>
      <c r="P318" s="288" t="e">
        <f t="array" ref="P318">SUM(J318:K318/G318*100)</f>
        <v>#DIV/0!</v>
      </c>
    </row>
    <row r="319" spans="2:18" x14ac:dyDescent="0.2">
      <c r="B319" s="282"/>
      <c r="C319" s="282"/>
      <c r="D319" s="282"/>
      <c r="E319" s="283"/>
      <c r="F319" s="284"/>
      <c r="G319" s="285"/>
      <c r="H319" s="285"/>
      <c r="I319" s="286"/>
      <c r="J319" s="286"/>
      <c r="K319" s="286"/>
      <c r="L319" s="286"/>
      <c r="M319" s="286"/>
      <c r="N319" s="286"/>
      <c r="O319" s="287">
        <f t="shared" si="5"/>
        <v>0</v>
      </c>
      <c r="P319" s="288" t="e">
        <f t="array" ref="P319">SUM(J319:K319/G319*100)</f>
        <v>#DIV/0!</v>
      </c>
    </row>
    <row r="320" spans="2:18" x14ac:dyDescent="0.2">
      <c r="B320" s="282"/>
      <c r="C320" s="282"/>
      <c r="D320" s="282"/>
      <c r="E320" s="283"/>
      <c r="F320" s="284"/>
      <c r="G320" s="285"/>
      <c r="H320" s="285"/>
      <c r="I320" s="286"/>
      <c r="J320" s="286"/>
      <c r="K320" s="286"/>
      <c r="L320" s="286"/>
      <c r="M320" s="286"/>
      <c r="N320" s="286"/>
      <c r="O320" s="287">
        <f t="shared" si="5"/>
        <v>0</v>
      </c>
      <c r="P320" s="288" t="e">
        <f t="array" ref="P320">SUM(J320:K320/G320*100)</f>
        <v>#DIV/0!</v>
      </c>
    </row>
    <row r="321" spans="2:16" x14ac:dyDescent="0.2">
      <c r="B321" s="282"/>
      <c r="C321" s="282"/>
      <c r="D321" s="282"/>
      <c r="E321" s="283"/>
      <c r="F321" s="284"/>
      <c r="G321" s="285"/>
      <c r="H321" s="285"/>
      <c r="I321" s="286"/>
      <c r="J321" s="286"/>
      <c r="K321" s="286"/>
      <c r="L321" s="286"/>
      <c r="M321" s="286"/>
      <c r="N321" s="286"/>
      <c r="O321" s="287">
        <f t="shared" si="5"/>
        <v>0</v>
      </c>
      <c r="P321" s="288" t="e">
        <f t="array" ref="P321">SUM(J321:K321/G321*100)</f>
        <v>#DIV/0!</v>
      </c>
    </row>
    <row r="322" spans="2:16" x14ac:dyDescent="0.2">
      <c r="B322" s="282"/>
      <c r="C322" s="282"/>
      <c r="D322" s="282"/>
      <c r="E322" s="283"/>
      <c r="F322" s="284"/>
      <c r="G322" s="285"/>
      <c r="H322" s="285"/>
      <c r="I322" s="286"/>
      <c r="J322" s="286"/>
      <c r="K322" s="286"/>
      <c r="L322" s="286"/>
      <c r="M322" s="286"/>
      <c r="N322" s="286"/>
      <c r="O322" s="287">
        <f t="shared" si="5"/>
        <v>0</v>
      </c>
      <c r="P322" s="288" t="e">
        <f t="array" ref="P322">SUM(J322:K322/G322*100)</f>
        <v>#DIV/0!</v>
      </c>
    </row>
    <row r="323" spans="2:16" x14ac:dyDescent="0.2">
      <c r="B323" s="282"/>
      <c r="C323" s="282"/>
      <c r="D323" s="282"/>
      <c r="E323" s="283"/>
      <c r="F323" s="284"/>
      <c r="G323" s="285"/>
      <c r="H323" s="285"/>
      <c r="I323" s="286"/>
      <c r="J323" s="286"/>
      <c r="K323" s="286"/>
      <c r="L323" s="286"/>
      <c r="M323" s="286"/>
      <c r="N323" s="286"/>
      <c r="O323" s="287">
        <f t="shared" si="5"/>
        <v>0</v>
      </c>
      <c r="P323" s="288" t="e">
        <f t="array" ref="P323">SUM(J323:K323/G323*100)</f>
        <v>#DIV/0!</v>
      </c>
    </row>
    <row r="324" spans="2:16" x14ac:dyDescent="0.2">
      <c r="B324" s="282"/>
      <c r="C324" s="282"/>
      <c r="D324" s="282"/>
      <c r="E324" s="283"/>
      <c r="F324" s="284"/>
      <c r="G324" s="285"/>
      <c r="H324" s="285"/>
      <c r="I324" s="286"/>
      <c r="J324" s="286"/>
      <c r="K324" s="286"/>
      <c r="L324" s="286"/>
      <c r="M324" s="286"/>
      <c r="N324" s="286"/>
      <c r="O324" s="287">
        <f t="shared" si="5"/>
        <v>0</v>
      </c>
      <c r="P324" s="288" t="e">
        <f t="array" ref="P324">SUM(J324:K324/G324*100)</f>
        <v>#DIV/0!</v>
      </c>
    </row>
    <row r="325" spans="2:16" x14ac:dyDescent="0.2">
      <c r="B325" s="282"/>
      <c r="C325" s="282"/>
      <c r="D325" s="282"/>
      <c r="E325" s="283"/>
      <c r="F325" s="284"/>
      <c r="G325" s="285"/>
      <c r="H325" s="285"/>
      <c r="I325" s="286"/>
      <c r="J325" s="286"/>
      <c r="K325" s="286"/>
      <c r="L325" s="286"/>
      <c r="M325" s="286"/>
      <c r="N325" s="286"/>
      <c r="O325" s="287">
        <f t="shared" si="5"/>
        <v>0</v>
      </c>
      <c r="P325" s="288" t="e">
        <f t="array" ref="P325">SUM(J325:K325/G325*100)</f>
        <v>#DIV/0!</v>
      </c>
    </row>
    <row r="326" spans="2:16" x14ac:dyDescent="0.2">
      <c r="B326" s="282"/>
      <c r="C326" s="282"/>
      <c r="D326" s="282"/>
      <c r="E326" s="283"/>
      <c r="F326" s="284"/>
      <c r="G326" s="285"/>
      <c r="H326" s="285"/>
      <c r="I326" s="286"/>
      <c r="J326" s="286"/>
      <c r="K326" s="286"/>
      <c r="L326" s="286"/>
      <c r="M326" s="286"/>
      <c r="N326" s="286"/>
      <c r="O326" s="287">
        <f t="shared" si="5"/>
        <v>0</v>
      </c>
      <c r="P326" s="288" t="e">
        <f t="array" ref="P326">SUM(J326:K326/G326*100)</f>
        <v>#DIV/0!</v>
      </c>
    </row>
    <row r="327" spans="2:16" x14ac:dyDescent="0.2">
      <c r="B327" s="282"/>
      <c r="C327" s="282"/>
      <c r="D327" s="282"/>
      <c r="E327" s="283"/>
      <c r="F327" s="284"/>
      <c r="G327" s="285"/>
      <c r="H327" s="285"/>
      <c r="I327" s="286"/>
      <c r="J327" s="286"/>
      <c r="K327" s="286"/>
      <c r="L327" s="286"/>
      <c r="M327" s="286"/>
      <c r="N327" s="286"/>
      <c r="O327" s="287">
        <f t="shared" si="5"/>
        <v>0</v>
      </c>
      <c r="P327" s="288" t="e">
        <f t="array" ref="P327">SUM(J327:K327/G327*100)</f>
        <v>#DIV/0!</v>
      </c>
    </row>
    <row r="328" spans="2:16" x14ac:dyDescent="0.2">
      <c r="B328" s="282"/>
      <c r="C328" s="282"/>
      <c r="D328" s="282"/>
      <c r="E328" s="283"/>
      <c r="F328" s="284"/>
      <c r="G328" s="285"/>
      <c r="H328" s="285"/>
      <c r="I328" s="286"/>
      <c r="J328" s="286"/>
      <c r="K328" s="286"/>
      <c r="L328" s="286"/>
      <c r="M328" s="286"/>
      <c r="N328" s="286"/>
      <c r="O328" s="287">
        <f t="shared" si="5"/>
        <v>0</v>
      </c>
      <c r="P328" s="288" t="e">
        <f t="array" ref="P328">SUM(J328:K328/G328*100)</f>
        <v>#DIV/0!</v>
      </c>
    </row>
    <row r="329" spans="2:16" x14ac:dyDescent="0.2">
      <c r="B329" s="282"/>
      <c r="C329" s="282"/>
      <c r="D329" s="282"/>
      <c r="E329" s="283"/>
      <c r="F329" s="284"/>
      <c r="G329" s="285"/>
      <c r="H329" s="285"/>
      <c r="I329" s="286"/>
      <c r="J329" s="286"/>
      <c r="K329" s="286"/>
      <c r="L329" s="286"/>
      <c r="M329" s="286"/>
      <c r="N329" s="286"/>
      <c r="O329" s="287">
        <f t="shared" si="5"/>
        <v>0</v>
      </c>
      <c r="P329" s="288" t="e">
        <f t="array" ref="P329">SUM(J329:K329/G329*100)</f>
        <v>#DIV/0!</v>
      </c>
    </row>
    <row r="330" spans="2:16" x14ac:dyDescent="0.2">
      <c r="B330" s="282"/>
      <c r="C330" s="282"/>
      <c r="D330" s="282"/>
      <c r="E330" s="283"/>
      <c r="F330" s="284"/>
      <c r="G330" s="285"/>
      <c r="H330" s="285"/>
      <c r="I330" s="286"/>
      <c r="J330" s="286"/>
      <c r="K330" s="286"/>
      <c r="L330" s="286"/>
      <c r="M330" s="286"/>
      <c r="N330" s="286"/>
      <c r="O330" s="287">
        <f t="shared" si="5"/>
        <v>0</v>
      </c>
      <c r="P330" s="288" t="e">
        <f t="array" ref="P330">SUM(J330:K330/G330*100)</f>
        <v>#DIV/0!</v>
      </c>
    </row>
    <row r="331" spans="2:16" x14ac:dyDescent="0.2">
      <c r="B331" s="282"/>
      <c r="C331" s="282"/>
      <c r="D331" s="282"/>
      <c r="E331" s="283"/>
      <c r="F331" s="284"/>
      <c r="G331" s="285"/>
      <c r="H331" s="285"/>
      <c r="I331" s="286"/>
      <c r="J331" s="286"/>
      <c r="K331" s="286"/>
      <c r="L331" s="286"/>
      <c r="M331" s="286"/>
      <c r="N331" s="286"/>
      <c r="O331" s="287">
        <f t="shared" si="5"/>
        <v>0</v>
      </c>
      <c r="P331" s="288" t="e">
        <f t="array" ref="P331">SUM(J331:K331/G331*100)</f>
        <v>#DIV/0!</v>
      </c>
    </row>
    <row r="332" spans="2:16" x14ac:dyDescent="0.2">
      <c r="B332" s="282"/>
      <c r="C332" s="282"/>
      <c r="D332" s="282"/>
      <c r="E332" s="283"/>
      <c r="F332" s="284"/>
      <c r="G332" s="285"/>
      <c r="H332" s="285"/>
      <c r="I332" s="286"/>
      <c r="J332" s="286"/>
      <c r="K332" s="286"/>
      <c r="L332" s="286"/>
      <c r="M332" s="286"/>
      <c r="N332" s="286"/>
      <c r="O332" s="287">
        <f t="shared" si="5"/>
        <v>0</v>
      </c>
      <c r="P332" s="288" t="e">
        <f t="array" ref="P332">SUM(J332:K332/G332*100)</f>
        <v>#DIV/0!</v>
      </c>
    </row>
    <row r="333" spans="2:16" x14ac:dyDescent="0.2">
      <c r="B333" s="282"/>
      <c r="C333" s="282"/>
      <c r="D333" s="282"/>
      <c r="E333" s="283"/>
      <c r="F333" s="284"/>
      <c r="G333" s="285"/>
      <c r="H333" s="285"/>
      <c r="I333" s="286"/>
      <c r="J333" s="286"/>
      <c r="K333" s="286"/>
      <c r="L333" s="286"/>
      <c r="M333" s="286"/>
      <c r="N333" s="286"/>
      <c r="O333" s="287">
        <f t="shared" si="5"/>
        <v>0</v>
      </c>
      <c r="P333" s="288" t="e">
        <f t="array" ref="P333">SUM(J333:K333/G333*100)</f>
        <v>#DIV/0!</v>
      </c>
    </row>
    <row r="334" spans="2:16" x14ac:dyDescent="0.2">
      <c r="B334" s="282"/>
      <c r="C334" s="282"/>
      <c r="D334" s="282"/>
      <c r="E334" s="283"/>
      <c r="F334" s="284"/>
      <c r="G334" s="285"/>
      <c r="H334" s="285"/>
      <c r="I334" s="286"/>
      <c r="J334" s="286"/>
      <c r="K334" s="286"/>
      <c r="L334" s="286"/>
      <c r="M334" s="286"/>
      <c r="N334" s="286"/>
      <c r="O334" s="287">
        <f t="shared" si="5"/>
        <v>0</v>
      </c>
      <c r="P334" s="288" t="e">
        <f t="array" ref="P334">SUM(J334:K334/G334*100)</f>
        <v>#DIV/0!</v>
      </c>
    </row>
    <row r="335" spans="2:16" x14ac:dyDescent="0.2">
      <c r="B335" s="282"/>
      <c r="C335" s="282"/>
      <c r="D335" s="282"/>
      <c r="E335" s="283"/>
      <c r="F335" s="284"/>
      <c r="G335" s="285"/>
      <c r="H335" s="285"/>
      <c r="I335" s="286"/>
      <c r="J335" s="286"/>
      <c r="K335" s="286"/>
      <c r="L335" s="286"/>
      <c r="M335" s="286"/>
      <c r="N335" s="286"/>
      <c r="O335" s="287">
        <f t="shared" si="5"/>
        <v>0</v>
      </c>
      <c r="P335" s="288" t="e">
        <f t="array" ref="P335">SUM(J335:K335/G335*100)</f>
        <v>#DIV/0!</v>
      </c>
    </row>
    <row r="336" spans="2:16" x14ac:dyDescent="0.2">
      <c r="B336" s="282"/>
      <c r="C336" s="282"/>
      <c r="D336" s="282"/>
      <c r="E336" s="283"/>
      <c r="F336" s="284"/>
      <c r="G336" s="285"/>
      <c r="H336" s="285"/>
      <c r="I336" s="286"/>
      <c r="J336" s="286"/>
      <c r="K336" s="286"/>
      <c r="L336" s="286"/>
      <c r="M336" s="286"/>
      <c r="N336" s="286"/>
      <c r="O336" s="287">
        <f t="shared" si="5"/>
        <v>0</v>
      </c>
      <c r="P336" s="288" t="e">
        <f t="array" ref="P336">SUM(J336:K336/G336*100)</f>
        <v>#DIV/0!</v>
      </c>
    </row>
    <row r="337" spans="2:16" x14ac:dyDescent="0.2">
      <c r="B337" s="282"/>
      <c r="C337" s="282"/>
      <c r="D337" s="282"/>
      <c r="E337" s="283"/>
      <c r="F337" s="284"/>
      <c r="G337" s="285"/>
      <c r="H337" s="285"/>
      <c r="I337" s="286"/>
      <c r="J337" s="286"/>
      <c r="K337" s="286"/>
      <c r="L337" s="286"/>
      <c r="M337" s="286"/>
      <c r="N337" s="286"/>
      <c r="O337" s="287">
        <f t="shared" si="5"/>
        <v>0</v>
      </c>
      <c r="P337" s="288" t="e">
        <f t="array" ref="P337">SUM(J337:K337/G337*100)</f>
        <v>#DIV/0!</v>
      </c>
    </row>
    <row r="338" spans="2:16" x14ac:dyDescent="0.2">
      <c r="B338" s="282"/>
      <c r="C338" s="282"/>
      <c r="D338" s="282"/>
      <c r="E338" s="283"/>
      <c r="F338" s="284"/>
      <c r="G338" s="285"/>
      <c r="H338" s="285"/>
      <c r="I338" s="286"/>
      <c r="J338" s="286"/>
      <c r="K338" s="286"/>
      <c r="L338" s="286"/>
      <c r="M338" s="286"/>
      <c r="N338" s="286"/>
      <c r="O338" s="287">
        <f t="shared" si="5"/>
        <v>0</v>
      </c>
      <c r="P338" s="288" t="e">
        <f t="array" ref="P338">SUM(J338:K338/G338*100)</f>
        <v>#DIV/0!</v>
      </c>
    </row>
    <row r="339" spans="2:16" x14ac:dyDescent="0.2">
      <c r="B339" s="282"/>
      <c r="C339" s="282"/>
      <c r="D339" s="282"/>
      <c r="E339" s="283"/>
      <c r="F339" s="284"/>
      <c r="G339" s="285"/>
      <c r="H339" s="285"/>
      <c r="I339" s="286"/>
      <c r="J339" s="286"/>
      <c r="K339" s="286"/>
      <c r="L339" s="286"/>
      <c r="M339" s="286"/>
      <c r="N339" s="286"/>
      <c r="O339" s="287">
        <f t="shared" si="5"/>
        <v>0</v>
      </c>
      <c r="P339" s="288" t="e">
        <f t="array" ref="P339">SUM(J339:K339/G339*100)</f>
        <v>#DIV/0!</v>
      </c>
    </row>
    <row r="340" spans="2:16" x14ac:dyDescent="0.2">
      <c r="B340" s="282"/>
      <c r="C340" s="282"/>
      <c r="D340" s="282"/>
      <c r="E340" s="283"/>
      <c r="F340" s="284"/>
      <c r="G340" s="285"/>
      <c r="H340" s="285"/>
      <c r="I340" s="286"/>
      <c r="J340" s="286"/>
      <c r="K340" s="286"/>
      <c r="L340" s="286"/>
      <c r="M340" s="286"/>
      <c r="N340" s="286"/>
      <c r="O340" s="287">
        <f t="shared" si="5"/>
        <v>0</v>
      </c>
      <c r="P340" s="288" t="e">
        <f t="array" ref="P340">SUM(J340:K340/G340*100)</f>
        <v>#DIV/0!</v>
      </c>
    </row>
    <row r="341" spans="2:16" x14ac:dyDescent="0.2">
      <c r="B341" s="282"/>
      <c r="C341" s="282"/>
      <c r="D341" s="282"/>
      <c r="E341" s="283"/>
      <c r="F341" s="284"/>
      <c r="G341" s="285"/>
      <c r="H341" s="285"/>
      <c r="I341" s="286"/>
      <c r="J341" s="286"/>
      <c r="K341" s="286"/>
      <c r="L341" s="286"/>
      <c r="M341" s="286"/>
      <c r="N341" s="286"/>
      <c r="O341" s="287">
        <f t="shared" si="5"/>
        <v>0</v>
      </c>
      <c r="P341" s="288" t="e">
        <f t="array" ref="P341">SUM(J341:K341/G341*100)</f>
        <v>#DIV/0!</v>
      </c>
    </row>
    <row r="342" spans="2:16" x14ac:dyDescent="0.2">
      <c r="B342" s="282"/>
      <c r="C342" s="282"/>
      <c r="D342" s="282"/>
      <c r="E342" s="283"/>
      <c r="F342" s="284"/>
      <c r="G342" s="285"/>
      <c r="H342" s="285"/>
      <c r="I342" s="286"/>
      <c r="J342" s="286"/>
      <c r="K342" s="286"/>
      <c r="L342" s="286"/>
      <c r="M342" s="286"/>
      <c r="N342" s="286"/>
      <c r="O342" s="287">
        <f t="shared" si="5"/>
        <v>0</v>
      </c>
      <c r="P342" s="288" t="e">
        <f t="array" ref="P342">SUM(J342:K342/G342*100)</f>
        <v>#DIV/0!</v>
      </c>
    </row>
    <row r="343" spans="2:16" x14ac:dyDescent="0.2">
      <c r="B343" s="282"/>
      <c r="C343" s="282"/>
      <c r="D343" s="282"/>
      <c r="E343" s="283"/>
      <c r="F343" s="284"/>
      <c r="G343" s="285"/>
      <c r="H343" s="285"/>
      <c r="I343" s="286"/>
      <c r="J343" s="286"/>
      <c r="K343" s="286"/>
      <c r="L343" s="286"/>
      <c r="M343" s="286"/>
      <c r="N343" s="286"/>
      <c r="O343" s="287">
        <f t="shared" si="5"/>
        <v>0</v>
      </c>
      <c r="P343" s="288" t="e">
        <f t="array" ref="P343">SUM(J343:K343/G343*100)</f>
        <v>#DIV/0!</v>
      </c>
    </row>
    <row r="344" spans="2:16" x14ac:dyDescent="0.2">
      <c r="B344" s="282"/>
      <c r="C344" s="282"/>
      <c r="D344" s="282"/>
      <c r="E344" s="283"/>
      <c r="F344" s="284"/>
      <c r="G344" s="285"/>
      <c r="H344" s="285"/>
      <c r="I344" s="286"/>
      <c r="J344" s="286"/>
      <c r="K344" s="286"/>
      <c r="L344" s="286"/>
      <c r="M344" s="286"/>
      <c r="N344" s="286"/>
      <c r="O344" s="287">
        <f t="shared" si="5"/>
        <v>0</v>
      </c>
      <c r="P344" s="288" t="e">
        <f t="array" ref="P344">SUM(J344:K344/G344*100)</f>
        <v>#DIV/0!</v>
      </c>
    </row>
    <row r="345" spans="2:16" x14ac:dyDescent="0.2">
      <c r="B345" s="282"/>
      <c r="C345" s="282"/>
      <c r="D345" s="282"/>
      <c r="E345" s="283"/>
      <c r="F345" s="284"/>
      <c r="G345" s="285"/>
      <c r="H345" s="285"/>
      <c r="I345" s="286"/>
      <c r="J345" s="286"/>
      <c r="K345" s="286"/>
      <c r="L345" s="286"/>
      <c r="M345" s="286"/>
      <c r="N345" s="286"/>
      <c r="O345" s="287">
        <f t="shared" si="5"/>
        <v>0</v>
      </c>
      <c r="P345" s="288" t="e">
        <f t="array" ref="P345">SUM(J345:K345/G345*100)</f>
        <v>#DIV/0!</v>
      </c>
    </row>
    <row r="346" spans="2:16" x14ac:dyDescent="0.2">
      <c r="B346" s="282"/>
      <c r="C346" s="282"/>
      <c r="D346" s="282"/>
      <c r="E346" s="283"/>
      <c r="F346" s="284"/>
      <c r="G346" s="285"/>
      <c r="H346" s="285"/>
      <c r="I346" s="286"/>
      <c r="J346" s="286"/>
      <c r="K346" s="286"/>
      <c r="L346" s="286"/>
      <c r="M346" s="286"/>
      <c r="N346" s="286"/>
      <c r="O346" s="287">
        <f t="shared" si="5"/>
        <v>0</v>
      </c>
      <c r="P346" s="288" t="e">
        <f t="array" ref="P346">SUM(J346:K346/G346*100)</f>
        <v>#DIV/0!</v>
      </c>
    </row>
    <row r="347" spans="2:16" x14ac:dyDescent="0.2">
      <c r="B347" s="282"/>
      <c r="C347" s="282"/>
      <c r="D347" s="282"/>
      <c r="E347" s="283"/>
      <c r="F347" s="284"/>
      <c r="G347" s="285"/>
      <c r="H347" s="285"/>
      <c r="I347" s="286"/>
      <c r="J347" s="286"/>
      <c r="K347" s="286"/>
      <c r="L347" s="286"/>
      <c r="M347" s="286"/>
      <c r="N347" s="286"/>
      <c r="O347" s="287">
        <f t="shared" si="5"/>
        <v>0</v>
      </c>
      <c r="P347" s="288" t="e">
        <f t="array" ref="P347">SUM(J347:K347/G347*100)</f>
        <v>#DIV/0!</v>
      </c>
    </row>
    <row r="348" spans="2:16" x14ac:dyDescent="0.2">
      <c r="B348" s="282"/>
      <c r="C348" s="282"/>
      <c r="D348" s="282"/>
      <c r="E348" s="283"/>
      <c r="F348" s="284"/>
      <c r="G348" s="285"/>
      <c r="H348" s="285"/>
      <c r="I348" s="286"/>
      <c r="J348" s="286"/>
      <c r="K348" s="286"/>
      <c r="L348" s="286"/>
      <c r="M348" s="286"/>
      <c r="N348" s="286"/>
      <c r="O348" s="287">
        <f t="shared" si="5"/>
        <v>0</v>
      </c>
      <c r="P348" s="288" t="e">
        <f t="array" ref="P348">SUM(J348:K348/G348*100)</f>
        <v>#DIV/0!</v>
      </c>
    </row>
    <row r="349" spans="2:16" x14ac:dyDescent="0.2">
      <c r="B349" s="282"/>
      <c r="C349" s="282"/>
      <c r="D349" s="282"/>
      <c r="E349" s="283"/>
      <c r="F349" s="284"/>
      <c r="G349" s="285"/>
      <c r="H349" s="285"/>
      <c r="I349" s="286"/>
      <c r="J349" s="286"/>
      <c r="K349" s="286"/>
      <c r="L349" s="286"/>
      <c r="M349" s="286"/>
      <c r="N349" s="286"/>
      <c r="O349" s="287">
        <f t="shared" si="5"/>
        <v>0</v>
      </c>
      <c r="P349" s="288" t="e">
        <f t="array" ref="P349">SUM(J349:K349/G349*100)</f>
        <v>#DIV/0!</v>
      </c>
    </row>
    <row r="350" spans="2:16" x14ac:dyDescent="0.2">
      <c r="B350" s="282"/>
      <c r="C350" s="282"/>
      <c r="D350" s="282"/>
      <c r="E350" s="283"/>
      <c r="F350" s="284"/>
      <c r="G350" s="285"/>
      <c r="H350" s="285"/>
      <c r="I350" s="286"/>
      <c r="J350" s="286"/>
      <c r="K350" s="286"/>
      <c r="L350" s="286"/>
      <c r="M350" s="286"/>
      <c r="N350" s="286"/>
      <c r="O350" s="287">
        <f t="shared" si="5"/>
        <v>0</v>
      </c>
      <c r="P350" s="288" t="e">
        <f t="array" ref="P350">SUM(J350:K350/G350*100)</f>
        <v>#DIV/0!</v>
      </c>
    </row>
    <row r="351" spans="2:16" x14ac:dyDescent="0.2">
      <c r="B351" s="282"/>
      <c r="C351" s="282"/>
      <c r="D351" s="282"/>
      <c r="E351" s="283"/>
      <c r="F351" s="284"/>
      <c r="G351" s="285"/>
      <c r="H351" s="285"/>
      <c r="I351" s="286"/>
      <c r="J351" s="286"/>
      <c r="K351" s="286"/>
      <c r="L351" s="286"/>
      <c r="M351" s="286"/>
      <c r="N351" s="286"/>
      <c r="O351" s="287">
        <f t="shared" si="5"/>
        <v>0</v>
      </c>
      <c r="P351" s="288" t="e">
        <f t="array" ref="P351">SUM(J351:K351/G351*100)</f>
        <v>#DIV/0!</v>
      </c>
    </row>
    <row r="352" spans="2:16" x14ac:dyDescent="0.2">
      <c r="B352" s="282"/>
      <c r="C352" s="282"/>
      <c r="D352" s="282"/>
      <c r="E352" s="283"/>
      <c r="F352" s="284"/>
      <c r="G352" s="285"/>
      <c r="H352" s="285"/>
      <c r="I352" s="286"/>
      <c r="J352" s="286"/>
      <c r="K352" s="286"/>
      <c r="L352" s="286"/>
      <c r="M352" s="286"/>
      <c r="N352" s="286"/>
      <c r="O352" s="287">
        <f t="shared" si="5"/>
        <v>0</v>
      </c>
      <c r="P352" s="288" t="e">
        <f t="array" ref="P352">SUM(J352:K352/G352*100)</f>
        <v>#DIV/0!</v>
      </c>
    </row>
    <row r="353" spans="2:16" x14ac:dyDescent="0.2">
      <c r="B353" s="282"/>
      <c r="C353" s="282"/>
      <c r="D353" s="282"/>
      <c r="E353" s="283"/>
      <c r="F353" s="284"/>
      <c r="G353" s="285"/>
      <c r="H353" s="285"/>
      <c r="I353" s="286"/>
      <c r="J353" s="286"/>
      <c r="K353" s="286"/>
      <c r="L353" s="286"/>
      <c r="M353" s="286"/>
      <c r="N353" s="286"/>
      <c r="O353" s="287">
        <f t="shared" si="5"/>
        <v>0</v>
      </c>
      <c r="P353" s="288" t="e">
        <f t="array" ref="P353">SUM(J353:K353/G353*100)</f>
        <v>#DIV/0!</v>
      </c>
    </row>
    <row r="354" spans="2:16" x14ac:dyDescent="0.2">
      <c r="B354" s="282"/>
      <c r="C354" s="282"/>
      <c r="D354" s="282"/>
      <c r="E354" s="283"/>
      <c r="F354" s="284"/>
      <c r="G354" s="285"/>
      <c r="H354" s="285"/>
      <c r="I354" s="286"/>
      <c r="J354" s="286"/>
      <c r="K354" s="286"/>
      <c r="L354" s="286"/>
      <c r="M354" s="286"/>
      <c r="N354" s="286"/>
      <c r="O354" s="287">
        <f t="shared" si="5"/>
        <v>0</v>
      </c>
      <c r="P354" s="288" t="e">
        <f t="array" ref="P354">SUM(J354:K354/G354*100)</f>
        <v>#DIV/0!</v>
      </c>
    </row>
    <row r="355" spans="2:16" x14ac:dyDescent="0.2">
      <c r="B355" s="282"/>
      <c r="C355" s="282"/>
      <c r="D355" s="282"/>
      <c r="E355" s="283"/>
      <c r="F355" s="284"/>
      <c r="G355" s="285"/>
      <c r="H355" s="285"/>
      <c r="I355" s="286"/>
      <c r="J355" s="286"/>
      <c r="K355" s="286"/>
      <c r="L355" s="286"/>
      <c r="M355" s="286"/>
      <c r="N355" s="286"/>
      <c r="O355" s="287">
        <f t="shared" si="5"/>
        <v>0</v>
      </c>
      <c r="P355" s="288" t="e">
        <f t="array" ref="P355">SUM(J355:K355/G355*100)</f>
        <v>#DIV/0!</v>
      </c>
    </row>
    <row r="356" spans="2:16" x14ac:dyDescent="0.2">
      <c r="B356" s="282"/>
      <c r="C356" s="282"/>
      <c r="D356" s="282"/>
      <c r="E356" s="283"/>
      <c r="F356" s="284"/>
      <c r="G356" s="285"/>
      <c r="H356" s="285"/>
      <c r="I356" s="286"/>
      <c r="J356" s="286"/>
      <c r="K356" s="286"/>
      <c r="L356" s="286"/>
      <c r="M356" s="286"/>
      <c r="N356" s="286"/>
      <c r="O356" s="287">
        <f t="shared" si="5"/>
        <v>0</v>
      </c>
      <c r="P356" s="288" t="e">
        <f t="array" ref="P356">SUM(J356:K356/G356*100)</f>
        <v>#DIV/0!</v>
      </c>
    </row>
    <row r="357" spans="2:16" x14ac:dyDescent="0.2">
      <c r="B357" s="282"/>
      <c r="C357" s="282"/>
      <c r="D357" s="282"/>
      <c r="E357" s="283"/>
      <c r="F357" s="284"/>
      <c r="G357" s="285"/>
      <c r="H357" s="285"/>
      <c r="I357" s="286"/>
      <c r="J357" s="286"/>
      <c r="K357" s="286"/>
      <c r="L357" s="286"/>
      <c r="M357" s="286"/>
      <c r="N357" s="286"/>
      <c r="O357" s="287">
        <f t="shared" si="5"/>
        <v>0</v>
      </c>
      <c r="P357" s="288" t="e">
        <f t="array" ref="P357">SUM(J357:K357/G357*100)</f>
        <v>#DIV/0!</v>
      </c>
    </row>
    <row r="358" spans="2:16" x14ac:dyDescent="0.2">
      <c r="B358" s="282"/>
      <c r="C358" s="282"/>
      <c r="D358" s="282"/>
      <c r="E358" s="283"/>
      <c r="F358" s="284"/>
      <c r="G358" s="285"/>
      <c r="H358" s="285"/>
      <c r="I358" s="286"/>
      <c r="J358" s="286"/>
      <c r="K358" s="286"/>
      <c r="L358" s="286"/>
      <c r="M358" s="286"/>
      <c r="N358" s="286"/>
      <c r="O358" s="287">
        <f t="shared" si="5"/>
        <v>0</v>
      </c>
      <c r="P358" s="288" t="e">
        <f t="array" ref="P358">SUM(J358:K358/G358*100)</f>
        <v>#DIV/0!</v>
      </c>
    </row>
    <row r="359" spans="2:16" x14ac:dyDescent="0.2">
      <c r="B359" s="282"/>
      <c r="C359" s="282"/>
      <c r="D359" s="282"/>
      <c r="E359" s="283"/>
      <c r="F359" s="284"/>
      <c r="G359" s="285"/>
      <c r="H359" s="285"/>
      <c r="I359" s="286"/>
      <c r="J359" s="286"/>
      <c r="K359" s="286"/>
      <c r="L359" s="286"/>
      <c r="M359" s="286"/>
      <c r="N359" s="286"/>
      <c r="O359" s="287">
        <f t="shared" si="5"/>
        <v>0</v>
      </c>
      <c r="P359" s="288" t="e">
        <f t="array" ref="P359">SUM(J359:K359/G359*100)</f>
        <v>#DIV/0!</v>
      </c>
    </row>
    <row r="360" spans="2:16" x14ac:dyDescent="0.2">
      <c r="B360" s="282"/>
      <c r="C360" s="282"/>
      <c r="D360" s="282"/>
      <c r="E360" s="283"/>
      <c r="F360" s="284"/>
      <c r="G360" s="285"/>
      <c r="H360" s="285"/>
      <c r="I360" s="286"/>
      <c r="J360" s="286"/>
      <c r="K360" s="286"/>
      <c r="L360" s="286"/>
      <c r="M360" s="286"/>
      <c r="N360" s="286"/>
      <c r="O360" s="287">
        <f t="shared" si="5"/>
        <v>0</v>
      </c>
      <c r="P360" s="288" t="e">
        <f t="array" ref="P360">SUM(J360:K360/G360*100)</f>
        <v>#DIV/0!</v>
      </c>
    </row>
    <row r="361" spans="2:16" x14ac:dyDescent="0.2">
      <c r="B361" s="282"/>
      <c r="C361" s="282"/>
      <c r="D361" s="282"/>
      <c r="E361" s="283"/>
      <c r="F361" s="284"/>
      <c r="G361" s="285"/>
      <c r="H361" s="285"/>
      <c r="I361" s="286"/>
      <c r="J361" s="286"/>
      <c r="K361" s="286"/>
      <c r="L361" s="286"/>
      <c r="M361" s="286"/>
      <c r="N361" s="286"/>
      <c r="O361" s="287">
        <f t="shared" si="5"/>
        <v>0</v>
      </c>
      <c r="P361" s="288" t="e">
        <f t="array" ref="P361">SUM(J361:K361/G361*100)</f>
        <v>#DIV/0!</v>
      </c>
    </row>
    <row r="362" spans="2:16" x14ac:dyDescent="0.2">
      <c r="B362" s="282"/>
      <c r="C362" s="282"/>
      <c r="D362" s="282"/>
      <c r="E362" s="283"/>
      <c r="F362" s="284"/>
      <c r="G362" s="285"/>
      <c r="H362" s="285"/>
      <c r="I362" s="286"/>
      <c r="J362" s="286"/>
      <c r="K362" s="286"/>
      <c r="L362" s="286"/>
      <c r="M362" s="286"/>
      <c r="N362" s="286"/>
      <c r="O362" s="287">
        <f t="shared" si="5"/>
        <v>0</v>
      </c>
      <c r="P362" s="288" t="e">
        <f t="array" ref="P362">SUM(J362:K362/G362*100)</f>
        <v>#DIV/0!</v>
      </c>
    </row>
    <row r="363" spans="2:16" x14ac:dyDescent="0.2">
      <c r="B363" s="282"/>
      <c r="C363" s="282"/>
      <c r="D363" s="282"/>
      <c r="E363" s="283"/>
      <c r="F363" s="284"/>
      <c r="G363" s="285"/>
      <c r="H363" s="285"/>
      <c r="I363" s="286"/>
      <c r="J363" s="286"/>
      <c r="K363" s="286"/>
      <c r="L363" s="286"/>
      <c r="M363" s="286"/>
      <c r="N363" s="286"/>
      <c r="O363" s="287">
        <f t="shared" si="5"/>
        <v>0</v>
      </c>
      <c r="P363" s="288" t="e">
        <f t="array" ref="P363">SUM(J363:K363/G363*100)</f>
        <v>#DIV/0!</v>
      </c>
    </row>
    <row r="364" spans="2:16" x14ac:dyDescent="0.2">
      <c r="B364" s="291"/>
      <c r="C364" s="291"/>
      <c r="D364" s="291"/>
      <c r="E364" s="291"/>
      <c r="F364" s="292"/>
      <c r="G364" s="293"/>
      <c r="H364" s="293"/>
      <c r="I364" s="294"/>
      <c r="J364" s="294"/>
      <c r="K364" s="294"/>
      <c r="L364" s="294"/>
      <c r="M364" s="294"/>
      <c r="N364" s="294"/>
      <c r="O364" s="294"/>
    </row>
    <row r="365" spans="2:16" x14ac:dyDescent="0.2">
      <c r="B365" s="295" t="s">
        <v>562</v>
      </c>
      <c r="C365" s="296">
        <v>1</v>
      </c>
      <c r="D365" s="297"/>
      <c r="E365" s="297"/>
      <c r="F365" s="298">
        <f t="shared" ref="F365:G372" si="6">IFERROR(SUMIF($C$7:$C$363,$C365,F$7:F$363),0)</f>
        <v>2.6</v>
      </c>
      <c r="G365" s="299">
        <f t="shared" si="6"/>
        <v>339</v>
      </c>
      <c r="H365" s="299">
        <f t="shared" ref="H365:H373" si="7">IFERROR(G365/F365,0)</f>
        <v>130.38461538461539</v>
      </c>
      <c r="I365" s="299">
        <f t="shared" ref="I365:I372" si="8">IFERROR(SUMIF($C$7:$C$363,$C365,I$7:I$363),0)</f>
        <v>0</v>
      </c>
      <c r="J365" s="299"/>
      <c r="K365" s="299"/>
      <c r="L365" s="299">
        <f t="shared" ref="L365:L372" si="9">IFERROR(SUMIF($C$7:$C$363,$C365,L$7:L$363),0)</f>
        <v>0</v>
      </c>
      <c r="M365" s="299"/>
      <c r="N365" s="299"/>
      <c r="O365" s="299">
        <f t="shared" ref="O365:P372" si="10">IFERROR(SUMIF($C$7:$C$363,$C365,O$7:O$363),0)</f>
        <v>0</v>
      </c>
      <c r="P365" s="299">
        <f t="shared" si="10"/>
        <v>0</v>
      </c>
    </row>
    <row r="366" spans="2:16" x14ac:dyDescent="0.2">
      <c r="B366" s="295" t="s">
        <v>562</v>
      </c>
      <c r="C366" s="296">
        <v>2</v>
      </c>
      <c r="D366" s="297"/>
      <c r="E366" s="297"/>
      <c r="F366" s="298">
        <f t="shared" si="6"/>
        <v>0</v>
      </c>
      <c r="G366" s="299">
        <f t="shared" si="6"/>
        <v>0</v>
      </c>
      <c r="H366" s="299">
        <f t="shared" si="7"/>
        <v>0</v>
      </c>
      <c r="I366" s="299">
        <f t="shared" si="8"/>
        <v>0</v>
      </c>
      <c r="J366" s="299"/>
      <c r="K366" s="299"/>
      <c r="L366" s="299">
        <f t="shared" si="9"/>
        <v>0</v>
      </c>
      <c r="M366" s="299"/>
      <c r="N366" s="299"/>
      <c r="O366" s="299">
        <f t="shared" si="10"/>
        <v>0</v>
      </c>
      <c r="P366" s="299">
        <f t="shared" si="10"/>
        <v>0</v>
      </c>
    </row>
    <row r="367" spans="2:16" x14ac:dyDescent="0.2">
      <c r="B367" s="295" t="s">
        <v>562</v>
      </c>
      <c r="C367" s="296">
        <v>3</v>
      </c>
      <c r="D367" s="297"/>
      <c r="E367" s="297"/>
      <c r="F367" s="298">
        <f t="shared" si="6"/>
        <v>0</v>
      </c>
      <c r="G367" s="299">
        <f t="shared" si="6"/>
        <v>0</v>
      </c>
      <c r="H367" s="299">
        <f t="shared" si="7"/>
        <v>0</v>
      </c>
      <c r="I367" s="299">
        <f t="shared" si="8"/>
        <v>0</v>
      </c>
      <c r="J367" s="299"/>
      <c r="K367" s="299"/>
      <c r="L367" s="299">
        <f t="shared" si="9"/>
        <v>0</v>
      </c>
      <c r="M367" s="299"/>
      <c r="N367" s="299"/>
      <c r="O367" s="299">
        <f t="shared" si="10"/>
        <v>0</v>
      </c>
      <c r="P367" s="299">
        <f t="shared" si="10"/>
        <v>0</v>
      </c>
    </row>
    <row r="368" spans="2:16" x14ac:dyDescent="0.2">
      <c r="B368" s="295" t="s">
        <v>562</v>
      </c>
      <c r="C368" s="296">
        <v>4</v>
      </c>
      <c r="D368" s="297"/>
      <c r="E368" s="297"/>
      <c r="F368" s="298">
        <f t="shared" si="6"/>
        <v>0</v>
      </c>
      <c r="G368" s="299">
        <f t="shared" si="6"/>
        <v>0</v>
      </c>
      <c r="H368" s="299">
        <f t="shared" si="7"/>
        <v>0</v>
      </c>
      <c r="I368" s="299">
        <f t="shared" si="8"/>
        <v>0</v>
      </c>
      <c r="J368" s="299"/>
      <c r="K368" s="299"/>
      <c r="L368" s="299">
        <f t="shared" si="9"/>
        <v>0</v>
      </c>
      <c r="M368" s="299"/>
      <c r="N368" s="299"/>
      <c r="O368" s="299">
        <f t="shared" si="10"/>
        <v>0</v>
      </c>
      <c r="P368" s="299">
        <f t="shared" si="10"/>
        <v>0</v>
      </c>
    </row>
    <row r="369" spans="2:16" x14ac:dyDescent="0.2">
      <c r="B369" s="295" t="s">
        <v>562</v>
      </c>
      <c r="C369" s="296">
        <v>5</v>
      </c>
      <c r="D369" s="297"/>
      <c r="E369" s="297"/>
      <c r="F369" s="298">
        <f t="shared" si="6"/>
        <v>0</v>
      </c>
      <c r="G369" s="299">
        <f t="shared" si="6"/>
        <v>0</v>
      </c>
      <c r="H369" s="299">
        <f t="shared" si="7"/>
        <v>0</v>
      </c>
      <c r="I369" s="299">
        <f t="shared" si="8"/>
        <v>0</v>
      </c>
      <c r="J369" s="299"/>
      <c r="K369" s="299"/>
      <c r="L369" s="299">
        <f t="shared" si="9"/>
        <v>0</v>
      </c>
      <c r="M369" s="299"/>
      <c r="N369" s="299"/>
      <c r="O369" s="299">
        <f t="shared" si="10"/>
        <v>0</v>
      </c>
      <c r="P369" s="299">
        <f t="shared" si="10"/>
        <v>0</v>
      </c>
    </row>
    <row r="370" spans="2:16" x14ac:dyDescent="0.2">
      <c r="B370" s="295" t="s">
        <v>562</v>
      </c>
      <c r="C370" s="296">
        <v>6</v>
      </c>
      <c r="D370" s="297"/>
      <c r="E370" s="297"/>
      <c r="F370" s="298">
        <f t="shared" si="6"/>
        <v>0</v>
      </c>
      <c r="G370" s="299">
        <f t="shared" si="6"/>
        <v>0</v>
      </c>
      <c r="H370" s="299">
        <f t="shared" si="7"/>
        <v>0</v>
      </c>
      <c r="I370" s="299">
        <f t="shared" si="8"/>
        <v>0</v>
      </c>
      <c r="J370" s="299"/>
      <c r="K370" s="299"/>
      <c r="L370" s="299">
        <f t="shared" si="9"/>
        <v>0</v>
      </c>
      <c r="M370" s="299"/>
      <c r="N370" s="299"/>
      <c r="O370" s="299">
        <f t="shared" si="10"/>
        <v>0</v>
      </c>
      <c r="P370" s="299">
        <f t="shared" si="10"/>
        <v>0</v>
      </c>
    </row>
    <row r="371" spans="2:16" x14ac:dyDescent="0.2">
      <c r="B371" s="295" t="s">
        <v>562</v>
      </c>
      <c r="C371" s="296">
        <v>7</v>
      </c>
      <c r="D371" s="297"/>
      <c r="E371" s="297"/>
      <c r="F371" s="298">
        <f t="shared" si="6"/>
        <v>0</v>
      </c>
      <c r="G371" s="299">
        <f t="shared" si="6"/>
        <v>0</v>
      </c>
      <c r="H371" s="299">
        <f t="shared" si="7"/>
        <v>0</v>
      </c>
      <c r="I371" s="299">
        <f t="shared" si="8"/>
        <v>0</v>
      </c>
      <c r="J371" s="299"/>
      <c r="K371" s="299"/>
      <c r="L371" s="299">
        <f t="shared" si="9"/>
        <v>0</v>
      </c>
      <c r="M371" s="299"/>
      <c r="N371" s="299"/>
      <c r="O371" s="299">
        <f t="shared" si="10"/>
        <v>0</v>
      </c>
      <c r="P371" s="299">
        <f t="shared" si="10"/>
        <v>0</v>
      </c>
    </row>
    <row r="372" spans="2:16" x14ac:dyDescent="0.2">
      <c r="B372" s="295" t="s">
        <v>562</v>
      </c>
      <c r="C372" s="296">
        <v>8</v>
      </c>
      <c r="D372" s="297"/>
      <c r="E372" s="297"/>
      <c r="F372" s="298">
        <f t="shared" si="6"/>
        <v>0</v>
      </c>
      <c r="G372" s="299">
        <f t="shared" si="6"/>
        <v>0</v>
      </c>
      <c r="H372" s="299">
        <f t="shared" si="7"/>
        <v>0</v>
      </c>
      <c r="I372" s="299">
        <f t="shared" si="8"/>
        <v>0</v>
      </c>
      <c r="J372" s="299"/>
      <c r="K372" s="299"/>
      <c r="L372" s="299">
        <f t="shared" si="9"/>
        <v>0</v>
      </c>
      <c r="M372" s="299"/>
      <c r="N372" s="299"/>
      <c r="O372" s="299">
        <f t="shared" si="10"/>
        <v>0</v>
      </c>
      <c r="P372" s="299">
        <f t="shared" si="10"/>
        <v>0</v>
      </c>
    </row>
    <row r="373" spans="2:16" x14ac:dyDescent="0.2">
      <c r="B373" s="295"/>
      <c r="C373" s="295" t="s">
        <v>577</v>
      </c>
      <c r="D373" s="300"/>
      <c r="E373" s="300"/>
      <c r="F373" s="301">
        <f>SUM(F365:F372)</f>
        <v>2.6</v>
      </c>
      <c r="G373" s="302">
        <f>SUM(G365:G372)</f>
        <v>339</v>
      </c>
      <c r="H373" s="302">
        <f t="shared" si="7"/>
        <v>130.38461538461539</v>
      </c>
      <c r="I373" s="302">
        <f>SUM(I365:I372)</f>
        <v>0</v>
      </c>
      <c r="J373" s="302"/>
      <c r="K373" s="302"/>
      <c r="L373" s="302">
        <f>SUM(L365:L372)</f>
        <v>0</v>
      </c>
      <c r="M373" s="302"/>
      <c r="N373" s="302"/>
      <c r="O373" s="302">
        <f>SUM(O365:O372)</f>
        <v>0</v>
      </c>
      <c r="P373" s="302">
        <f>SUM(P365:P372)</f>
        <v>0</v>
      </c>
    </row>
    <row r="374" spans="2:16" x14ac:dyDescent="0.2">
      <c r="C374" s="303"/>
    </row>
    <row r="375" spans="2:16" x14ac:dyDescent="0.2">
      <c r="C375" s="303"/>
    </row>
    <row r="376" spans="2:16" x14ac:dyDescent="0.2">
      <c r="C376" s="303"/>
    </row>
    <row r="377" spans="2:16" x14ac:dyDescent="0.2">
      <c r="C377" s="303"/>
    </row>
    <row r="378" spans="2:16" x14ac:dyDescent="0.2">
      <c r="C378" s="303"/>
    </row>
    <row r="379" spans="2:16" x14ac:dyDescent="0.2">
      <c r="C379" s="303"/>
    </row>
    <row r="380" spans="2:16" x14ac:dyDescent="0.2">
      <c r="C380" s="303"/>
    </row>
    <row r="381" spans="2:16" x14ac:dyDescent="0.2">
      <c r="C381" s="303"/>
    </row>
    <row r="382" spans="2:16" x14ac:dyDescent="0.2">
      <c r="C382" s="303"/>
    </row>
    <row r="383" spans="2:16" x14ac:dyDescent="0.2">
      <c r="C383" s="303"/>
    </row>
    <row r="384" spans="2:16" x14ac:dyDescent="0.2">
      <c r="C384" s="303"/>
    </row>
    <row r="385" spans="3:3" x14ac:dyDescent="0.2">
      <c r="C385" s="303"/>
    </row>
    <row r="386" spans="3:3" x14ac:dyDescent="0.2">
      <c r="C386" s="303"/>
    </row>
    <row r="387" spans="3:3" x14ac:dyDescent="0.2">
      <c r="C387" s="303"/>
    </row>
    <row r="388" spans="3:3" x14ac:dyDescent="0.2">
      <c r="C388" s="303"/>
    </row>
    <row r="389" spans="3:3" x14ac:dyDescent="0.2">
      <c r="C389" s="303"/>
    </row>
    <row r="390" spans="3:3" x14ac:dyDescent="0.2">
      <c r="C390" s="303"/>
    </row>
    <row r="391" spans="3:3" x14ac:dyDescent="0.2">
      <c r="C391" s="303"/>
    </row>
    <row r="392" spans="3:3" x14ac:dyDescent="0.2">
      <c r="C392" s="303"/>
    </row>
    <row r="393" spans="3:3" x14ac:dyDescent="0.2">
      <c r="C393" s="303"/>
    </row>
    <row r="394" spans="3:3" x14ac:dyDescent="0.2">
      <c r="C394" s="303"/>
    </row>
    <row r="395" spans="3:3" x14ac:dyDescent="0.2">
      <c r="C395" s="303"/>
    </row>
    <row r="396" spans="3:3" x14ac:dyDescent="0.2">
      <c r="C396" s="303"/>
    </row>
    <row r="397" spans="3:3" x14ac:dyDescent="0.2">
      <c r="C397" s="303"/>
    </row>
    <row r="398" spans="3:3" x14ac:dyDescent="0.2">
      <c r="C398" s="303"/>
    </row>
    <row r="399" spans="3:3" x14ac:dyDescent="0.2">
      <c r="C399" s="303"/>
    </row>
    <row r="400" spans="3:3" x14ac:dyDescent="0.2">
      <c r="C400" s="303"/>
    </row>
    <row r="401" spans="3:3" x14ac:dyDescent="0.2">
      <c r="C401" s="303"/>
    </row>
    <row r="402" spans="3:3" x14ac:dyDescent="0.2">
      <c r="C402" s="303"/>
    </row>
    <row r="403" spans="3:3" x14ac:dyDescent="0.2">
      <c r="C403" s="303"/>
    </row>
    <row r="404" spans="3:3" x14ac:dyDescent="0.2">
      <c r="C404" s="303"/>
    </row>
    <row r="405" spans="3:3" x14ac:dyDescent="0.2">
      <c r="C405" s="303"/>
    </row>
    <row r="406" spans="3:3" x14ac:dyDescent="0.2">
      <c r="C406" s="303"/>
    </row>
    <row r="407" spans="3:3" x14ac:dyDescent="0.2">
      <c r="C407" s="303"/>
    </row>
    <row r="408" spans="3:3" x14ac:dyDescent="0.2">
      <c r="C408" s="303"/>
    </row>
    <row r="409" spans="3:3" x14ac:dyDescent="0.2">
      <c r="C409" s="303"/>
    </row>
    <row r="410" spans="3:3" x14ac:dyDescent="0.2">
      <c r="C410" s="303"/>
    </row>
    <row r="411" spans="3:3" x14ac:dyDescent="0.2">
      <c r="C411" s="303"/>
    </row>
    <row r="412" spans="3:3" x14ac:dyDescent="0.2">
      <c r="C412" s="303"/>
    </row>
    <row r="413" spans="3:3" x14ac:dyDescent="0.2">
      <c r="C413" s="303"/>
    </row>
    <row r="414" spans="3:3" x14ac:dyDescent="0.2">
      <c r="C414" s="303"/>
    </row>
    <row r="415" spans="3:3" x14ac:dyDescent="0.2">
      <c r="C415" s="303"/>
    </row>
    <row r="416" spans="3:3" x14ac:dyDescent="0.2">
      <c r="C416" s="303"/>
    </row>
    <row r="417" spans="3:3" x14ac:dyDescent="0.2">
      <c r="C417" s="303"/>
    </row>
    <row r="418" spans="3:3" x14ac:dyDescent="0.2">
      <c r="C418" s="303"/>
    </row>
    <row r="419" spans="3:3" x14ac:dyDescent="0.2">
      <c r="C419" s="303"/>
    </row>
    <row r="420" spans="3:3" x14ac:dyDescent="0.2">
      <c r="C420" s="303"/>
    </row>
    <row r="421" spans="3:3" x14ac:dyDescent="0.2">
      <c r="C421" s="303"/>
    </row>
    <row r="422" spans="3:3" x14ac:dyDescent="0.2">
      <c r="C422" s="303"/>
    </row>
    <row r="423" spans="3:3" x14ac:dyDescent="0.2">
      <c r="C423" s="303"/>
    </row>
    <row r="424" spans="3:3" x14ac:dyDescent="0.2">
      <c r="C424" s="303"/>
    </row>
    <row r="425" spans="3:3" x14ac:dyDescent="0.2">
      <c r="C425" s="303"/>
    </row>
    <row r="426" spans="3:3" x14ac:dyDescent="0.2">
      <c r="C426" s="303"/>
    </row>
    <row r="427" spans="3:3" x14ac:dyDescent="0.2">
      <c r="C427" s="303"/>
    </row>
    <row r="428" spans="3:3" x14ac:dyDescent="0.2">
      <c r="C428" s="303"/>
    </row>
    <row r="429" spans="3:3" x14ac:dyDescent="0.2">
      <c r="C429" s="303"/>
    </row>
    <row r="430" spans="3:3" x14ac:dyDescent="0.2">
      <c r="C430" s="303"/>
    </row>
    <row r="431" spans="3:3" x14ac:dyDescent="0.2">
      <c r="C431" s="303"/>
    </row>
    <row r="432" spans="3:3" x14ac:dyDescent="0.2">
      <c r="C432" s="303"/>
    </row>
    <row r="433" spans="3:3" x14ac:dyDescent="0.2">
      <c r="C433" s="303"/>
    </row>
    <row r="434" spans="3:3" x14ac:dyDescent="0.2">
      <c r="C434" s="303"/>
    </row>
    <row r="435" spans="3:3" x14ac:dyDescent="0.2">
      <c r="C435" s="303"/>
    </row>
    <row r="436" spans="3:3" x14ac:dyDescent="0.2">
      <c r="C436" s="303"/>
    </row>
    <row r="437" spans="3:3" x14ac:dyDescent="0.2">
      <c r="C437" s="303"/>
    </row>
    <row r="438" spans="3:3" x14ac:dyDescent="0.2">
      <c r="C438" s="303"/>
    </row>
    <row r="439" spans="3:3" x14ac:dyDescent="0.2">
      <c r="C439" s="303"/>
    </row>
    <row r="440" spans="3:3" x14ac:dyDescent="0.2">
      <c r="C440" s="303"/>
    </row>
    <row r="441" spans="3:3" x14ac:dyDescent="0.2">
      <c r="C441" s="303"/>
    </row>
    <row r="442" spans="3:3" x14ac:dyDescent="0.2">
      <c r="C442" s="303"/>
    </row>
    <row r="443" spans="3:3" x14ac:dyDescent="0.2">
      <c r="C443" s="303"/>
    </row>
    <row r="444" spans="3:3" x14ac:dyDescent="0.2">
      <c r="C444" s="303"/>
    </row>
    <row r="445" spans="3:3" x14ac:dyDescent="0.2">
      <c r="C445" s="303"/>
    </row>
    <row r="446" spans="3:3" x14ac:dyDescent="0.2">
      <c r="C446" s="303"/>
    </row>
    <row r="447" spans="3:3" x14ac:dyDescent="0.2">
      <c r="C447" s="303"/>
    </row>
    <row r="448" spans="3:3" x14ac:dyDescent="0.2">
      <c r="C448" s="303"/>
    </row>
    <row r="449" spans="3:3" x14ac:dyDescent="0.2">
      <c r="C449" s="303"/>
    </row>
    <row r="450" spans="3:3" x14ac:dyDescent="0.2">
      <c r="C450" s="303"/>
    </row>
    <row r="451" spans="3:3" x14ac:dyDescent="0.2">
      <c r="C451" s="303"/>
    </row>
    <row r="452" spans="3:3" x14ac:dyDescent="0.2">
      <c r="C452" s="303"/>
    </row>
    <row r="453" spans="3:3" x14ac:dyDescent="0.2">
      <c r="C453" s="303"/>
    </row>
    <row r="454" spans="3:3" x14ac:dyDescent="0.2">
      <c r="C454" s="303"/>
    </row>
    <row r="455" spans="3:3" x14ac:dyDescent="0.2">
      <c r="C455" s="303"/>
    </row>
    <row r="456" spans="3:3" x14ac:dyDescent="0.2">
      <c r="C456" s="303"/>
    </row>
    <row r="457" spans="3:3" x14ac:dyDescent="0.2">
      <c r="C457" s="303"/>
    </row>
    <row r="458" spans="3:3" x14ac:dyDescent="0.2">
      <c r="C458" s="303"/>
    </row>
    <row r="459" spans="3:3" x14ac:dyDescent="0.2">
      <c r="C459" s="303"/>
    </row>
    <row r="460" spans="3:3" x14ac:dyDescent="0.2">
      <c r="C460" s="303"/>
    </row>
    <row r="461" spans="3:3" x14ac:dyDescent="0.2">
      <c r="C461" s="303"/>
    </row>
    <row r="462" spans="3:3" x14ac:dyDescent="0.2">
      <c r="C462" s="303"/>
    </row>
    <row r="463" spans="3:3" x14ac:dyDescent="0.2">
      <c r="C463" s="303"/>
    </row>
    <row r="464" spans="3:3" x14ac:dyDescent="0.2">
      <c r="C464" s="303"/>
    </row>
    <row r="465" spans="3:3" x14ac:dyDescent="0.2">
      <c r="C465" s="303"/>
    </row>
    <row r="466" spans="3:3" x14ac:dyDescent="0.2">
      <c r="C466" s="303"/>
    </row>
    <row r="467" spans="3:3" x14ac:dyDescent="0.2">
      <c r="C467" s="303"/>
    </row>
    <row r="468" spans="3:3" x14ac:dyDescent="0.2">
      <c r="C468" s="303"/>
    </row>
    <row r="469" spans="3:3" x14ac:dyDescent="0.2">
      <c r="C469" s="303"/>
    </row>
    <row r="470" spans="3:3" x14ac:dyDescent="0.2">
      <c r="C470" s="303"/>
    </row>
    <row r="471" spans="3:3" x14ac:dyDescent="0.2">
      <c r="C471" s="303"/>
    </row>
    <row r="472" spans="3:3" x14ac:dyDescent="0.2">
      <c r="C472" s="303"/>
    </row>
    <row r="473" spans="3:3" x14ac:dyDescent="0.2">
      <c r="C473" s="303"/>
    </row>
    <row r="474" spans="3:3" x14ac:dyDescent="0.2">
      <c r="C474" s="303"/>
    </row>
    <row r="475" spans="3:3" x14ac:dyDescent="0.2">
      <c r="C475" s="303"/>
    </row>
    <row r="476" spans="3:3" x14ac:dyDescent="0.2">
      <c r="C476" s="303"/>
    </row>
    <row r="477" spans="3:3" x14ac:dyDescent="0.2">
      <c r="C477" s="303"/>
    </row>
    <row r="478" spans="3:3" x14ac:dyDescent="0.2">
      <c r="C478" s="303"/>
    </row>
    <row r="479" spans="3:3" x14ac:dyDescent="0.2">
      <c r="C479" s="303"/>
    </row>
    <row r="480" spans="3:3" x14ac:dyDescent="0.2">
      <c r="C480" s="303"/>
    </row>
    <row r="481" spans="3:3" x14ac:dyDescent="0.2">
      <c r="C481" s="303"/>
    </row>
    <row r="482" spans="3:3" x14ac:dyDescent="0.2">
      <c r="C482" s="303"/>
    </row>
    <row r="483" spans="3:3" x14ac:dyDescent="0.2">
      <c r="C483" s="303"/>
    </row>
    <row r="484" spans="3:3" x14ac:dyDescent="0.2">
      <c r="C484" s="303"/>
    </row>
    <row r="485" spans="3:3" x14ac:dyDescent="0.2">
      <c r="C485" s="303"/>
    </row>
    <row r="486" spans="3:3" x14ac:dyDescent="0.2">
      <c r="C486" s="303"/>
    </row>
    <row r="487" spans="3:3" x14ac:dyDescent="0.2">
      <c r="C487" s="303"/>
    </row>
    <row r="488" spans="3:3" x14ac:dyDescent="0.2">
      <c r="C488" s="303"/>
    </row>
    <row r="489" spans="3:3" x14ac:dyDescent="0.2">
      <c r="C489" s="303"/>
    </row>
    <row r="490" spans="3:3" x14ac:dyDescent="0.2">
      <c r="C490" s="303"/>
    </row>
    <row r="491" spans="3:3" x14ac:dyDescent="0.2">
      <c r="C491" s="303"/>
    </row>
    <row r="492" spans="3:3" x14ac:dyDescent="0.2">
      <c r="C492" s="303"/>
    </row>
    <row r="493" spans="3:3" x14ac:dyDescent="0.2">
      <c r="C493" s="303"/>
    </row>
    <row r="494" spans="3:3" x14ac:dyDescent="0.2">
      <c r="C494" s="303"/>
    </row>
    <row r="495" spans="3:3" x14ac:dyDescent="0.2">
      <c r="C495" s="303"/>
    </row>
    <row r="496" spans="3:3" x14ac:dyDescent="0.2">
      <c r="C496" s="303"/>
    </row>
    <row r="497" spans="3:3" x14ac:dyDescent="0.2">
      <c r="C497" s="303"/>
    </row>
    <row r="498" spans="3:3" x14ac:dyDescent="0.2">
      <c r="C498" s="303"/>
    </row>
    <row r="499" spans="3:3" x14ac:dyDescent="0.2">
      <c r="C499" s="303"/>
    </row>
    <row r="500" spans="3:3" x14ac:dyDescent="0.2">
      <c r="C500" s="303"/>
    </row>
    <row r="501" spans="3:3" x14ac:dyDescent="0.2">
      <c r="C501" s="303"/>
    </row>
    <row r="502" spans="3:3" x14ac:dyDescent="0.2">
      <c r="C502" s="303"/>
    </row>
    <row r="503" spans="3:3" x14ac:dyDescent="0.2">
      <c r="C503" s="303"/>
    </row>
    <row r="504" spans="3:3" x14ac:dyDescent="0.2">
      <c r="C504" s="303"/>
    </row>
    <row r="505" spans="3:3" x14ac:dyDescent="0.2">
      <c r="C505" s="303"/>
    </row>
    <row r="506" spans="3:3" x14ac:dyDescent="0.2">
      <c r="C506" s="303"/>
    </row>
    <row r="507" spans="3:3" x14ac:dyDescent="0.2">
      <c r="C507" s="303"/>
    </row>
    <row r="508" spans="3:3" x14ac:dyDescent="0.2">
      <c r="C508" s="303"/>
    </row>
    <row r="509" spans="3:3" x14ac:dyDescent="0.2">
      <c r="C509" s="303"/>
    </row>
    <row r="510" spans="3:3" x14ac:dyDescent="0.2">
      <c r="C510" s="303"/>
    </row>
    <row r="511" spans="3:3" x14ac:dyDescent="0.2">
      <c r="C511" s="303"/>
    </row>
    <row r="512" spans="3:3" x14ac:dyDescent="0.2">
      <c r="C512" s="303"/>
    </row>
    <row r="513" spans="3:3" x14ac:dyDescent="0.2">
      <c r="C513" s="303"/>
    </row>
    <row r="514" spans="3:3" x14ac:dyDescent="0.2">
      <c r="C514" s="303"/>
    </row>
    <row r="515" spans="3:3" x14ac:dyDescent="0.2">
      <c r="C515" s="303"/>
    </row>
    <row r="516" spans="3:3" x14ac:dyDescent="0.2">
      <c r="C516" s="303"/>
    </row>
    <row r="517" spans="3:3" x14ac:dyDescent="0.2">
      <c r="C517" s="303"/>
    </row>
    <row r="518" spans="3:3" x14ac:dyDescent="0.2">
      <c r="C518" s="303"/>
    </row>
    <row r="519" spans="3:3" x14ac:dyDescent="0.2">
      <c r="C519" s="303"/>
    </row>
    <row r="520" spans="3:3" x14ac:dyDescent="0.2">
      <c r="C520" s="303"/>
    </row>
    <row r="521" spans="3:3" x14ac:dyDescent="0.2">
      <c r="C521" s="303"/>
    </row>
    <row r="522" spans="3:3" x14ac:dyDescent="0.2">
      <c r="C522" s="303"/>
    </row>
    <row r="523" spans="3:3" x14ac:dyDescent="0.2">
      <c r="C523" s="303"/>
    </row>
    <row r="524" spans="3:3" x14ac:dyDescent="0.2">
      <c r="C524" s="303"/>
    </row>
    <row r="525" spans="3:3" x14ac:dyDescent="0.2">
      <c r="C525" s="303"/>
    </row>
    <row r="526" spans="3:3" x14ac:dyDescent="0.2">
      <c r="C526" s="303"/>
    </row>
    <row r="527" spans="3:3" x14ac:dyDescent="0.2">
      <c r="C527" s="303"/>
    </row>
    <row r="528" spans="3:3" x14ac:dyDescent="0.2">
      <c r="C528" s="303"/>
    </row>
    <row r="529" spans="3:3" x14ac:dyDescent="0.2">
      <c r="C529" s="303"/>
    </row>
    <row r="530" spans="3:3" x14ac:dyDescent="0.2">
      <c r="C530" s="303"/>
    </row>
    <row r="531" spans="3:3" x14ac:dyDescent="0.2">
      <c r="C531" s="303"/>
    </row>
    <row r="532" spans="3:3" x14ac:dyDescent="0.2">
      <c r="C532" s="303"/>
    </row>
    <row r="533" spans="3:3" x14ac:dyDescent="0.2">
      <c r="C533" s="303"/>
    </row>
    <row r="534" spans="3:3" x14ac:dyDescent="0.2">
      <c r="C534" s="303"/>
    </row>
    <row r="535" spans="3:3" x14ac:dyDescent="0.2">
      <c r="C535" s="303"/>
    </row>
    <row r="536" spans="3:3" x14ac:dyDescent="0.2">
      <c r="C536" s="303"/>
    </row>
    <row r="537" spans="3:3" x14ac:dyDescent="0.2">
      <c r="C537" s="303"/>
    </row>
    <row r="538" spans="3:3" x14ac:dyDescent="0.2">
      <c r="C538" s="303"/>
    </row>
    <row r="539" spans="3:3" x14ac:dyDescent="0.2">
      <c r="C539" s="303"/>
    </row>
    <row r="540" spans="3:3" x14ac:dyDescent="0.2">
      <c r="C540" s="303"/>
    </row>
    <row r="541" spans="3:3" x14ac:dyDescent="0.2">
      <c r="C541" s="303"/>
    </row>
    <row r="542" spans="3:3" x14ac:dyDescent="0.2">
      <c r="C542" s="303"/>
    </row>
    <row r="543" spans="3:3" x14ac:dyDescent="0.2">
      <c r="C543" s="303"/>
    </row>
    <row r="544" spans="3:3" x14ac:dyDescent="0.2">
      <c r="C544" s="303"/>
    </row>
    <row r="545" spans="3:3" x14ac:dyDescent="0.2">
      <c r="C545" s="303"/>
    </row>
    <row r="546" spans="3:3" x14ac:dyDescent="0.2">
      <c r="C546" s="303"/>
    </row>
    <row r="547" spans="3:3" x14ac:dyDescent="0.2">
      <c r="C547" s="303"/>
    </row>
    <row r="548" spans="3:3" x14ac:dyDescent="0.2">
      <c r="C548" s="303"/>
    </row>
    <row r="549" spans="3:3" x14ac:dyDescent="0.2">
      <c r="C549" s="303"/>
    </row>
    <row r="550" spans="3:3" x14ac:dyDescent="0.2">
      <c r="C550" s="303"/>
    </row>
    <row r="551" spans="3:3" x14ac:dyDescent="0.2">
      <c r="C551" s="303"/>
    </row>
    <row r="552" spans="3:3" x14ac:dyDescent="0.2">
      <c r="C552" s="303"/>
    </row>
    <row r="553" spans="3:3" x14ac:dyDescent="0.2">
      <c r="C553" s="303"/>
    </row>
    <row r="554" spans="3:3" x14ac:dyDescent="0.2">
      <c r="C554" s="303"/>
    </row>
    <row r="555" spans="3:3" x14ac:dyDescent="0.2">
      <c r="C555" s="303"/>
    </row>
    <row r="556" spans="3:3" x14ac:dyDescent="0.2">
      <c r="C556" s="303"/>
    </row>
    <row r="557" spans="3:3" x14ac:dyDescent="0.2">
      <c r="C557" s="303"/>
    </row>
    <row r="558" spans="3:3" x14ac:dyDescent="0.2">
      <c r="C558" s="303"/>
    </row>
    <row r="559" spans="3:3" x14ac:dyDescent="0.2">
      <c r="C559" s="303"/>
    </row>
    <row r="560" spans="3:3" x14ac:dyDescent="0.2">
      <c r="C560" s="303"/>
    </row>
    <row r="561" spans="3:3" x14ac:dyDescent="0.2">
      <c r="C561" s="303"/>
    </row>
    <row r="562" spans="3:3" x14ac:dyDescent="0.2">
      <c r="C562" s="303"/>
    </row>
    <row r="563" spans="3:3" x14ac:dyDescent="0.2">
      <c r="C563" s="303"/>
    </row>
    <row r="564" spans="3:3" x14ac:dyDescent="0.2">
      <c r="C564" s="303"/>
    </row>
    <row r="565" spans="3:3" x14ac:dyDescent="0.2">
      <c r="C565" s="303"/>
    </row>
    <row r="566" spans="3:3" x14ac:dyDescent="0.2">
      <c r="C566" s="303"/>
    </row>
    <row r="567" spans="3:3" x14ac:dyDescent="0.2">
      <c r="C567" s="303"/>
    </row>
    <row r="568" spans="3:3" x14ac:dyDescent="0.2">
      <c r="C568" s="303"/>
    </row>
    <row r="569" spans="3:3" x14ac:dyDescent="0.2">
      <c r="C569" s="303"/>
    </row>
    <row r="570" spans="3:3" x14ac:dyDescent="0.2">
      <c r="C570" s="303"/>
    </row>
    <row r="571" spans="3:3" x14ac:dyDescent="0.2">
      <c r="C571" s="303"/>
    </row>
    <row r="572" spans="3:3" x14ac:dyDescent="0.2">
      <c r="C572" s="303"/>
    </row>
    <row r="573" spans="3:3" x14ac:dyDescent="0.2">
      <c r="C573" s="303"/>
    </row>
    <row r="574" spans="3:3" x14ac:dyDescent="0.2">
      <c r="C574" s="303"/>
    </row>
    <row r="575" spans="3:3" x14ac:dyDescent="0.2">
      <c r="C575" s="303"/>
    </row>
    <row r="576" spans="3:3" x14ac:dyDescent="0.2">
      <c r="C576" s="303"/>
    </row>
    <row r="577" spans="3:3" x14ac:dyDescent="0.2">
      <c r="C577" s="303"/>
    </row>
    <row r="578" spans="3:3" x14ac:dyDescent="0.2">
      <c r="C578" s="303"/>
    </row>
    <row r="579" spans="3:3" x14ac:dyDescent="0.2">
      <c r="C579" s="303"/>
    </row>
    <row r="580" spans="3:3" x14ac:dyDescent="0.2">
      <c r="C580" s="303"/>
    </row>
    <row r="581" spans="3:3" x14ac:dyDescent="0.2">
      <c r="C581" s="303"/>
    </row>
    <row r="582" spans="3:3" x14ac:dyDescent="0.2">
      <c r="C582" s="303"/>
    </row>
    <row r="583" spans="3:3" x14ac:dyDescent="0.2">
      <c r="C583" s="303"/>
    </row>
    <row r="584" spans="3:3" x14ac:dyDescent="0.2">
      <c r="C584" s="303"/>
    </row>
    <row r="585" spans="3:3" x14ac:dyDescent="0.2">
      <c r="C585" s="303"/>
    </row>
    <row r="586" spans="3:3" x14ac:dyDescent="0.2">
      <c r="C586" s="303"/>
    </row>
    <row r="587" spans="3:3" x14ac:dyDescent="0.2">
      <c r="C587" s="303"/>
    </row>
    <row r="588" spans="3:3" x14ac:dyDescent="0.2">
      <c r="C588" s="303"/>
    </row>
    <row r="589" spans="3:3" x14ac:dyDescent="0.2">
      <c r="C589" s="303"/>
    </row>
    <row r="590" spans="3:3" x14ac:dyDescent="0.2">
      <c r="C590" s="303"/>
    </row>
    <row r="591" spans="3:3" x14ac:dyDescent="0.2">
      <c r="C591" s="303"/>
    </row>
    <row r="592" spans="3:3" x14ac:dyDescent="0.2">
      <c r="C592" s="303"/>
    </row>
    <row r="593" spans="3:3" x14ac:dyDescent="0.2">
      <c r="C593" s="303"/>
    </row>
    <row r="594" spans="3:3" x14ac:dyDescent="0.2">
      <c r="C594" s="303"/>
    </row>
    <row r="595" spans="3:3" x14ac:dyDescent="0.2">
      <c r="C595" s="303"/>
    </row>
    <row r="596" spans="3:3" x14ac:dyDescent="0.2">
      <c r="C596" s="303"/>
    </row>
    <row r="597" spans="3:3" x14ac:dyDescent="0.2">
      <c r="C597" s="303"/>
    </row>
    <row r="598" spans="3:3" x14ac:dyDescent="0.2">
      <c r="C598" s="303"/>
    </row>
    <row r="599" spans="3:3" x14ac:dyDescent="0.2">
      <c r="C599" s="303"/>
    </row>
    <row r="600" spans="3:3" x14ac:dyDescent="0.2">
      <c r="C600" s="303"/>
    </row>
    <row r="601" spans="3:3" x14ac:dyDescent="0.2">
      <c r="C601" s="303"/>
    </row>
    <row r="602" spans="3:3" x14ac:dyDescent="0.2">
      <c r="C602" s="303"/>
    </row>
    <row r="603" spans="3:3" x14ac:dyDescent="0.2">
      <c r="C603" s="303"/>
    </row>
    <row r="604" spans="3:3" x14ac:dyDescent="0.2">
      <c r="C604" s="303"/>
    </row>
    <row r="605" spans="3:3" x14ac:dyDescent="0.2">
      <c r="C605" s="303"/>
    </row>
    <row r="606" spans="3:3" x14ac:dyDescent="0.2">
      <c r="C606" s="303"/>
    </row>
    <row r="607" spans="3:3" x14ac:dyDescent="0.2">
      <c r="C607" s="303"/>
    </row>
    <row r="608" spans="3:3" x14ac:dyDescent="0.2">
      <c r="C608" s="303"/>
    </row>
    <row r="609" spans="3:3" x14ac:dyDescent="0.2">
      <c r="C609" s="303"/>
    </row>
    <row r="610" spans="3:3" x14ac:dyDescent="0.2">
      <c r="C610" s="303"/>
    </row>
    <row r="611" spans="3:3" x14ac:dyDescent="0.2">
      <c r="C611" s="303"/>
    </row>
    <row r="612" spans="3:3" x14ac:dyDescent="0.2">
      <c r="C612" s="303"/>
    </row>
    <row r="613" spans="3:3" x14ac:dyDescent="0.2">
      <c r="C613" s="303"/>
    </row>
    <row r="614" spans="3:3" x14ac:dyDescent="0.2">
      <c r="C614" s="303"/>
    </row>
    <row r="615" spans="3:3" x14ac:dyDescent="0.2">
      <c r="C615" s="303"/>
    </row>
    <row r="616" spans="3:3" x14ac:dyDescent="0.2">
      <c r="C616" s="303"/>
    </row>
    <row r="617" spans="3:3" x14ac:dyDescent="0.2">
      <c r="C617" s="303"/>
    </row>
    <row r="618" spans="3:3" x14ac:dyDescent="0.2">
      <c r="C618" s="303"/>
    </row>
    <row r="619" spans="3:3" x14ac:dyDescent="0.2">
      <c r="C619" s="303"/>
    </row>
    <row r="620" spans="3:3" x14ac:dyDescent="0.2">
      <c r="C620" s="303"/>
    </row>
    <row r="621" spans="3:3" x14ac:dyDescent="0.2">
      <c r="C621" s="303"/>
    </row>
    <row r="622" spans="3:3" x14ac:dyDescent="0.2">
      <c r="C622" s="303"/>
    </row>
    <row r="623" spans="3:3" x14ac:dyDescent="0.2">
      <c r="C623" s="303"/>
    </row>
    <row r="624" spans="3:3" x14ac:dyDescent="0.2">
      <c r="C624" s="303"/>
    </row>
    <row r="625" spans="3:3" x14ac:dyDescent="0.2">
      <c r="C625" s="303"/>
    </row>
    <row r="626" spans="3:3" x14ac:dyDescent="0.2">
      <c r="C626" s="303"/>
    </row>
    <row r="627" spans="3:3" x14ac:dyDescent="0.2">
      <c r="C627" s="303"/>
    </row>
    <row r="628" spans="3:3" x14ac:dyDescent="0.2">
      <c r="C628" s="303"/>
    </row>
    <row r="629" spans="3:3" x14ac:dyDescent="0.2">
      <c r="C629" s="303"/>
    </row>
    <row r="630" spans="3:3" x14ac:dyDescent="0.2">
      <c r="C630" s="303"/>
    </row>
    <row r="631" spans="3:3" x14ac:dyDescent="0.2">
      <c r="C631" s="303"/>
    </row>
    <row r="632" spans="3:3" x14ac:dyDescent="0.2">
      <c r="C632" s="303"/>
    </row>
    <row r="633" spans="3:3" x14ac:dyDescent="0.2">
      <c r="C633" s="303"/>
    </row>
    <row r="634" spans="3:3" x14ac:dyDescent="0.2">
      <c r="C634" s="303"/>
    </row>
    <row r="635" spans="3:3" x14ac:dyDescent="0.2">
      <c r="C635" s="303"/>
    </row>
    <row r="636" spans="3:3" x14ac:dyDescent="0.2">
      <c r="C636" s="303"/>
    </row>
    <row r="637" spans="3:3" x14ac:dyDescent="0.2">
      <c r="C637" s="303"/>
    </row>
    <row r="638" spans="3:3" x14ac:dyDescent="0.2">
      <c r="C638" s="303"/>
    </row>
    <row r="639" spans="3:3" x14ac:dyDescent="0.2">
      <c r="C639" s="303"/>
    </row>
    <row r="640" spans="3:3" x14ac:dyDescent="0.2">
      <c r="C640" s="303"/>
    </row>
    <row r="641" spans="3:3" x14ac:dyDescent="0.2">
      <c r="C641" s="303"/>
    </row>
    <row r="642" spans="3:3" x14ac:dyDescent="0.2">
      <c r="C642" s="303"/>
    </row>
    <row r="643" spans="3:3" x14ac:dyDescent="0.2">
      <c r="C643" s="303"/>
    </row>
    <row r="644" spans="3:3" x14ac:dyDescent="0.2">
      <c r="C644" s="303"/>
    </row>
    <row r="645" spans="3:3" x14ac:dyDescent="0.2">
      <c r="C645" s="303"/>
    </row>
    <row r="646" spans="3:3" x14ac:dyDescent="0.2">
      <c r="C646" s="303"/>
    </row>
    <row r="647" spans="3:3" x14ac:dyDescent="0.2">
      <c r="C647" s="303"/>
    </row>
    <row r="648" spans="3:3" x14ac:dyDescent="0.2">
      <c r="C648" s="303"/>
    </row>
    <row r="649" spans="3:3" x14ac:dyDescent="0.2">
      <c r="C649" s="303"/>
    </row>
    <row r="650" spans="3:3" x14ac:dyDescent="0.2">
      <c r="C650" s="303"/>
    </row>
    <row r="651" spans="3:3" x14ac:dyDescent="0.2">
      <c r="C651" s="303"/>
    </row>
    <row r="652" spans="3:3" x14ac:dyDescent="0.2">
      <c r="C652" s="303"/>
    </row>
    <row r="653" spans="3:3" x14ac:dyDescent="0.2">
      <c r="C653" s="303"/>
    </row>
    <row r="654" spans="3:3" x14ac:dyDescent="0.2">
      <c r="C654" s="303"/>
    </row>
    <row r="655" spans="3:3" x14ac:dyDescent="0.2">
      <c r="C655" s="303"/>
    </row>
    <row r="656" spans="3:3" x14ac:dyDescent="0.2">
      <c r="C656" s="303"/>
    </row>
    <row r="657" spans="3:3" x14ac:dyDescent="0.2">
      <c r="C657" s="303"/>
    </row>
    <row r="658" spans="3:3" x14ac:dyDescent="0.2">
      <c r="C658" s="303"/>
    </row>
    <row r="659" spans="3:3" x14ac:dyDescent="0.2">
      <c r="C659" s="303"/>
    </row>
    <row r="660" spans="3:3" x14ac:dyDescent="0.2">
      <c r="C660" s="303"/>
    </row>
    <row r="661" spans="3:3" x14ac:dyDescent="0.2">
      <c r="C661" s="303"/>
    </row>
    <row r="662" spans="3:3" x14ac:dyDescent="0.2">
      <c r="C662" s="303"/>
    </row>
    <row r="663" spans="3:3" x14ac:dyDescent="0.2">
      <c r="C663" s="303"/>
    </row>
    <row r="664" spans="3:3" x14ac:dyDescent="0.2">
      <c r="C664" s="303"/>
    </row>
    <row r="665" spans="3:3" x14ac:dyDescent="0.2">
      <c r="C665" s="303"/>
    </row>
    <row r="666" spans="3:3" x14ac:dyDescent="0.2">
      <c r="C666" s="303"/>
    </row>
    <row r="667" spans="3:3" x14ac:dyDescent="0.2">
      <c r="C667" s="303"/>
    </row>
    <row r="668" spans="3:3" x14ac:dyDescent="0.2">
      <c r="C668" s="303"/>
    </row>
    <row r="669" spans="3:3" x14ac:dyDescent="0.2">
      <c r="C669" s="303"/>
    </row>
    <row r="670" spans="3:3" x14ac:dyDescent="0.2">
      <c r="C670" s="303"/>
    </row>
    <row r="671" spans="3:3" x14ac:dyDescent="0.2">
      <c r="C671" s="303"/>
    </row>
    <row r="672" spans="3:3" x14ac:dyDescent="0.2">
      <c r="C672" s="303"/>
    </row>
    <row r="673" spans="3:3" x14ac:dyDescent="0.2">
      <c r="C673" s="303"/>
    </row>
    <row r="674" spans="3:3" x14ac:dyDescent="0.2">
      <c r="C674" s="303"/>
    </row>
    <row r="675" spans="3:3" x14ac:dyDescent="0.2">
      <c r="C675" s="303"/>
    </row>
    <row r="676" spans="3:3" x14ac:dyDescent="0.2">
      <c r="C676" s="303"/>
    </row>
    <row r="677" spans="3:3" x14ac:dyDescent="0.2">
      <c r="C677" s="303"/>
    </row>
    <row r="678" spans="3:3" x14ac:dyDescent="0.2">
      <c r="C678" s="303"/>
    </row>
    <row r="679" spans="3:3" x14ac:dyDescent="0.2">
      <c r="C679" s="303"/>
    </row>
    <row r="680" spans="3:3" x14ac:dyDescent="0.2">
      <c r="C680" s="303"/>
    </row>
    <row r="681" spans="3:3" x14ac:dyDescent="0.2">
      <c r="C681" s="303"/>
    </row>
    <row r="682" spans="3:3" x14ac:dyDescent="0.2">
      <c r="C682" s="303"/>
    </row>
    <row r="683" spans="3:3" x14ac:dyDescent="0.2">
      <c r="C683" s="303"/>
    </row>
    <row r="684" spans="3:3" x14ac:dyDescent="0.2">
      <c r="C684" s="303"/>
    </row>
    <row r="685" spans="3:3" x14ac:dyDescent="0.2">
      <c r="C685" s="303"/>
    </row>
    <row r="686" spans="3:3" x14ac:dyDescent="0.2">
      <c r="C686" s="303"/>
    </row>
    <row r="687" spans="3:3" x14ac:dyDescent="0.2">
      <c r="C687" s="303"/>
    </row>
    <row r="688" spans="3:3" x14ac:dyDescent="0.2">
      <c r="C688" s="303"/>
    </row>
    <row r="689" spans="3:3" x14ac:dyDescent="0.2">
      <c r="C689" s="303"/>
    </row>
    <row r="690" spans="3:3" x14ac:dyDescent="0.2">
      <c r="C690" s="303"/>
    </row>
    <row r="691" spans="3:3" x14ac:dyDescent="0.2">
      <c r="C691" s="303"/>
    </row>
    <row r="692" spans="3:3" x14ac:dyDescent="0.2">
      <c r="C692" s="303"/>
    </row>
    <row r="693" spans="3:3" x14ac:dyDescent="0.2">
      <c r="C693" s="303"/>
    </row>
    <row r="694" spans="3:3" x14ac:dyDescent="0.2">
      <c r="C694" s="303"/>
    </row>
    <row r="695" spans="3:3" x14ac:dyDescent="0.2">
      <c r="C695" s="303"/>
    </row>
    <row r="696" spans="3:3" x14ac:dyDescent="0.2">
      <c r="C696" s="303"/>
    </row>
    <row r="697" spans="3:3" x14ac:dyDescent="0.2">
      <c r="C697" s="303"/>
    </row>
    <row r="698" spans="3:3" x14ac:dyDescent="0.2">
      <c r="C698" s="303"/>
    </row>
    <row r="699" spans="3:3" x14ac:dyDescent="0.2">
      <c r="C699" s="303"/>
    </row>
    <row r="700" spans="3:3" x14ac:dyDescent="0.2">
      <c r="C700" s="303"/>
    </row>
    <row r="701" spans="3:3" x14ac:dyDescent="0.2">
      <c r="C701" s="303"/>
    </row>
    <row r="702" spans="3:3" x14ac:dyDescent="0.2">
      <c r="C702" s="303"/>
    </row>
    <row r="703" spans="3:3" x14ac:dyDescent="0.2">
      <c r="C703" s="303"/>
    </row>
    <row r="704" spans="3:3" x14ac:dyDescent="0.2">
      <c r="C704" s="303"/>
    </row>
    <row r="705" spans="3:3" x14ac:dyDescent="0.2">
      <c r="C705" s="303"/>
    </row>
    <row r="706" spans="3:3" x14ac:dyDescent="0.2">
      <c r="C706" s="303"/>
    </row>
    <row r="707" spans="3:3" x14ac:dyDescent="0.2">
      <c r="C707" s="303"/>
    </row>
    <row r="708" spans="3:3" x14ac:dyDescent="0.2">
      <c r="C708" s="303"/>
    </row>
    <row r="709" spans="3:3" x14ac:dyDescent="0.2">
      <c r="C709" s="303"/>
    </row>
    <row r="710" spans="3:3" x14ac:dyDescent="0.2">
      <c r="C710" s="303"/>
    </row>
    <row r="711" spans="3:3" x14ac:dyDescent="0.2">
      <c r="C711" s="303"/>
    </row>
    <row r="712" spans="3:3" x14ac:dyDescent="0.2">
      <c r="C712" s="303"/>
    </row>
    <row r="713" spans="3:3" x14ac:dyDescent="0.2">
      <c r="C713" s="303"/>
    </row>
    <row r="714" spans="3:3" x14ac:dyDescent="0.2">
      <c r="C714" s="303"/>
    </row>
    <row r="715" spans="3:3" x14ac:dyDescent="0.2">
      <c r="C715" s="303"/>
    </row>
    <row r="716" spans="3:3" x14ac:dyDescent="0.2">
      <c r="C716" s="303"/>
    </row>
    <row r="717" spans="3:3" x14ac:dyDescent="0.2">
      <c r="C717" s="303"/>
    </row>
    <row r="718" spans="3:3" x14ac:dyDescent="0.2">
      <c r="C718" s="303"/>
    </row>
    <row r="719" spans="3:3" x14ac:dyDescent="0.2">
      <c r="C719" s="303"/>
    </row>
    <row r="720" spans="3:3" x14ac:dyDescent="0.2">
      <c r="C720" s="303"/>
    </row>
    <row r="721" spans="3:3" x14ac:dyDescent="0.2">
      <c r="C721" s="303"/>
    </row>
  </sheetData>
  <mergeCells count="9">
    <mergeCell ref="G4:G5"/>
    <mergeCell ref="H4:H5"/>
    <mergeCell ref="I4:L4"/>
    <mergeCell ref="D1:F1"/>
    <mergeCell ref="B4:B5"/>
    <mergeCell ref="C4:C5"/>
    <mergeCell ref="D4:D5"/>
    <mergeCell ref="E4:E5"/>
    <mergeCell ref="F4:F5"/>
  </mergeCells>
  <conditionalFormatting sqref="P7:P363">
    <cfRule type="cellIs" dxfId="3" priority="1" operator="greaterThan">
      <formula>3.999</formula>
    </cfRule>
    <cfRule type="cellIs" dxfId="2" priority="2" operator="between">
      <formula>1</formula>
      <formula>3.999</formula>
    </cfRule>
    <cfRule type="cellIs" dxfId="1" priority="3" operator="lessThan">
      <formula>1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B1:Q722"/>
  <sheetViews>
    <sheetView workbookViewId="0">
      <selection activeCell="H19" sqref="H19"/>
    </sheetView>
  </sheetViews>
  <sheetFormatPr baseColWidth="10" defaultColWidth="9.6640625" defaultRowHeight="16" x14ac:dyDescent="0.2"/>
  <cols>
    <col min="1" max="5" width="9.6640625" style="275"/>
    <col min="6" max="6" width="12.6640625" style="275" customWidth="1"/>
    <col min="7" max="7" width="15.5" style="275" customWidth="1"/>
    <col min="8" max="8" width="10.6640625" style="275" customWidth="1"/>
    <col min="9" max="14" width="15" style="304" customWidth="1"/>
    <col min="15" max="15" width="16" style="275" customWidth="1"/>
    <col min="16" max="16384" width="9.6640625" style="275"/>
  </cols>
  <sheetData>
    <row r="1" spans="2:15" x14ac:dyDescent="0.2">
      <c r="D1" s="443" t="s">
        <v>637</v>
      </c>
      <c r="E1" s="443"/>
      <c r="F1" s="443"/>
      <c r="I1" s="275"/>
      <c r="J1" s="275"/>
      <c r="K1" s="275"/>
      <c r="L1" s="275"/>
      <c r="M1" s="275"/>
      <c r="N1" s="275"/>
    </row>
    <row r="2" spans="2:15" x14ac:dyDescent="0.2">
      <c r="I2" s="275"/>
      <c r="J2" s="275"/>
      <c r="K2" s="275"/>
      <c r="L2" s="275"/>
      <c r="M2" s="275"/>
      <c r="N2" s="275"/>
    </row>
    <row r="3" spans="2:15" x14ac:dyDescent="0.2">
      <c r="B3" s="275" t="s">
        <v>638</v>
      </c>
      <c r="I3" s="275"/>
      <c r="J3" s="275"/>
      <c r="K3" s="275"/>
      <c r="L3" s="275"/>
      <c r="M3" s="275"/>
      <c r="N3" s="275"/>
    </row>
    <row r="4" spans="2:15" ht="15.75" customHeight="1" x14ac:dyDescent="0.2">
      <c r="B4" s="444" t="s">
        <v>639</v>
      </c>
      <c r="C4" s="444" t="s">
        <v>562</v>
      </c>
      <c r="D4" s="444" t="s">
        <v>564</v>
      </c>
      <c r="E4" s="444" t="s">
        <v>612</v>
      </c>
      <c r="F4" s="444" t="s">
        <v>640</v>
      </c>
      <c r="G4" s="440" t="s">
        <v>566</v>
      </c>
      <c r="H4" s="440" t="s">
        <v>641</v>
      </c>
      <c r="I4" s="445" t="s">
        <v>642</v>
      </c>
      <c r="J4" s="446"/>
      <c r="K4" s="446"/>
      <c r="L4" s="446"/>
      <c r="M4" s="446"/>
      <c r="N4" s="446"/>
      <c r="O4" s="446"/>
    </row>
    <row r="5" spans="2:15" ht="15.75" customHeight="1" x14ac:dyDescent="0.2">
      <c r="B5" s="444"/>
      <c r="C5" s="444"/>
      <c r="D5" s="444"/>
      <c r="E5" s="444"/>
      <c r="F5" s="444"/>
      <c r="G5" s="440"/>
      <c r="H5" s="440"/>
      <c r="I5" s="447" t="s">
        <v>643</v>
      </c>
      <c r="J5" s="447" t="s">
        <v>644</v>
      </c>
      <c r="K5" s="440" t="s">
        <v>645</v>
      </c>
      <c r="L5" s="440"/>
      <c r="M5" s="440"/>
      <c r="N5" s="440"/>
      <c r="O5" s="449" t="s">
        <v>665</v>
      </c>
    </row>
    <row r="6" spans="2:15" ht="60" customHeight="1" x14ac:dyDescent="0.2">
      <c r="B6" s="444"/>
      <c r="C6" s="444"/>
      <c r="D6" s="444"/>
      <c r="E6" s="444"/>
      <c r="F6" s="444"/>
      <c r="G6" s="440"/>
      <c r="H6" s="440"/>
      <c r="I6" s="448"/>
      <c r="J6" s="448"/>
      <c r="K6" s="278" t="s">
        <v>646</v>
      </c>
      <c r="L6" s="278" t="s">
        <v>399</v>
      </c>
      <c r="M6" s="278" t="s">
        <v>400</v>
      </c>
      <c r="N6" s="278" t="s">
        <v>401</v>
      </c>
      <c r="O6" s="450"/>
    </row>
    <row r="7" spans="2:15" x14ac:dyDescent="0.2">
      <c r="B7" s="280"/>
      <c r="C7" s="280"/>
      <c r="D7" s="280"/>
      <c r="E7" s="280"/>
      <c r="F7" s="280"/>
      <c r="G7" s="281"/>
      <c r="H7" s="281"/>
      <c r="I7" s="281"/>
      <c r="J7" s="281"/>
      <c r="K7" s="281"/>
      <c r="L7" s="281"/>
      <c r="M7" s="281"/>
      <c r="N7" s="281"/>
      <c r="O7" s="281"/>
    </row>
    <row r="8" spans="2:15" x14ac:dyDescent="0.2">
      <c r="B8" s="282" t="s">
        <v>647</v>
      </c>
      <c r="C8" s="282">
        <v>1</v>
      </c>
      <c r="D8" s="282" t="s">
        <v>746</v>
      </c>
      <c r="E8" s="283">
        <v>2022</v>
      </c>
      <c r="F8" s="284">
        <v>2.6</v>
      </c>
      <c r="G8" s="285">
        <v>339</v>
      </c>
      <c r="H8" s="285">
        <f t="shared" ref="H8:H71" si="0">IFERROR(G8/F8,0)</f>
        <v>130.38461538461539</v>
      </c>
      <c r="I8" s="286"/>
      <c r="J8" s="286"/>
      <c r="K8" s="286"/>
      <c r="L8" s="286"/>
      <c r="M8" s="286"/>
      <c r="N8" s="286"/>
      <c r="O8" s="286"/>
    </row>
    <row r="9" spans="2:15" x14ac:dyDescent="0.2">
      <c r="B9" s="282" t="s">
        <v>647</v>
      </c>
      <c r="C9" s="282">
        <v>1</v>
      </c>
      <c r="D9" s="282" t="s">
        <v>747</v>
      </c>
      <c r="E9" s="283">
        <v>2022</v>
      </c>
      <c r="F9" s="284">
        <v>3.68</v>
      </c>
      <c r="G9" s="285">
        <v>482</v>
      </c>
      <c r="H9" s="285">
        <f t="shared" si="0"/>
        <v>130.97826086956522</v>
      </c>
      <c r="I9" s="286"/>
      <c r="J9" s="286"/>
      <c r="K9" s="286"/>
      <c r="L9" s="286"/>
      <c r="M9" s="286"/>
      <c r="N9" s="286"/>
      <c r="O9" s="286"/>
    </row>
    <row r="10" spans="2:15" x14ac:dyDescent="0.2">
      <c r="B10" s="282" t="s">
        <v>647</v>
      </c>
      <c r="C10" s="282">
        <v>1</v>
      </c>
      <c r="D10" s="282" t="s">
        <v>748</v>
      </c>
      <c r="E10" s="283">
        <v>2022</v>
      </c>
      <c r="F10" s="284">
        <v>1.68</v>
      </c>
      <c r="G10" s="285">
        <v>213</v>
      </c>
      <c r="H10" s="285">
        <f t="shared" si="0"/>
        <v>126.78571428571429</v>
      </c>
      <c r="I10" s="286"/>
      <c r="J10" s="286"/>
      <c r="K10" s="286"/>
      <c r="L10" s="286"/>
      <c r="M10" s="286"/>
      <c r="N10" s="286"/>
      <c r="O10" s="286"/>
    </row>
    <row r="11" spans="2:15" x14ac:dyDescent="0.2">
      <c r="B11" s="282" t="s">
        <v>647</v>
      </c>
      <c r="C11" s="282">
        <v>1</v>
      </c>
      <c r="D11" s="282" t="s">
        <v>749</v>
      </c>
      <c r="E11" s="283">
        <v>2022</v>
      </c>
      <c r="F11" s="284">
        <v>1.76</v>
      </c>
      <c r="G11" s="285">
        <v>236</v>
      </c>
      <c r="H11" s="285">
        <f t="shared" si="0"/>
        <v>134.09090909090909</v>
      </c>
      <c r="I11" s="286"/>
      <c r="J11" s="286"/>
      <c r="K11" s="286"/>
      <c r="L11" s="286"/>
      <c r="M11" s="286"/>
      <c r="N11" s="286"/>
      <c r="O11" s="286"/>
    </row>
    <row r="12" spans="2:15" x14ac:dyDescent="0.2">
      <c r="B12" s="282" t="s">
        <v>647</v>
      </c>
      <c r="C12" s="282">
        <v>1</v>
      </c>
      <c r="D12" s="282" t="s">
        <v>750</v>
      </c>
      <c r="E12" s="283">
        <v>2022</v>
      </c>
      <c r="F12" s="284">
        <v>7.34</v>
      </c>
      <c r="G12" s="285">
        <v>957</v>
      </c>
      <c r="H12" s="285">
        <f t="shared" si="0"/>
        <v>130.38147138964578</v>
      </c>
      <c r="I12" s="286"/>
      <c r="J12" s="286"/>
      <c r="K12" s="286"/>
      <c r="L12" s="286"/>
      <c r="M12" s="286"/>
      <c r="N12" s="286"/>
      <c r="O12" s="286"/>
    </row>
    <row r="13" spans="2:15" x14ac:dyDescent="0.2">
      <c r="B13" s="282" t="s">
        <v>647</v>
      </c>
      <c r="C13" s="282">
        <v>1</v>
      </c>
      <c r="D13" s="282" t="s">
        <v>751</v>
      </c>
      <c r="E13" s="283">
        <v>2022</v>
      </c>
      <c r="F13" s="284">
        <v>18.53</v>
      </c>
      <c r="G13" s="285">
        <v>2454</v>
      </c>
      <c r="H13" s="285">
        <f t="shared" si="0"/>
        <v>132.43389098758769</v>
      </c>
      <c r="I13" s="286"/>
      <c r="J13" s="286"/>
      <c r="K13" s="286"/>
      <c r="L13" s="286"/>
      <c r="M13" s="286"/>
      <c r="N13" s="286"/>
      <c r="O13" s="286"/>
    </row>
    <row r="14" spans="2:15" x14ac:dyDescent="0.2">
      <c r="B14" s="282" t="s">
        <v>647</v>
      </c>
      <c r="C14" s="282">
        <v>1</v>
      </c>
      <c r="D14" s="282" t="s">
        <v>752</v>
      </c>
      <c r="E14" s="283">
        <v>2022</v>
      </c>
      <c r="F14" s="284">
        <v>25.73</v>
      </c>
      <c r="G14" s="285">
        <v>3400</v>
      </c>
      <c r="H14" s="285">
        <f t="shared" si="0"/>
        <v>132.1414691022153</v>
      </c>
      <c r="I14" s="286"/>
      <c r="J14" s="286"/>
      <c r="K14" s="286"/>
      <c r="L14" s="286"/>
      <c r="M14" s="286"/>
      <c r="N14" s="286"/>
      <c r="O14" s="286"/>
    </row>
    <row r="15" spans="2:15" x14ac:dyDescent="0.2">
      <c r="B15" s="282" t="s">
        <v>647</v>
      </c>
      <c r="C15" s="282">
        <v>1</v>
      </c>
      <c r="D15" s="282" t="s">
        <v>753</v>
      </c>
      <c r="E15" s="283">
        <v>2022</v>
      </c>
      <c r="F15" s="284">
        <v>28.89</v>
      </c>
      <c r="G15" s="285">
        <v>3840</v>
      </c>
      <c r="H15" s="285">
        <f t="shared" si="0"/>
        <v>132.91796469366562</v>
      </c>
      <c r="I15" s="286"/>
      <c r="J15" s="286"/>
      <c r="K15" s="286"/>
      <c r="L15" s="286"/>
      <c r="M15" s="286"/>
      <c r="N15" s="286"/>
      <c r="O15" s="286"/>
    </row>
    <row r="16" spans="2:15" x14ac:dyDescent="0.2">
      <c r="B16" s="282" t="s">
        <v>647</v>
      </c>
      <c r="C16" s="282">
        <v>1</v>
      </c>
      <c r="D16" s="282" t="s">
        <v>754</v>
      </c>
      <c r="E16" s="283">
        <v>2022</v>
      </c>
      <c r="F16" s="284">
        <v>28.88</v>
      </c>
      <c r="G16" s="285">
        <v>3861</v>
      </c>
      <c r="H16" s="285">
        <f t="shared" si="0"/>
        <v>133.69113573407202</v>
      </c>
      <c r="I16" s="286"/>
      <c r="J16" s="286"/>
      <c r="K16" s="286"/>
      <c r="L16" s="286"/>
      <c r="M16" s="286"/>
      <c r="N16" s="286"/>
      <c r="O16" s="286"/>
    </row>
    <row r="17" spans="2:15" x14ac:dyDescent="0.2">
      <c r="B17" s="282" t="s">
        <v>647</v>
      </c>
      <c r="C17" s="282">
        <v>1</v>
      </c>
      <c r="D17" s="282" t="s">
        <v>755</v>
      </c>
      <c r="E17" s="283">
        <v>2022</v>
      </c>
      <c r="F17" s="284">
        <v>27.7</v>
      </c>
      <c r="G17" s="285">
        <v>3678</v>
      </c>
      <c r="H17" s="285">
        <f t="shared" si="0"/>
        <v>132.77978339350182</v>
      </c>
      <c r="I17" s="286"/>
      <c r="J17" s="286"/>
      <c r="K17" s="286"/>
      <c r="L17" s="286"/>
      <c r="M17" s="286"/>
      <c r="N17" s="286"/>
      <c r="O17" s="286"/>
    </row>
    <row r="18" spans="2:15" x14ac:dyDescent="0.2">
      <c r="B18" s="282" t="s">
        <v>647</v>
      </c>
      <c r="C18" s="282">
        <v>1</v>
      </c>
      <c r="D18" s="282" t="s">
        <v>756</v>
      </c>
      <c r="E18" s="283">
        <v>2022</v>
      </c>
      <c r="F18" s="284">
        <v>25.76</v>
      </c>
      <c r="G18" s="285">
        <v>3461</v>
      </c>
      <c r="H18" s="285">
        <f t="shared" si="0"/>
        <v>134.35559006211179</v>
      </c>
      <c r="I18" s="286"/>
      <c r="J18" s="286"/>
      <c r="K18" s="286"/>
      <c r="L18" s="286"/>
      <c r="M18" s="286"/>
      <c r="N18" s="286"/>
      <c r="O18" s="286"/>
    </row>
    <row r="19" spans="2:15" x14ac:dyDescent="0.2">
      <c r="B19" s="282" t="s">
        <v>647</v>
      </c>
      <c r="C19" s="282">
        <v>1</v>
      </c>
      <c r="D19" s="282" t="s">
        <v>757</v>
      </c>
      <c r="E19" s="283">
        <v>2022</v>
      </c>
      <c r="F19" s="284">
        <v>25.34</v>
      </c>
      <c r="G19" s="285">
        <v>3338</v>
      </c>
      <c r="H19" s="285">
        <f t="shared" si="0"/>
        <v>131.72849250197316</v>
      </c>
      <c r="I19" s="286"/>
      <c r="J19" s="286"/>
      <c r="K19" s="286"/>
      <c r="L19" s="286"/>
      <c r="M19" s="286"/>
      <c r="N19" s="286"/>
      <c r="O19" s="286"/>
    </row>
    <row r="20" spans="2:15" x14ac:dyDescent="0.2">
      <c r="B20" s="282" t="s">
        <v>647</v>
      </c>
      <c r="C20" s="282">
        <v>1</v>
      </c>
      <c r="D20" s="282" t="s">
        <v>758</v>
      </c>
      <c r="E20" s="283">
        <v>2022</v>
      </c>
      <c r="F20" s="284">
        <v>22.6</v>
      </c>
      <c r="G20" s="285">
        <v>3044</v>
      </c>
      <c r="H20" s="285">
        <f t="shared" si="0"/>
        <v>134.69026548672565</v>
      </c>
      <c r="I20" s="286"/>
      <c r="J20" s="286"/>
      <c r="K20" s="286"/>
      <c r="L20" s="286"/>
      <c r="M20" s="286"/>
      <c r="N20" s="286"/>
      <c r="O20" s="286"/>
    </row>
    <row r="21" spans="2:15" x14ac:dyDescent="0.2">
      <c r="B21" s="282" t="s">
        <v>647</v>
      </c>
      <c r="C21" s="282">
        <v>1</v>
      </c>
      <c r="D21" s="282" t="s">
        <v>759</v>
      </c>
      <c r="E21" s="283">
        <v>2022</v>
      </c>
      <c r="F21" s="284">
        <v>22.38</v>
      </c>
      <c r="G21" s="285">
        <v>2961</v>
      </c>
      <c r="H21" s="285">
        <f t="shared" si="0"/>
        <v>132.30563002680967</v>
      </c>
      <c r="I21" s="286"/>
      <c r="J21" s="286"/>
      <c r="K21" s="286"/>
      <c r="L21" s="286"/>
      <c r="M21" s="286"/>
      <c r="N21" s="286"/>
      <c r="O21" s="286"/>
    </row>
    <row r="22" spans="2:15" x14ac:dyDescent="0.2">
      <c r="B22" s="282" t="s">
        <v>647</v>
      </c>
      <c r="C22" s="282">
        <v>1</v>
      </c>
      <c r="D22" s="282" t="s">
        <v>760</v>
      </c>
      <c r="E22" s="283">
        <v>2022</v>
      </c>
      <c r="F22" s="284">
        <v>0.67</v>
      </c>
      <c r="G22" s="285">
        <v>102</v>
      </c>
      <c r="H22" s="285">
        <f t="shared" si="0"/>
        <v>152.23880597014926</v>
      </c>
      <c r="I22" s="286"/>
      <c r="J22" s="286"/>
      <c r="K22" s="286"/>
      <c r="L22" s="286"/>
      <c r="M22" s="286"/>
      <c r="N22" s="286"/>
      <c r="O22" s="286"/>
    </row>
    <row r="23" spans="2:15" x14ac:dyDescent="0.2">
      <c r="B23" s="282" t="s">
        <v>647</v>
      </c>
      <c r="C23" s="282">
        <v>1</v>
      </c>
      <c r="D23" s="282" t="s">
        <v>761</v>
      </c>
      <c r="E23" s="283">
        <v>2022</v>
      </c>
      <c r="F23" s="284">
        <v>4.49</v>
      </c>
      <c r="G23" s="285">
        <v>596</v>
      </c>
      <c r="H23" s="285">
        <f t="shared" si="0"/>
        <v>132.73942093541203</v>
      </c>
      <c r="I23" s="286"/>
      <c r="J23" s="286"/>
      <c r="K23" s="286"/>
      <c r="L23" s="286"/>
      <c r="M23" s="286"/>
      <c r="N23" s="286"/>
      <c r="O23" s="286"/>
    </row>
    <row r="24" spans="2:15" x14ac:dyDescent="0.2">
      <c r="B24" s="282" t="s">
        <v>647</v>
      </c>
      <c r="C24" s="282">
        <v>1</v>
      </c>
      <c r="D24" s="282" t="s">
        <v>762</v>
      </c>
      <c r="E24" s="283">
        <v>2022</v>
      </c>
      <c r="F24" s="284">
        <v>8.84</v>
      </c>
      <c r="G24" s="285">
        <v>1155</v>
      </c>
      <c r="H24" s="285">
        <f t="shared" si="0"/>
        <v>130.65610859728508</v>
      </c>
      <c r="I24" s="286"/>
      <c r="J24" s="286"/>
      <c r="K24" s="286"/>
      <c r="L24" s="286"/>
      <c r="M24" s="286"/>
      <c r="N24" s="286"/>
      <c r="O24" s="286"/>
    </row>
    <row r="25" spans="2:15" x14ac:dyDescent="0.2">
      <c r="B25" s="282" t="s">
        <v>647</v>
      </c>
      <c r="C25" s="282">
        <v>1</v>
      </c>
      <c r="D25" s="282" t="s">
        <v>763</v>
      </c>
      <c r="E25" s="283">
        <v>2022</v>
      </c>
      <c r="F25" s="284">
        <v>11.59</v>
      </c>
      <c r="G25" s="285">
        <v>1565</v>
      </c>
      <c r="H25" s="285">
        <f t="shared" si="0"/>
        <v>135.03019844693702</v>
      </c>
      <c r="I25" s="286"/>
      <c r="J25" s="286"/>
      <c r="K25" s="286"/>
      <c r="L25" s="286"/>
      <c r="M25" s="286"/>
      <c r="N25" s="286"/>
      <c r="O25" s="286"/>
    </row>
    <row r="26" spans="2:15" x14ac:dyDescent="0.2">
      <c r="B26" s="282" t="s">
        <v>647</v>
      </c>
      <c r="C26" s="282">
        <v>1</v>
      </c>
      <c r="D26" s="282" t="s">
        <v>764</v>
      </c>
      <c r="E26" s="283">
        <v>2022</v>
      </c>
      <c r="F26" s="284">
        <v>26.67</v>
      </c>
      <c r="G26" s="285">
        <v>3536</v>
      </c>
      <c r="H26" s="285">
        <f t="shared" si="0"/>
        <v>132.58342707161603</v>
      </c>
      <c r="I26" s="286"/>
      <c r="J26" s="286"/>
      <c r="K26" s="286"/>
      <c r="L26" s="286"/>
      <c r="M26" s="286"/>
      <c r="N26" s="286"/>
      <c r="O26" s="286"/>
    </row>
    <row r="27" spans="2:15" x14ac:dyDescent="0.2">
      <c r="B27" s="282" t="s">
        <v>647</v>
      </c>
      <c r="C27" s="282">
        <v>1</v>
      </c>
      <c r="D27" s="282" t="s">
        <v>765</v>
      </c>
      <c r="E27" s="283">
        <v>2022</v>
      </c>
      <c r="F27" s="284">
        <v>29.83</v>
      </c>
      <c r="G27" s="285">
        <v>3967</v>
      </c>
      <c r="H27" s="285">
        <f t="shared" si="0"/>
        <v>132.98692591350991</v>
      </c>
      <c r="I27" s="286"/>
      <c r="J27" s="286"/>
      <c r="K27" s="286"/>
      <c r="L27" s="286"/>
      <c r="M27" s="286"/>
      <c r="N27" s="286"/>
      <c r="O27" s="286"/>
    </row>
    <row r="28" spans="2:15" x14ac:dyDescent="0.2">
      <c r="B28" s="282" t="s">
        <v>647</v>
      </c>
      <c r="C28" s="282">
        <v>1</v>
      </c>
      <c r="D28" s="282" t="s">
        <v>766</v>
      </c>
      <c r="E28" s="283">
        <v>2022</v>
      </c>
      <c r="F28" s="284">
        <v>33.26</v>
      </c>
      <c r="G28" s="285">
        <v>4506</v>
      </c>
      <c r="H28" s="285">
        <f t="shared" si="0"/>
        <v>135.4780517137703</v>
      </c>
      <c r="I28" s="286"/>
      <c r="J28" s="286"/>
      <c r="K28" s="286"/>
      <c r="L28" s="286"/>
      <c r="M28" s="286"/>
      <c r="N28" s="286"/>
      <c r="O28" s="286"/>
    </row>
    <row r="29" spans="2:15" x14ac:dyDescent="0.2">
      <c r="B29" s="282" t="s">
        <v>647</v>
      </c>
      <c r="C29" s="282">
        <v>1</v>
      </c>
      <c r="D29" s="282" t="s">
        <v>767</v>
      </c>
      <c r="E29" s="283">
        <v>2022</v>
      </c>
      <c r="F29" s="284">
        <v>32.99</v>
      </c>
      <c r="G29" s="285">
        <v>4440</v>
      </c>
      <c r="H29" s="285">
        <f t="shared" si="0"/>
        <v>134.58623825401637</v>
      </c>
      <c r="I29" s="286"/>
      <c r="J29" s="286"/>
      <c r="K29" s="286"/>
      <c r="L29" s="286"/>
      <c r="M29" s="286"/>
      <c r="N29" s="286"/>
      <c r="O29" s="286"/>
    </row>
    <row r="30" spans="2:15" x14ac:dyDescent="0.2">
      <c r="B30" s="282" t="s">
        <v>647</v>
      </c>
      <c r="C30" s="282">
        <v>1</v>
      </c>
      <c r="D30" s="282" t="s">
        <v>768</v>
      </c>
      <c r="E30" s="283">
        <v>2022</v>
      </c>
      <c r="F30" s="284">
        <v>31.58</v>
      </c>
      <c r="G30" s="285">
        <v>4266</v>
      </c>
      <c r="H30" s="285">
        <f t="shared" si="0"/>
        <v>135.08549715009499</v>
      </c>
      <c r="I30" s="286"/>
      <c r="J30" s="286"/>
      <c r="K30" s="286"/>
      <c r="L30" s="286"/>
      <c r="M30" s="286"/>
      <c r="N30" s="286"/>
      <c r="O30" s="286"/>
    </row>
    <row r="31" spans="2:15" x14ac:dyDescent="0.2">
      <c r="B31" s="282" t="s">
        <v>647</v>
      </c>
      <c r="C31" s="282">
        <v>1</v>
      </c>
      <c r="D31" s="282" t="s">
        <v>769</v>
      </c>
      <c r="E31" s="283">
        <v>2022</v>
      </c>
      <c r="F31" s="284">
        <v>31.85</v>
      </c>
      <c r="G31" s="285">
        <v>4268</v>
      </c>
      <c r="H31" s="285">
        <f t="shared" si="0"/>
        <v>134.00313971742543</v>
      </c>
      <c r="I31" s="286"/>
      <c r="J31" s="286"/>
      <c r="K31" s="286"/>
      <c r="L31" s="286"/>
      <c r="M31" s="286"/>
      <c r="N31" s="286"/>
      <c r="O31" s="286"/>
    </row>
    <row r="32" spans="2:15" x14ac:dyDescent="0.2">
      <c r="B32" s="282" t="s">
        <v>647</v>
      </c>
      <c r="C32" s="282">
        <v>1</v>
      </c>
      <c r="D32" s="282" t="s">
        <v>770</v>
      </c>
      <c r="E32" s="283">
        <v>2022</v>
      </c>
      <c r="F32" s="284">
        <v>31.92</v>
      </c>
      <c r="G32" s="285">
        <v>4344</v>
      </c>
      <c r="H32" s="285">
        <f t="shared" si="0"/>
        <v>136.09022556390977</v>
      </c>
      <c r="I32" s="286"/>
      <c r="J32" s="286"/>
      <c r="K32" s="286"/>
      <c r="L32" s="286"/>
      <c r="M32" s="286"/>
      <c r="N32" s="286"/>
      <c r="O32" s="286"/>
    </row>
    <row r="33" spans="2:15" x14ac:dyDescent="0.2">
      <c r="B33" s="282" t="s">
        <v>647</v>
      </c>
      <c r="C33" s="282">
        <v>1</v>
      </c>
      <c r="D33" s="282" t="s">
        <v>771</v>
      </c>
      <c r="E33" s="283">
        <v>2022</v>
      </c>
      <c r="F33" s="284">
        <v>31.05</v>
      </c>
      <c r="G33" s="285">
        <v>4203</v>
      </c>
      <c r="H33" s="285">
        <f t="shared" si="0"/>
        <v>135.36231884057972</v>
      </c>
      <c r="I33" s="286"/>
      <c r="J33" s="286"/>
      <c r="K33" s="286"/>
      <c r="L33" s="286"/>
      <c r="M33" s="286"/>
      <c r="N33" s="286"/>
      <c r="O33" s="286"/>
    </row>
    <row r="34" spans="2:15" x14ac:dyDescent="0.2">
      <c r="B34" s="282" t="s">
        <v>647</v>
      </c>
      <c r="C34" s="282">
        <v>1</v>
      </c>
      <c r="D34" s="282" t="s">
        <v>772</v>
      </c>
      <c r="E34" s="283">
        <v>2022</v>
      </c>
      <c r="F34" s="284">
        <v>32.17</v>
      </c>
      <c r="G34" s="285">
        <v>4298</v>
      </c>
      <c r="H34" s="285">
        <f t="shared" si="0"/>
        <v>133.60273546782716</v>
      </c>
      <c r="I34" s="286"/>
      <c r="J34" s="286"/>
      <c r="K34" s="286"/>
      <c r="L34" s="286"/>
      <c r="M34" s="286"/>
      <c r="N34" s="286"/>
      <c r="O34" s="286"/>
    </row>
    <row r="35" spans="2:15" x14ac:dyDescent="0.2">
      <c r="B35" s="282" t="s">
        <v>647</v>
      </c>
      <c r="C35" s="282">
        <v>1</v>
      </c>
      <c r="D35" s="282" t="s">
        <v>773</v>
      </c>
      <c r="E35" s="283">
        <v>2022</v>
      </c>
      <c r="F35" s="284">
        <v>31.13</v>
      </c>
      <c r="G35" s="285">
        <v>4181</v>
      </c>
      <c r="H35" s="285">
        <f t="shared" si="0"/>
        <v>134.30774172823644</v>
      </c>
      <c r="I35" s="286"/>
      <c r="J35" s="286"/>
      <c r="K35" s="286"/>
      <c r="L35" s="286"/>
      <c r="M35" s="286"/>
      <c r="N35" s="286"/>
      <c r="O35" s="286"/>
    </row>
    <row r="36" spans="2:15" x14ac:dyDescent="0.2">
      <c r="B36" s="282" t="s">
        <v>647</v>
      </c>
      <c r="C36" s="282">
        <v>1</v>
      </c>
      <c r="D36" s="282" t="s">
        <v>774</v>
      </c>
      <c r="E36" s="283">
        <v>2022</v>
      </c>
      <c r="F36" s="284">
        <v>29.84</v>
      </c>
      <c r="G36" s="285">
        <v>4062</v>
      </c>
      <c r="H36" s="285">
        <f t="shared" si="0"/>
        <v>136.12600536193028</v>
      </c>
      <c r="I36" s="286"/>
      <c r="J36" s="286"/>
      <c r="K36" s="286"/>
      <c r="L36" s="286"/>
      <c r="M36" s="286"/>
      <c r="N36" s="286"/>
      <c r="O36" s="286"/>
    </row>
    <row r="37" spans="2:15" x14ac:dyDescent="0.2">
      <c r="B37" s="282" t="s">
        <v>647</v>
      </c>
      <c r="C37" s="282">
        <v>1</v>
      </c>
      <c r="D37" s="282" t="s">
        <v>775</v>
      </c>
      <c r="E37" s="283">
        <v>2022</v>
      </c>
      <c r="F37" s="284">
        <v>33.700000000000003</v>
      </c>
      <c r="G37" s="285">
        <v>4558</v>
      </c>
      <c r="H37" s="285">
        <f t="shared" si="0"/>
        <v>135.25222551928783</v>
      </c>
      <c r="I37" s="286"/>
      <c r="J37" s="286"/>
      <c r="K37" s="286"/>
      <c r="L37" s="286"/>
      <c r="M37" s="286"/>
      <c r="N37" s="286"/>
      <c r="O37" s="286"/>
    </row>
    <row r="38" spans="2:15" x14ac:dyDescent="0.2">
      <c r="B38" s="282" t="s">
        <v>647</v>
      </c>
      <c r="C38" s="282">
        <v>1</v>
      </c>
      <c r="D38" s="282" t="s">
        <v>776</v>
      </c>
      <c r="E38" s="283">
        <v>2022</v>
      </c>
      <c r="F38" s="284">
        <v>30.24</v>
      </c>
      <c r="G38" s="285">
        <v>4097</v>
      </c>
      <c r="H38" s="285">
        <f t="shared" si="0"/>
        <v>135.48280423280423</v>
      </c>
      <c r="I38" s="286"/>
      <c r="J38" s="286"/>
      <c r="K38" s="286"/>
      <c r="L38" s="286"/>
      <c r="M38" s="286"/>
      <c r="N38" s="286"/>
      <c r="O38" s="286"/>
    </row>
    <row r="39" spans="2:15" x14ac:dyDescent="0.2">
      <c r="B39" s="282" t="s">
        <v>648</v>
      </c>
      <c r="C39" s="282">
        <v>1</v>
      </c>
      <c r="D39" s="282" t="s">
        <v>777</v>
      </c>
      <c r="E39" s="283">
        <v>2023</v>
      </c>
      <c r="F39" s="284">
        <v>20.79</v>
      </c>
      <c r="G39" s="285">
        <v>2794</v>
      </c>
      <c r="H39" s="285">
        <f t="shared" si="0"/>
        <v>134.39153439153441</v>
      </c>
      <c r="I39" s="286"/>
      <c r="J39" s="286"/>
      <c r="K39" s="286"/>
      <c r="L39" s="286"/>
      <c r="M39" s="286"/>
      <c r="N39" s="286"/>
      <c r="O39" s="286"/>
    </row>
    <row r="40" spans="2:15" x14ac:dyDescent="0.2">
      <c r="B40" s="282" t="s">
        <v>648</v>
      </c>
      <c r="C40" s="282">
        <v>1</v>
      </c>
      <c r="D40" s="282" t="s">
        <v>778</v>
      </c>
      <c r="E40" s="283">
        <v>2023</v>
      </c>
      <c r="F40" s="284">
        <v>17.48</v>
      </c>
      <c r="G40" s="285">
        <v>2353</v>
      </c>
      <c r="H40" s="285">
        <f t="shared" si="0"/>
        <v>134.61098398169335</v>
      </c>
      <c r="I40" s="286"/>
      <c r="J40" s="286"/>
      <c r="K40" s="286"/>
      <c r="L40" s="286"/>
      <c r="M40" s="286"/>
      <c r="N40" s="286"/>
      <c r="O40" s="286"/>
    </row>
    <row r="41" spans="2:15" x14ac:dyDescent="0.2">
      <c r="B41" s="282" t="s">
        <v>648</v>
      </c>
      <c r="C41" s="282">
        <v>1</v>
      </c>
      <c r="D41" s="282" t="s">
        <v>779</v>
      </c>
      <c r="E41" s="283">
        <v>2023</v>
      </c>
      <c r="F41" s="284">
        <v>18.04</v>
      </c>
      <c r="G41" s="285">
        <v>2400</v>
      </c>
      <c r="H41" s="285">
        <f t="shared" si="0"/>
        <v>133.03769401330376</v>
      </c>
      <c r="I41" s="286"/>
      <c r="J41" s="286"/>
      <c r="K41" s="286"/>
      <c r="L41" s="286"/>
      <c r="M41" s="286"/>
      <c r="N41" s="286"/>
      <c r="O41" s="286"/>
    </row>
    <row r="42" spans="2:15" x14ac:dyDescent="0.2">
      <c r="B42" s="282" t="s">
        <v>648</v>
      </c>
      <c r="C42" s="282">
        <v>1</v>
      </c>
      <c r="D42" s="282" t="s">
        <v>780</v>
      </c>
      <c r="E42" s="283">
        <v>2023</v>
      </c>
      <c r="F42" s="284">
        <v>16.38</v>
      </c>
      <c r="G42" s="285">
        <v>2174</v>
      </c>
      <c r="H42" s="285">
        <f t="shared" si="0"/>
        <v>132.72283272283272</v>
      </c>
      <c r="I42" s="286"/>
      <c r="J42" s="286"/>
      <c r="K42" s="286"/>
      <c r="L42" s="286"/>
      <c r="M42" s="286"/>
      <c r="N42" s="286"/>
      <c r="O42" s="286"/>
    </row>
    <row r="43" spans="2:15" x14ac:dyDescent="0.2">
      <c r="B43" s="282" t="s">
        <v>648</v>
      </c>
      <c r="C43" s="282">
        <v>1</v>
      </c>
      <c r="D43" s="282" t="s">
        <v>781</v>
      </c>
      <c r="E43" s="283">
        <v>2023</v>
      </c>
      <c r="F43" s="284">
        <v>13.69</v>
      </c>
      <c r="G43" s="285">
        <v>1857</v>
      </c>
      <c r="H43" s="285">
        <f t="shared" si="0"/>
        <v>135.6464572680789</v>
      </c>
      <c r="I43" s="286"/>
      <c r="J43" s="286"/>
      <c r="K43" s="286"/>
      <c r="L43" s="286"/>
      <c r="M43" s="286"/>
      <c r="N43" s="286"/>
      <c r="O43" s="286"/>
    </row>
    <row r="44" spans="2:15" x14ac:dyDescent="0.2">
      <c r="B44" s="282" t="s">
        <v>648</v>
      </c>
      <c r="C44" s="282">
        <v>1</v>
      </c>
      <c r="D44" s="282" t="s">
        <v>782</v>
      </c>
      <c r="E44" s="283">
        <v>2023</v>
      </c>
      <c r="F44" s="284">
        <v>13.56</v>
      </c>
      <c r="G44" s="285">
        <v>1809</v>
      </c>
      <c r="H44" s="285">
        <f t="shared" si="0"/>
        <v>133.40707964601771</v>
      </c>
      <c r="I44" s="286"/>
      <c r="J44" s="286"/>
      <c r="K44" s="286"/>
      <c r="L44" s="286"/>
      <c r="M44" s="286"/>
      <c r="N44" s="286"/>
      <c r="O44" s="286"/>
    </row>
    <row r="45" spans="2:15" x14ac:dyDescent="0.2">
      <c r="B45" s="282" t="s">
        <v>648</v>
      </c>
      <c r="C45" s="282">
        <v>1</v>
      </c>
      <c r="D45" s="282" t="s">
        <v>783</v>
      </c>
      <c r="E45" s="283">
        <v>2023</v>
      </c>
      <c r="F45" s="284">
        <v>11.86</v>
      </c>
      <c r="G45" s="285">
        <v>1582</v>
      </c>
      <c r="H45" s="285">
        <f t="shared" si="0"/>
        <v>133.389544688027</v>
      </c>
      <c r="I45" s="286"/>
      <c r="J45" s="286"/>
      <c r="K45" s="286"/>
      <c r="L45" s="286"/>
      <c r="M45" s="286"/>
      <c r="N45" s="286"/>
      <c r="O45" s="286"/>
    </row>
    <row r="46" spans="2:15" x14ac:dyDescent="0.2">
      <c r="B46" s="282" t="s">
        <v>648</v>
      </c>
      <c r="C46" s="282">
        <v>1</v>
      </c>
      <c r="D46" s="282" t="s">
        <v>784</v>
      </c>
      <c r="E46" s="283">
        <v>2023</v>
      </c>
      <c r="F46" s="284">
        <v>9.5299999999999994</v>
      </c>
      <c r="G46" s="285">
        <v>1254</v>
      </c>
      <c r="H46" s="285">
        <f t="shared" si="0"/>
        <v>131.58447009443861</v>
      </c>
      <c r="I46" s="286"/>
      <c r="J46" s="286"/>
      <c r="K46" s="286"/>
      <c r="L46" s="286"/>
      <c r="M46" s="286"/>
      <c r="N46" s="286"/>
      <c r="O46" s="286"/>
    </row>
    <row r="47" spans="2:15" x14ac:dyDescent="0.2">
      <c r="B47" s="282" t="s">
        <v>648</v>
      </c>
      <c r="C47" s="282">
        <v>1</v>
      </c>
      <c r="D47" s="282" t="s">
        <v>785</v>
      </c>
      <c r="E47" s="283">
        <v>2023</v>
      </c>
      <c r="F47" s="284">
        <v>10</v>
      </c>
      <c r="G47" s="285">
        <v>1286</v>
      </c>
      <c r="H47" s="285">
        <f t="shared" si="0"/>
        <v>128.6</v>
      </c>
      <c r="I47" s="286"/>
      <c r="J47" s="286"/>
      <c r="K47" s="286"/>
      <c r="L47" s="286"/>
      <c r="M47" s="286"/>
      <c r="N47" s="286"/>
      <c r="O47" s="286"/>
    </row>
    <row r="48" spans="2:15" x14ac:dyDescent="0.2">
      <c r="B48" s="282" t="s">
        <v>648</v>
      </c>
      <c r="C48" s="282">
        <v>1</v>
      </c>
      <c r="D48" s="282" t="s">
        <v>786</v>
      </c>
      <c r="E48" s="283">
        <v>2023</v>
      </c>
      <c r="F48" s="284">
        <v>7.37</v>
      </c>
      <c r="G48" s="285">
        <v>997</v>
      </c>
      <c r="H48" s="285">
        <f t="shared" si="0"/>
        <v>135.27815468113977</v>
      </c>
      <c r="I48" s="286"/>
      <c r="J48" s="286"/>
      <c r="K48" s="286"/>
      <c r="L48" s="286"/>
      <c r="M48" s="286"/>
      <c r="N48" s="286"/>
      <c r="O48" s="286"/>
    </row>
    <row r="49" spans="2:15" x14ac:dyDescent="0.2">
      <c r="B49" s="282" t="s">
        <v>648</v>
      </c>
      <c r="C49" s="282">
        <v>1</v>
      </c>
      <c r="D49" s="282" t="s">
        <v>787</v>
      </c>
      <c r="E49" s="283">
        <v>2023</v>
      </c>
      <c r="F49" s="284">
        <v>13.52</v>
      </c>
      <c r="G49" s="285">
        <v>1860</v>
      </c>
      <c r="H49" s="285">
        <f t="shared" si="0"/>
        <v>137.57396449704143</v>
      </c>
      <c r="I49" s="286"/>
      <c r="J49" s="286"/>
      <c r="K49" s="286"/>
      <c r="L49" s="286"/>
      <c r="M49" s="286"/>
      <c r="N49" s="286"/>
      <c r="O49" s="286"/>
    </row>
    <row r="50" spans="2:15" x14ac:dyDescent="0.2">
      <c r="B50" s="282" t="s">
        <v>648</v>
      </c>
      <c r="C50" s="282">
        <v>1</v>
      </c>
      <c r="D50" s="282" t="s">
        <v>788</v>
      </c>
      <c r="E50" s="283">
        <v>2023</v>
      </c>
      <c r="F50" s="284">
        <v>15.26</v>
      </c>
      <c r="G50" s="285">
        <v>2123</v>
      </c>
      <c r="H50" s="285">
        <f t="shared" si="0"/>
        <v>139.12188728702489</v>
      </c>
      <c r="I50" s="286"/>
      <c r="J50" s="286"/>
      <c r="K50" s="286"/>
      <c r="L50" s="286"/>
      <c r="M50" s="286"/>
      <c r="N50" s="286"/>
      <c r="O50" s="286"/>
    </row>
    <row r="51" spans="2:15" x14ac:dyDescent="0.2">
      <c r="B51" s="282" t="s">
        <v>648</v>
      </c>
      <c r="C51" s="282">
        <v>1</v>
      </c>
      <c r="D51" s="282" t="s">
        <v>789</v>
      </c>
      <c r="E51" s="283">
        <v>2023</v>
      </c>
      <c r="F51" s="284">
        <v>28.37</v>
      </c>
      <c r="G51" s="285">
        <v>3870</v>
      </c>
      <c r="H51" s="285">
        <f t="shared" si="0"/>
        <v>136.41170250264364</v>
      </c>
      <c r="I51" s="286"/>
      <c r="J51" s="286"/>
      <c r="K51" s="286"/>
      <c r="L51" s="286"/>
      <c r="M51" s="286"/>
      <c r="N51" s="286"/>
      <c r="O51" s="286"/>
    </row>
    <row r="52" spans="2:15" x14ac:dyDescent="0.2">
      <c r="B52" s="282" t="s">
        <v>648</v>
      </c>
      <c r="C52" s="282">
        <v>1</v>
      </c>
      <c r="D52" s="282" t="s">
        <v>790</v>
      </c>
      <c r="E52" s="283">
        <v>2023</v>
      </c>
      <c r="F52" s="284">
        <v>27.47</v>
      </c>
      <c r="G52" s="285">
        <v>3730</v>
      </c>
      <c r="H52" s="285">
        <f t="shared" si="0"/>
        <v>135.78449217327994</v>
      </c>
      <c r="I52" s="286"/>
      <c r="J52" s="286"/>
      <c r="K52" s="286"/>
      <c r="L52" s="286"/>
      <c r="M52" s="286"/>
      <c r="N52" s="286"/>
      <c r="O52" s="286"/>
    </row>
    <row r="53" spans="2:15" x14ac:dyDescent="0.2">
      <c r="B53" s="282" t="s">
        <v>648</v>
      </c>
      <c r="C53" s="282">
        <v>1</v>
      </c>
      <c r="D53" s="282" t="s">
        <v>791</v>
      </c>
      <c r="E53" s="283">
        <v>2023</v>
      </c>
      <c r="F53" s="284">
        <v>29.25</v>
      </c>
      <c r="G53" s="285">
        <v>3968</v>
      </c>
      <c r="H53" s="285">
        <f t="shared" si="0"/>
        <v>135.65811965811966</v>
      </c>
      <c r="I53" s="286"/>
      <c r="J53" s="286"/>
      <c r="K53" s="286"/>
      <c r="L53" s="286"/>
      <c r="M53" s="286"/>
      <c r="N53" s="286"/>
      <c r="O53" s="286"/>
    </row>
    <row r="54" spans="2:15" x14ac:dyDescent="0.2">
      <c r="B54" s="282" t="s">
        <v>648</v>
      </c>
      <c r="C54" s="282">
        <v>1</v>
      </c>
      <c r="D54" s="282" t="s">
        <v>792</v>
      </c>
      <c r="E54" s="283">
        <v>2023</v>
      </c>
      <c r="F54" s="284">
        <v>10.39</v>
      </c>
      <c r="G54" s="285">
        <v>1415</v>
      </c>
      <c r="H54" s="285">
        <f t="shared" si="0"/>
        <v>136.18864292589026</v>
      </c>
      <c r="I54" s="286"/>
      <c r="J54" s="286"/>
      <c r="K54" s="286"/>
      <c r="L54" s="286"/>
      <c r="M54" s="286"/>
      <c r="N54" s="286"/>
      <c r="O54" s="286"/>
    </row>
    <row r="55" spans="2:15" x14ac:dyDescent="0.2">
      <c r="B55" s="282" t="s">
        <v>648</v>
      </c>
      <c r="C55" s="282">
        <v>1</v>
      </c>
      <c r="D55" s="282" t="s">
        <v>793</v>
      </c>
      <c r="E55" s="283">
        <v>2023</v>
      </c>
      <c r="F55" s="284">
        <v>9.75</v>
      </c>
      <c r="G55" s="285">
        <v>1352</v>
      </c>
      <c r="H55" s="285">
        <f t="shared" si="0"/>
        <v>138.66666666666666</v>
      </c>
      <c r="I55" s="286"/>
      <c r="J55" s="286"/>
      <c r="K55" s="286"/>
      <c r="L55" s="286"/>
      <c r="M55" s="286"/>
      <c r="N55" s="286"/>
      <c r="O55" s="286"/>
    </row>
    <row r="56" spans="2:15" x14ac:dyDescent="0.2">
      <c r="B56" s="282" t="s">
        <v>648</v>
      </c>
      <c r="C56" s="282">
        <v>1</v>
      </c>
      <c r="D56" s="282" t="s">
        <v>794</v>
      </c>
      <c r="E56" s="283">
        <v>2023</v>
      </c>
      <c r="F56" s="284">
        <v>9.34</v>
      </c>
      <c r="G56" s="285">
        <v>1325</v>
      </c>
      <c r="H56" s="285">
        <f t="shared" si="0"/>
        <v>141.86295503211991</v>
      </c>
      <c r="I56" s="286"/>
      <c r="J56" s="286"/>
      <c r="K56" s="286"/>
      <c r="L56" s="286"/>
      <c r="M56" s="286"/>
      <c r="N56" s="286"/>
      <c r="O56" s="286"/>
    </row>
    <row r="57" spans="2:15" x14ac:dyDescent="0.2">
      <c r="B57" s="282" t="s">
        <v>649</v>
      </c>
      <c r="C57" s="282">
        <v>1</v>
      </c>
      <c r="D57" s="282" t="s">
        <v>795</v>
      </c>
      <c r="E57" s="283">
        <v>2024</v>
      </c>
      <c r="F57" s="284">
        <v>5.41</v>
      </c>
      <c r="G57" s="285">
        <v>709</v>
      </c>
      <c r="H57" s="285">
        <f t="shared" si="0"/>
        <v>131.05360443622919</v>
      </c>
      <c r="I57" s="286"/>
      <c r="J57" s="286"/>
      <c r="K57" s="286"/>
      <c r="L57" s="286"/>
      <c r="M57" s="286"/>
      <c r="N57" s="286"/>
      <c r="O57" s="286"/>
    </row>
    <row r="58" spans="2:15" x14ac:dyDescent="0.2">
      <c r="B58" s="282" t="s">
        <v>649</v>
      </c>
      <c r="C58" s="282">
        <v>1</v>
      </c>
      <c r="D58" s="282" t="s">
        <v>796</v>
      </c>
      <c r="E58" s="283">
        <v>2024</v>
      </c>
      <c r="F58" s="284">
        <v>5.12</v>
      </c>
      <c r="G58" s="285">
        <v>698</v>
      </c>
      <c r="H58" s="285">
        <f t="shared" si="0"/>
        <v>136.328125</v>
      </c>
      <c r="I58" s="286"/>
      <c r="J58" s="286"/>
      <c r="K58" s="286"/>
      <c r="L58" s="286"/>
      <c r="M58" s="286"/>
      <c r="N58" s="286"/>
      <c r="O58" s="286"/>
    </row>
    <row r="59" spans="2:15" x14ac:dyDescent="0.2">
      <c r="B59" s="282" t="s">
        <v>649</v>
      </c>
      <c r="C59" s="282">
        <v>1</v>
      </c>
      <c r="D59" s="282" t="s">
        <v>797</v>
      </c>
      <c r="E59" s="283">
        <v>2024</v>
      </c>
      <c r="F59" s="284">
        <v>0.59</v>
      </c>
      <c r="G59" s="285">
        <v>80</v>
      </c>
      <c r="H59" s="285">
        <f t="shared" si="0"/>
        <v>135.59322033898306</v>
      </c>
      <c r="I59" s="286"/>
      <c r="J59" s="286"/>
      <c r="K59" s="286"/>
      <c r="L59" s="286"/>
      <c r="M59" s="286"/>
      <c r="N59" s="286"/>
      <c r="O59" s="286"/>
    </row>
    <row r="60" spans="2:15" x14ac:dyDescent="0.2">
      <c r="B60" s="282" t="s">
        <v>648</v>
      </c>
      <c r="C60" s="282">
        <v>2</v>
      </c>
      <c r="D60" s="282" t="s">
        <v>798</v>
      </c>
      <c r="E60" s="283">
        <v>2023</v>
      </c>
      <c r="F60" s="284">
        <v>5.69</v>
      </c>
      <c r="G60" s="285">
        <v>777</v>
      </c>
      <c r="H60" s="285">
        <f t="shared" si="0"/>
        <v>136.55536028119508</v>
      </c>
      <c r="I60" s="286"/>
      <c r="J60" s="286"/>
      <c r="K60" s="286"/>
      <c r="L60" s="286"/>
      <c r="M60" s="286"/>
      <c r="N60" s="286"/>
      <c r="O60" s="286"/>
    </row>
    <row r="61" spans="2:15" x14ac:dyDescent="0.2">
      <c r="B61" s="282" t="s">
        <v>648</v>
      </c>
      <c r="C61" s="282">
        <v>2</v>
      </c>
      <c r="D61" s="282" t="s">
        <v>799</v>
      </c>
      <c r="E61" s="283">
        <v>2023</v>
      </c>
      <c r="F61" s="284">
        <v>5.0199999999999996</v>
      </c>
      <c r="G61" s="285">
        <v>675</v>
      </c>
      <c r="H61" s="285">
        <f t="shared" si="0"/>
        <v>134.46215139442234</v>
      </c>
      <c r="I61" s="286"/>
      <c r="J61" s="286"/>
      <c r="K61" s="286"/>
      <c r="L61" s="286"/>
      <c r="M61" s="286"/>
      <c r="N61" s="286"/>
      <c r="O61" s="286"/>
    </row>
    <row r="62" spans="2:15" x14ac:dyDescent="0.2">
      <c r="B62" s="282" t="s">
        <v>648</v>
      </c>
      <c r="C62" s="282">
        <v>2</v>
      </c>
      <c r="D62" s="282" t="s">
        <v>800</v>
      </c>
      <c r="E62" s="283">
        <v>2023</v>
      </c>
      <c r="F62" s="284">
        <v>3.05</v>
      </c>
      <c r="G62" s="285">
        <v>428</v>
      </c>
      <c r="H62" s="285">
        <f t="shared" si="0"/>
        <v>140.32786885245903</v>
      </c>
      <c r="I62" s="286"/>
      <c r="J62" s="286"/>
      <c r="K62" s="286"/>
      <c r="L62" s="286"/>
      <c r="M62" s="286"/>
      <c r="N62" s="286"/>
      <c r="O62" s="286"/>
    </row>
    <row r="63" spans="2:15" x14ac:dyDescent="0.2">
      <c r="B63" s="282" t="s">
        <v>648</v>
      </c>
      <c r="C63" s="282">
        <v>2</v>
      </c>
      <c r="D63" s="282" t="s">
        <v>801</v>
      </c>
      <c r="E63" s="283">
        <v>2023</v>
      </c>
      <c r="F63" s="284">
        <v>1.43</v>
      </c>
      <c r="G63" s="285">
        <v>180</v>
      </c>
      <c r="H63" s="285">
        <f t="shared" si="0"/>
        <v>125.87412587412588</v>
      </c>
      <c r="I63" s="286"/>
      <c r="J63" s="286"/>
      <c r="K63" s="286"/>
      <c r="L63" s="286"/>
      <c r="M63" s="286"/>
      <c r="N63" s="286"/>
      <c r="O63" s="286"/>
    </row>
    <row r="64" spans="2:15" x14ac:dyDescent="0.2">
      <c r="B64" s="282" t="s">
        <v>648</v>
      </c>
      <c r="C64" s="282">
        <v>2</v>
      </c>
      <c r="D64" s="282" t="s">
        <v>802</v>
      </c>
      <c r="E64" s="283">
        <v>2023</v>
      </c>
      <c r="F64" s="284">
        <v>0.39</v>
      </c>
      <c r="G64" s="285">
        <v>47</v>
      </c>
      <c r="H64" s="285">
        <f t="shared" si="0"/>
        <v>120.51282051282051</v>
      </c>
      <c r="I64" s="286"/>
      <c r="J64" s="286"/>
      <c r="K64" s="286"/>
      <c r="L64" s="286"/>
      <c r="M64" s="286"/>
      <c r="N64" s="286"/>
      <c r="O64" s="286"/>
    </row>
    <row r="65" spans="2:15" x14ac:dyDescent="0.2">
      <c r="B65" s="282" t="s">
        <v>648</v>
      </c>
      <c r="C65" s="282">
        <v>2</v>
      </c>
      <c r="D65" s="282" t="s">
        <v>803</v>
      </c>
      <c r="E65" s="283">
        <v>2023</v>
      </c>
      <c r="F65" s="284">
        <v>1.22</v>
      </c>
      <c r="G65" s="285">
        <v>186</v>
      </c>
      <c r="H65" s="285">
        <f t="shared" si="0"/>
        <v>152.45901639344262</v>
      </c>
      <c r="I65" s="286"/>
      <c r="J65" s="286"/>
      <c r="K65" s="286"/>
      <c r="L65" s="286"/>
      <c r="M65" s="286"/>
      <c r="N65" s="286"/>
      <c r="O65" s="286"/>
    </row>
    <row r="66" spans="2:15" x14ac:dyDescent="0.2">
      <c r="B66" s="282" t="s">
        <v>648</v>
      </c>
      <c r="C66" s="282">
        <v>2</v>
      </c>
      <c r="D66" s="282" t="s">
        <v>804</v>
      </c>
      <c r="E66" s="283">
        <v>2023</v>
      </c>
      <c r="F66" s="284">
        <v>6.13</v>
      </c>
      <c r="G66" s="285">
        <v>830</v>
      </c>
      <c r="H66" s="285">
        <f t="shared" si="0"/>
        <v>135.39967373572594</v>
      </c>
      <c r="I66" s="286"/>
      <c r="J66" s="286"/>
      <c r="K66" s="286"/>
      <c r="L66" s="286"/>
      <c r="M66" s="286"/>
      <c r="N66" s="286"/>
      <c r="O66" s="286"/>
    </row>
    <row r="67" spans="2:15" x14ac:dyDescent="0.2">
      <c r="B67" s="282" t="s">
        <v>648</v>
      </c>
      <c r="C67" s="282">
        <v>2</v>
      </c>
      <c r="D67" s="282" t="s">
        <v>805</v>
      </c>
      <c r="E67" s="283">
        <v>2023</v>
      </c>
      <c r="F67" s="284">
        <v>11.14</v>
      </c>
      <c r="G67" s="285">
        <v>1509</v>
      </c>
      <c r="H67" s="285">
        <f t="shared" si="0"/>
        <v>135.45780969479353</v>
      </c>
      <c r="I67" s="286"/>
      <c r="J67" s="286"/>
      <c r="K67" s="286"/>
      <c r="L67" s="286"/>
      <c r="M67" s="286"/>
      <c r="N67" s="286"/>
      <c r="O67" s="286"/>
    </row>
    <row r="68" spans="2:15" x14ac:dyDescent="0.2">
      <c r="B68" s="282" t="s">
        <v>648</v>
      </c>
      <c r="C68" s="282">
        <v>2</v>
      </c>
      <c r="D68" s="282" t="s">
        <v>806</v>
      </c>
      <c r="E68" s="283">
        <v>2023</v>
      </c>
      <c r="F68" s="284">
        <v>29.53</v>
      </c>
      <c r="G68" s="285">
        <v>3975</v>
      </c>
      <c r="H68" s="285">
        <f t="shared" si="0"/>
        <v>134.60887233322046</v>
      </c>
      <c r="I68" s="286"/>
      <c r="J68" s="286"/>
      <c r="K68" s="286"/>
      <c r="L68" s="286"/>
      <c r="M68" s="286"/>
      <c r="N68" s="286"/>
      <c r="O68" s="286"/>
    </row>
    <row r="69" spans="2:15" x14ac:dyDescent="0.2">
      <c r="B69" s="282" t="s">
        <v>648</v>
      </c>
      <c r="C69" s="282">
        <v>2</v>
      </c>
      <c r="D69" s="282" t="s">
        <v>807</v>
      </c>
      <c r="E69" s="283">
        <v>2023</v>
      </c>
      <c r="F69" s="284">
        <v>33.58</v>
      </c>
      <c r="G69" s="285">
        <v>4554</v>
      </c>
      <c r="H69" s="285">
        <f t="shared" si="0"/>
        <v>135.61643835616439</v>
      </c>
      <c r="I69" s="286"/>
      <c r="J69" s="286"/>
      <c r="K69" s="286"/>
      <c r="L69" s="286"/>
      <c r="M69" s="286"/>
      <c r="N69" s="286"/>
      <c r="O69" s="286"/>
    </row>
    <row r="70" spans="2:15" x14ac:dyDescent="0.2">
      <c r="B70" s="282" t="s">
        <v>648</v>
      </c>
      <c r="C70" s="282">
        <v>2</v>
      </c>
      <c r="D70" s="282" t="s">
        <v>808</v>
      </c>
      <c r="E70" s="283">
        <v>2023</v>
      </c>
      <c r="F70" s="284">
        <v>31.94</v>
      </c>
      <c r="G70" s="285">
        <v>4329</v>
      </c>
      <c r="H70" s="285">
        <f t="shared" si="0"/>
        <v>135.53537883531621</v>
      </c>
      <c r="I70" s="286"/>
      <c r="J70" s="286"/>
      <c r="K70" s="286"/>
      <c r="L70" s="286"/>
      <c r="M70" s="286"/>
      <c r="N70" s="286"/>
      <c r="O70" s="286"/>
    </row>
    <row r="71" spans="2:15" x14ac:dyDescent="0.2">
      <c r="B71" s="282" t="s">
        <v>648</v>
      </c>
      <c r="C71" s="282">
        <v>2</v>
      </c>
      <c r="D71" s="282" t="s">
        <v>809</v>
      </c>
      <c r="E71" s="283">
        <v>2023</v>
      </c>
      <c r="F71" s="284">
        <v>31.29</v>
      </c>
      <c r="G71" s="285">
        <v>4227</v>
      </c>
      <c r="H71" s="285">
        <f t="shared" si="0"/>
        <v>135.09108341323108</v>
      </c>
      <c r="I71" s="286"/>
      <c r="J71" s="286"/>
      <c r="K71" s="286"/>
      <c r="L71" s="286"/>
      <c r="M71" s="286"/>
      <c r="N71" s="286"/>
      <c r="O71" s="286"/>
    </row>
    <row r="72" spans="2:15" x14ac:dyDescent="0.2">
      <c r="B72" s="282" t="s">
        <v>648</v>
      </c>
      <c r="C72" s="282">
        <v>2</v>
      </c>
      <c r="D72" s="282" t="s">
        <v>810</v>
      </c>
      <c r="E72" s="283">
        <v>2023</v>
      </c>
      <c r="F72" s="284">
        <v>18.86</v>
      </c>
      <c r="G72" s="285">
        <v>2513</v>
      </c>
      <c r="H72" s="285">
        <f t="shared" ref="H72:H135" si="1">IFERROR(G72/F72,0)</f>
        <v>133.24496288441145</v>
      </c>
      <c r="I72" s="286"/>
      <c r="J72" s="286"/>
      <c r="K72" s="286"/>
      <c r="L72" s="286"/>
      <c r="M72" s="286"/>
      <c r="N72" s="286"/>
      <c r="O72" s="286"/>
    </row>
    <row r="73" spans="2:15" x14ac:dyDescent="0.2">
      <c r="B73" s="282" t="s">
        <v>648</v>
      </c>
      <c r="C73" s="282">
        <v>2</v>
      </c>
      <c r="D73" s="282" t="s">
        <v>811</v>
      </c>
      <c r="E73" s="283">
        <v>2023</v>
      </c>
      <c r="F73" s="284">
        <v>18.7</v>
      </c>
      <c r="G73" s="285">
        <v>2515</v>
      </c>
      <c r="H73" s="285">
        <f t="shared" si="1"/>
        <v>134.49197860962568</v>
      </c>
      <c r="I73" s="286"/>
      <c r="J73" s="286"/>
      <c r="K73" s="286"/>
      <c r="L73" s="286"/>
      <c r="M73" s="286"/>
      <c r="N73" s="286"/>
      <c r="O73" s="286"/>
    </row>
    <row r="74" spans="2:15" x14ac:dyDescent="0.2">
      <c r="B74" s="282" t="s">
        <v>648</v>
      </c>
      <c r="C74" s="282">
        <v>2</v>
      </c>
      <c r="D74" s="282" t="s">
        <v>812</v>
      </c>
      <c r="E74" s="283">
        <v>2023</v>
      </c>
      <c r="F74" s="284">
        <v>18.97</v>
      </c>
      <c r="G74" s="285">
        <v>2578</v>
      </c>
      <c r="H74" s="285">
        <f t="shared" si="1"/>
        <v>135.89878755930417</v>
      </c>
      <c r="I74" s="286"/>
      <c r="J74" s="286"/>
      <c r="K74" s="286"/>
      <c r="L74" s="286"/>
      <c r="M74" s="286"/>
      <c r="N74" s="286"/>
      <c r="O74" s="286"/>
    </row>
    <row r="75" spans="2:15" x14ac:dyDescent="0.2">
      <c r="B75" s="282" t="s">
        <v>648</v>
      </c>
      <c r="C75" s="282">
        <v>2</v>
      </c>
      <c r="D75" s="282" t="s">
        <v>813</v>
      </c>
      <c r="E75" s="283">
        <v>2023</v>
      </c>
      <c r="F75" s="284">
        <v>18.72</v>
      </c>
      <c r="G75" s="285">
        <v>2474</v>
      </c>
      <c r="H75" s="285">
        <f t="shared" si="1"/>
        <v>132.15811965811966</v>
      </c>
      <c r="I75" s="286"/>
      <c r="J75" s="286"/>
      <c r="K75" s="286"/>
      <c r="L75" s="286"/>
      <c r="M75" s="286"/>
      <c r="N75" s="286"/>
      <c r="O75" s="286"/>
    </row>
    <row r="76" spans="2:15" x14ac:dyDescent="0.2">
      <c r="B76" s="282" t="s">
        <v>648</v>
      </c>
      <c r="C76" s="282">
        <v>2</v>
      </c>
      <c r="D76" s="282" t="s">
        <v>814</v>
      </c>
      <c r="E76" s="283">
        <v>2023</v>
      </c>
      <c r="F76" s="284">
        <v>29.29</v>
      </c>
      <c r="G76" s="285">
        <v>3984</v>
      </c>
      <c r="H76" s="285">
        <f t="shared" si="1"/>
        <v>136.01911915329464</v>
      </c>
      <c r="I76" s="286"/>
      <c r="J76" s="286"/>
      <c r="K76" s="286"/>
      <c r="L76" s="286"/>
      <c r="M76" s="286"/>
      <c r="N76" s="286"/>
      <c r="O76" s="286"/>
    </row>
    <row r="77" spans="2:15" x14ac:dyDescent="0.2">
      <c r="B77" s="282" t="s">
        <v>648</v>
      </c>
      <c r="C77" s="282">
        <v>2</v>
      </c>
      <c r="D77" s="282" t="s">
        <v>815</v>
      </c>
      <c r="E77" s="283">
        <v>2023</v>
      </c>
      <c r="F77" s="284">
        <v>29.27</v>
      </c>
      <c r="G77" s="285">
        <v>3957</v>
      </c>
      <c r="H77" s="285">
        <f t="shared" si="1"/>
        <v>135.18961393918687</v>
      </c>
      <c r="I77" s="286"/>
      <c r="J77" s="286"/>
      <c r="K77" s="286"/>
      <c r="L77" s="286"/>
      <c r="M77" s="286"/>
      <c r="N77" s="286"/>
      <c r="O77" s="286"/>
    </row>
    <row r="78" spans="2:15" x14ac:dyDescent="0.2">
      <c r="B78" s="282" t="s">
        <v>648</v>
      </c>
      <c r="C78" s="282">
        <v>2</v>
      </c>
      <c r="D78" s="282" t="s">
        <v>816</v>
      </c>
      <c r="E78" s="283">
        <v>2023</v>
      </c>
      <c r="F78" s="284">
        <v>29.71</v>
      </c>
      <c r="G78" s="285">
        <v>4019</v>
      </c>
      <c r="H78" s="285">
        <f t="shared" si="1"/>
        <v>135.27431841130931</v>
      </c>
      <c r="I78" s="286"/>
      <c r="J78" s="286"/>
      <c r="K78" s="286"/>
      <c r="L78" s="286"/>
      <c r="M78" s="286"/>
      <c r="N78" s="286"/>
      <c r="O78" s="286"/>
    </row>
    <row r="79" spans="2:15" x14ac:dyDescent="0.2">
      <c r="B79" s="282" t="s">
        <v>648</v>
      </c>
      <c r="C79" s="282">
        <v>2</v>
      </c>
      <c r="D79" s="282" t="s">
        <v>817</v>
      </c>
      <c r="E79" s="283">
        <v>2023</v>
      </c>
      <c r="F79" s="284">
        <v>31.42</v>
      </c>
      <c r="G79" s="285">
        <v>4325</v>
      </c>
      <c r="H79" s="285">
        <f t="shared" si="1"/>
        <v>137.65117759388923</v>
      </c>
      <c r="I79" s="286"/>
      <c r="J79" s="286"/>
      <c r="K79" s="286"/>
      <c r="L79" s="286"/>
      <c r="M79" s="286"/>
      <c r="N79" s="286"/>
      <c r="O79" s="286"/>
    </row>
    <row r="80" spans="2:15" x14ac:dyDescent="0.2">
      <c r="B80" s="282" t="s">
        <v>648</v>
      </c>
      <c r="C80" s="282">
        <v>2</v>
      </c>
      <c r="D80" s="282" t="s">
        <v>818</v>
      </c>
      <c r="E80" s="283">
        <v>2023</v>
      </c>
      <c r="F80" s="284">
        <v>30.69</v>
      </c>
      <c r="G80" s="285">
        <v>4148</v>
      </c>
      <c r="H80" s="285">
        <f t="shared" si="1"/>
        <v>135.15803193222547</v>
      </c>
      <c r="I80" s="286"/>
      <c r="J80" s="286"/>
      <c r="K80" s="286"/>
      <c r="L80" s="286"/>
      <c r="M80" s="286"/>
      <c r="N80" s="286"/>
      <c r="O80" s="286"/>
    </row>
    <row r="81" spans="2:15" x14ac:dyDescent="0.2">
      <c r="B81" s="282" t="s">
        <v>648</v>
      </c>
      <c r="C81" s="282">
        <v>2</v>
      </c>
      <c r="D81" s="282" t="s">
        <v>819</v>
      </c>
      <c r="E81" s="283">
        <v>2023</v>
      </c>
      <c r="F81" s="284">
        <v>33.19</v>
      </c>
      <c r="G81" s="285">
        <v>4417</v>
      </c>
      <c r="H81" s="285">
        <f t="shared" si="1"/>
        <v>133.08225369087074</v>
      </c>
      <c r="I81" s="286"/>
      <c r="J81" s="286"/>
      <c r="K81" s="286"/>
      <c r="L81" s="286"/>
      <c r="M81" s="286"/>
      <c r="N81" s="286"/>
      <c r="O81" s="286"/>
    </row>
    <row r="82" spans="2:15" x14ac:dyDescent="0.2">
      <c r="B82" s="282" t="s">
        <v>648</v>
      </c>
      <c r="C82" s="282">
        <v>2</v>
      </c>
      <c r="D82" s="282" t="s">
        <v>820</v>
      </c>
      <c r="E82" s="283">
        <v>2023</v>
      </c>
      <c r="F82" s="284">
        <v>32.85</v>
      </c>
      <c r="G82" s="285">
        <v>4330</v>
      </c>
      <c r="H82" s="285">
        <f t="shared" si="1"/>
        <v>131.81126331811262</v>
      </c>
      <c r="I82" s="286"/>
      <c r="J82" s="286"/>
      <c r="K82" s="286"/>
      <c r="L82" s="286"/>
      <c r="M82" s="286"/>
      <c r="N82" s="286"/>
      <c r="O82" s="286"/>
    </row>
    <row r="83" spans="2:15" x14ac:dyDescent="0.2">
      <c r="B83" s="282" t="s">
        <v>648</v>
      </c>
      <c r="C83" s="282">
        <v>2</v>
      </c>
      <c r="D83" s="282" t="s">
        <v>821</v>
      </c>
      <c r="E83" s="283">
        <v>2023</v>
      </c>
      <c r="F83" s="284">
        <v>33.869999999999997</v>
      </c>
      <c r="G83" s="285">
        <v>4515</v>
      </c>
      <c r="H83" s="285">
        <f t="shared" si="1"/>
        <v>133.30380868024801</v>
      </c>
      <c r="I83" s="286"/>
      <c r="J83" s="286"/>
      <c r="K83" s="286"/>
      <c r="L83" s="286"/>
      <c r="M83" s="286"/>
      <c r="N83" s="286"/>
      <c r="O83" s="286"/>
    </row>
    <row r="84" spans="2:15" x14ac:dyDescent="0.2">
      <c r="B84" s="282" t="s">
        <v>648</v>
      </c>
      <c r="C84" s="282">
        <v>2</v>
      </c>
      <c r="D84" s="282" t="s">
        <v>822</v>
      </c>
      <c r="E84" s="283">
        <v>2023</v>
      </c>
      <c r="F84" s="284">
        <v>33.229999999999997</v>
      </c>
      <c r="G84" s="285">
        <v>4475</v>
      </c>
      <c r="H84" s="285">
        <f t="shared" si="1"/>
        <v>134.66746915437858</v>
      </c>
      <c r="I84" s="286"/>
      <c r="J84" s="286"/>
      <c r="K84" s="286"/>
      <c r="L84" s="286"/>
      <c r="M84" s="286"/>
      <c r="N84" s="286"/>
      <c r="O84" s="286"/>
    </row>
    <row r="85" spans="2:15" x14ac:dyDescent="0.2">
      <c r="B85" s="282" t="s">
        <v>648</v>
      </c>
      <c r="C85" s="282">
        <v>2</v>
      </c>
      <c r="D85" s="282" t="s">
        <v>823</v>
      </c>
      <c r="E85" s="283">
        <v>2023</v>
      </c>
      <c r="F85" s="284">
        <v>15.01</v>
      </c>
      <c r="G85" s="285">
        <v>1995</v>
      </c>
      <c r="H85" s="285">
        <f t="shared" si="1"/>
        <v>132.91139240506328</v>
      </c>
      <c r="I85" s="286"/>
      <c r="J85" s="286"/>
      <c r="K85" s="286"/>
      <c r="L85" s="286"/>
      <c r="M85" s="286"/>
      <c r="N85" s="286"/>
      <c r="O85" s="286"/>
    </row>
    <row r="86" spans="2:15" x14ac:dyDescent="0.2">
      <c r="B86" s="282" t="s">
        <v>648</v>
      </c>
      <c r="C86" s="282">
        <v>2</v>
      </c>
      <c r="D86" s="282" t="s">
        <v>824</v>
      </c>
      <c r="E86" s="283">
        <v>2023</v>
      </c>
      <c r="F86" s="284">
        <v>15.94</v>
      </c>
      <c r="G86" s="285">
        <v>2137</v>
      </c>
      <c r="H86" s="285">
        <f t="shared" si="1"/>
        <v>134.06524466750315</v>
      </c>
      <c r="I86" s="286"/>
      <c r="J86" s="286"/>
      <c r="K86" s="286"/>
      <c r="L86" s="286"/>
      <c r="M86" s="286"/>
      <c r="N86" s="286"/>
      <c r="O86" s="286"/>
    </row>
    <row r="87" spans="2:15" x14ac:dyDescent="0.2">
      <c r="B87" s="282" t="s">
        <v>648</v>
      </c>
      <c r="C87" s="282">
        <v>2</v>
      </c>
      <c r="D87" s="282" t="s">
        <v>825</v>
      </c>
      <c r="E87" s="283">
        <v>2023</v>
      </c>
      <c r="F87" s="284">
        <v>16.27</v>
      </c>
      <c r="G87" s="285">
        <v>2141</v>
      </c>
      <c r="H87" s="285">
        <f t="shared" si="1"/>
        <v>131.59188690842041</v>
      </c>
      <c r="I87" s="286"/>
      <c r="J87" s="286"/>
      <c r="K87" s="286"/>
      <c r="L87" s="286"/>
      <c r="M87" s="286"/>
      <c r="N87" s="286"/>
      <c r="O87" s="286"/>
    </row>
    <row r="88" spans="2:15" x14ac:dyDescent="0.2">
      <c r="B88" s="282" t="s">
        <v>648</v>
      </c>
      <c r="C88" s="282">
        <v>2</v>
      </c>
      <c r="D88" s="282" t="s">
        <v>826</v>
      </c>
      <c r="E88" s="283">
        <v>2023</v>
      </c>
      <c r="F88" s="284">
        <v>8.3699999999999992</v>
      </c>
      <c r="G88" s="285">
        <v>1112</v>
      </c>
      <c r="H88" s="285">
        <f t="shared" si="1"/>
        <v>132.85543608124254</v>
      </c>
      <c r="I88" s="286"/>
      <c r="J88" s="286"/>
      <c r="K88" s="286"/>
      <c r="L88" s="286"/>
      <c r="M88" s="286"/>
      <c r="N88" s="286"/>
      <c r="O88" s="286"/>
    </row>
    <row r="89" spans="2:15" x14ac:dyDescent="0.2">
      <c r="B89" s="282" t="s">
        <v>648</v>
      </c>
      <c r="C89" s="282">
        <v>2</v>
      </c>
      <c r="D89" s="282" t="s">
        <v>827</v>
      </c>
      <c r="E89" s="283">
        <v>2023</v>
      </c>
      <c r="F89" s="284">
        <v>9.0399999999999991</v>
      </c>
      <c r="G89" s="285">
        <v>1109</v>
      </c>
      <c r="H89" s="285">
        <f t="shared" si="1"/>
        <v>122.67699115044249</v>
      </c>
      <c r="I89" s="286"/>
      <c r="J89" s="286"/>
      <c r="K89" s="286"/>
      <c r="L89" s="286"/>
      <c r="M89" s="286"/>
      <c r="N89" s="286"/>
      <c r="O89" s="286"/>
    </row>
    <row r="90" spans="2:15" x14ac:dyDescent="0.2">
      <c r="B90" s="282" t="s">
        <v>648</v>
      </c>
      <c r="C90" s="282">
        <v>2</v>
      </c>
      <c r="D90" s="282" t="s">
        <v>828</v>
      </c>
      <c r="E90" s="283">
        <v>2023</v>
      </c>
      <c r="F90" s="284">
        <v>9.48</v>
      </c>
      <c r="G90" s="285">
        <v>1313</v>
      </c>
      <c r="H90" s="285">
        <f t="shared" si="1"/>
        <v>138.50210970464136</v>
      </c>
      <c r="I90" s="286"/>
      <c r="J90" s="286"/>
      <c r="K90" s="286"/>
      <c r="L90" s="286"/>
      <c r="M90" s="286"/>
      <c r="N90" s="286"/>
      <c r="O90" s="286"/>
    </row>
    <row r="91" spans="2:15" x14ac:dyDescent="0.2">
      <c r="B91" s="282" t="s">
        <v>648</v>
      </c>
      <c r="C91" s="282">
        <v>2</v>
      </c>
      <c r="D91" s="282" t="s">
        <v>829</v>
      </c>
      <c r="E91" s="283">
        <v>2023</v>
      </c>
      <c r="F91" s="284">
        <v>10.91</v>
      </c>
      <c r="G91" s="285">
        <v>1528</v>
      </c>
      <c r="H91" s="285">
        <f t="shared" si="1"/>
        <v>140.05499541704859</v>
      </c>
      <c r="I91" s="286"/>
      <c r="J91" s="286"/>
      <c r="K91" s="286"/>
      <c r="L91" s="286"/>
      <c r="M91" s="286"/>
      <c r="N91" s="286"/>
      <c r="O91" s="286"/>
    </row>
    <row r="92" spans="2:15" x14ac:dyDescent="0.2">
      <c r="B92" s="282" t="s">
        <v>648</v>
      </c>
      <c r="C92" s="282">
        <v>2</v>
      </c>
      <c r="D92" s="282" t="s">
        <v>830</v>
      </c>
      <c r="E92" s="283">
        <v>2023</v>
      </c>
      <c r="F92" s="284">
        <v>12.06</v>
      </c>
      <c r="G92" s="285">
        <v>1639</v>
      </c>
      <c r="H92" s="285">
        <f t="shared" si="1"/>
        <v>135.90381426202322</v>
      </c>
      <c r="I92" s="286"/>
      <c r="J92" s="286"/>
      <c r="K92" s="286"/>
      <c r="L92" s="286"/>
      <c r="M92" s="286"/>
      <c r="N92" s="286"/>
      <c r="O92" s="286"/>
    </row>
    <row r="93" spans="2:15" x14ac:dyDescent="0.2">
      <c r="B93" s="282" t="s">
        <v>648</v>
      </c>
      <c r="C93" s="282">
        <v>2</v>
      </c>
      <c r="D93" s="282" t="s">
        <v>831</v>
      </c>
      <c r="E93" s="283">
        <v>2023</v>
      </c>
      <c r="F93" s="284">
        <v>13.67</v>
      </c>
      <c r="G93" s="285">
        <v>1879</v>
      </c>
      <c r="H93" s="285">
        <f t="shared" si="1"/>
        <v>137.45427944403804</v>
      </c>
      <c r="I93" s="286"/>
      <c r="J93" s="286"/>
      <c r="K93" s="286"/>
      <c r="L93" s="286"/>
      <c r="M93" s="286"/>
      <c r="N93" s="286"/>
      <c r="O93" s="286"/>
    </row>
    <row r="94" spans="2:15" x14ac:dyDescent="0.2">
      <c r="B94" s="282" t="s">
        <v>648</v>
      </c>
      <c r="C94" s="282">
        <v>2</v>
      </c>
      <c r="D94" s="282" t="s">
        <v>832</v>
      </c>
      <c r="E94" s="283">
        <v>2023</v>
      </c>
      <c r="F94" s="284">
        <v>22.88</v>
      </c>
      <c r="G94" s="285">
        <v>3125</v>
      </c>
      <c r="H94" s="285">
        <f t="shared" si="1"/>
        <v>136.58216783216784</v>
      </c>
      <c r="I94" s="286"/>
      <c r="J94" s="286"/>
      <c r="K94" s="286"/>
      <c r="L94" s="286"/>
      <c r="M94" s="286"/>
      <c r="N94" s="286"/>
      <c r="O94" s="286"/>
    </row>
    <row r="95" spans="2:15" x14ac:dyDescent="0.2">
      <c r="B95" s="282" t="s">
        <v>648</v>
      </c>
      <c r="C95" s="282">
        <v>2</v>
      </c>
      <c r="D95" s="282" t="s">
        <v>833</v>
      </c>
      <c r="E95" s="283">
        <v>2023</v>
      </c>
      <c r="F95" s="284">
        <v>24.1</v>
      </c>
      <c r="G95" s="285">
        <v>3327</v>
      </c>
      <c r="H95" s="285">
        <f t="shared" si="1"/>
        <v>138.04979253112032</v>
      </c>
      <c r="I95" s="286"/>
      <c r="J95" s="286"/>
      <c r="K95" s="286"/>
      <c r="L95" s="286"/>
      <c r="M95" s="286"/>
      <c r="N95" s="286"/>
      <c r="O95" s="286"/>
    </row>
    <row r="96" spans="2:15" x14ac:dyDescent="0.2">
      <c r="B96" s="282" t="s">
        <v>648</v>
      </c>
      <c r="C96" s="282">
        <v>2</v>
      </c>
      <c r="D96" s="282" t="s">
        <v>834</v>
      </c>
      <c r="E96" s="283">
        <v>2023</v>
      </c>
      <c r="F96" s="284">
        <v>24.11</v>
      </c>
      <c r="G96" s="285">
        <v>3241</v>
      </c>
      <c r="H96" s="285">
        <f t="shared" si="1"/>
        <v>134.42554956449607</v>
      </c>
      <c r="I96" s="286"/>
      <c r="J96" s="286"/>
      <c r="K96" s="286"/>
      <c r="L96" s="286"/>
      <c r="M96" s="286"/>
      <c r="N96" s="286"/>
      <c r="O96" s="286"/>
    </row>
    <row r="97" spans="2:15" x14ac:dyDescent="0.2">
      <c r="B97" s="282" t="s">
        <v>648</v>
      </c>
      <c r="C97" s="282">
        <v>2</v>
      </c>
      <c r="D97" s="282" t="s">
        <v>835</v>
      </c>
      <c r="E97" s="283">
        <v>2023</v>
      </c>
      <c r="F97" s="284">
        <v>25.03</v>
      </c>
      <c r="G97" s="285">
        <v>3387</v>
      </c>
      <c r="H97" s="285">
        <f t="shared" si="1"/>
        <v>135.31761885737114</v>
      </c>
      <c r="I97" s="286"/>
      <c r="J97" s="286"/>
      <c r="K97" s="286"/>
      <c r="L97" s="286"/>
      <c r="M97" s="286"/>
      <c r="N97" s="286"/>
      <c r="O97" s="286"/>
    </row>
    <row r="98" spans="2:15" x14ac:dyDescent="0.2">
      <c r="B98" s="282" t="s">
        <v>649</v>
      </c>
      <c r="C98" s="282">
        <v>2</v>
      </c>
      <c r="D98" s="282" t="s">
        <v>836</v>
      </c>
      <c r="E98" s="283">
        <v>2024</v>
      </c>
      <c r="F98" s="284">
        <v>15.68</v>
      </c>
      <c r="G98" s="285">
        <v>2059</v>
      </c>
      <c r="H98" s="285">
        <f t="shared" si="1"/>
        <v>131.3137755102041</v>
      </c>
      <c r="I98" s="286"/>
      <c r="J98" s="286"/>
      <c r="K98" s="286"/>
      <c r="L98" s="286"/>
      <c r="M98" s="286"/>
      <c r="N98" s="286"/>
      <c r="O98" s="286"/>
    </row>
    <row r="99" spans="2:15" x14ac:dyDescent="0.2">
      <c r="B99" s="282" t="s">
        <v>649</v>
      </c>
      <c r="C99" s="282">
        <v>2</v>
      </c>
      <c r="D99" s="282" t="s">
        <v>837</v>
      </c>
      <c r="E99" s="283">
        <v>2024</v>
      </c>
      <c r="F99" s="284">
        <v>23.59</v>
      </c>
      <c r="G99" s="285">
        <v>3115</v>
      </c>
      <c r="H99" s="285">
        <f t="shared" si="1"/>
        <v>132.04747774480711</v>
      </c>
      <c r="I99" s="286"/>
      <c r="J99" s="286"/>
      <c r="K99" s="286"/>
      <c r="L99" s="286"/>
      <c r="M99" s="286"/>
      <c r="N99" s="286"/>
      <c r="O99" s="286"/>
    </row>
    <row r="100" spans="2:15" x14ac:dyDescent="0.2">
      <c r="B100" s="282" t="s">
        <v>649</v>
      </c>
      <c r="C100" s="282">
        <v>2</v>
      </c>
      <c r="D100" s="282" t="s">
        <v>838</v>
      </c>
      <c r="E100" s="283">
        <v>2024</v>
      </c>
      <c r="F100" s="284">
        <v>33.799999999999997</v>
      </c>
      <c r="G100" s="285">
        <v>4531</v>
      </c>
      <c r="H100" s="285">
        <f t="shared" si="1"/>
        <v>134.05325443786984</v>
      </c>
      <c r="I100" s="286"/>
      <c r="J100" s="286"/>
      <c r="K100" s="286"/>
      <c r="L100" s="286"/>
      <c r="M100" s="286"/>
      <c r="N100" s="286"/>
      <c r="O100" s="286"/>
    </row>
    <row r="101" spans="2:15" x14ac:dyDescent="0.2">
      <c r="B101" s="282" t="s">
        <v>649</v>
      </c>
      <c r="C101" s="282">
        <v>2</v>
      </c>
      <c r="D101" s="282" t="s">
        <v>839</v>
      </c>
      <c r="E101" s="283">
        <v>2024</v>
      </c>
      <c r="F101" s="284">
        <v>32.01</v>
      </c>
      <c r="G101" s="285">
        <v>4262</v>
      </c>
      <c r="H101" s="285">
        <f t="shared" si="1"/>
        <v>133.14589190877851</v>
      </c>
      <c r="I101" s="286"/>
      <c r="J101" s="286"/>
      <c r="K101" s="286"/>
      <c r="L101" s="286"/>
      <c r="M101" s="286"/>
      <c r="N101" s="286"/>
      <c r="O101" s="286"/>
    </row>
    <row r="102" spans="2:15" x14ac:dyDescent="0.2">
      <c r="B102" s="282" t="s">
        <v>649</v>
      </c>
      <c r="C102" s="282">
        <v>2</v>
      </c>
      <c r="D102" s="282" t="s">
        <v>840</v>
      </c>
      <c r="E102" s="283">
        <v>2024</v>
      </c>
      <c r="F102" s="284">
        <v>24.98</v>
      </c>
      <c r="G102" s="285">
        <v>3249</v>
      </c>
      <c r="H102" s="285">
        <f t="shared" si="1"/>
        <v>130.0640512409928</v>
      </c>
      <c r="I102" s="286"/>
      <c r="J102" s="286"/>
      <c r="K102" s="286"/>
      <c r="L102" s="286"/>
      <c r="M102" s="286"/>
      <c r="N102" s="286"/>
      <c r="O102" s="286"/>
    </row>
    <row r="103" spans="2:15" x14ac:dyDescent="0.2">
      <c r="B103" s="282" t="s">
        <v>649</v>
      </c>
      <c r="C103" s="282">
        <v>2</v>
      </c>
      <c r="D103" s="282" t="s">
        <v>841</v>
      </c>
      <c r="E103" s="283">
        <v>2024</v>
      </c>
      <c r="F103" s="284">
        <v>32.58</v>
      </c>
      <c r="G103" s="285">
        <v>4340</v>
      </c>
      <c r="H103" s="285">
        <f t="shared" si="1"/>
        <v>133.21055862492327</v>
      </c>
      <c r="I103" s="286"/>
      <c r="J103" s="286"/>
      <c r="K103" s="286"/>
      <c r="L103" s="286"/>
      <c r="M103" s="286"/>
      <c r="N103" s="286"/>
      <c r="O103" s="286"/>
    </row>
    <row r="104" spans="2:15" x14ac:dyDescent="0.2">
      <c r="B104" s="282" t="s">
        <v>649</v>
      </c>
      <c r="C104" s="282">
        <v>2</v>
      </c>
      <c r="D104" s="282" t="s">
        <v>842</v>
      </c>
      <c r="E104" s="283">
        <v>2024</v>
      </c>
      <c r="F104" s="284">
        <v>16.760000000000002</v>
      </c>
      <c r="G104" s="285">
        <v>2193</v>
      </c>
      <c r="H104" s="285">
        <f t="shared" si="1"/>
        <v>130.84725536992838</v>
      </c>
      <c r="I104" s="286"/>
      <c r="J104" s="286"/>
      <c r="K104" s="286"/>
      <c r="L104" s="286"/>
      <c r="M104" s="286"/>
      <c r="N104" s="286"/>
      <c r="O104" s="286"/>
    </row>
    <row r="105" spans="2:15" x14ac:dyDescent="0.2">
      <c r="B105" s="282" t="s">
        <v>649</v>
      </c>
      <c r="C105" s="282">
        <v>2</v>
      </c>
      <c r="D105" s="282" t="s">
        <v>843</v>
      </c>
      <c r="E105" s="283">
        <v>2024</v>
      </c>
      <c r="F105" s="284">
        <v>16.850000000000001</v>
      </c>
      <c r="G105" s="285">
        <v>2280</v>
      </c>
      <c r="H105" s="285">
        <f t="shared" si="1"/>
        <v>135.31157270029672</v>
      </c>
      <c r="I105" s="286"/>
      <c r="J105" s="286"/>
      <c r="K105" s="286"/>
      <c r="L105" s="286"/>
      <c r="M105" s="286"/>
      <c r="N105" s="286"/>
      <c r="O105" s="286"/>
    </row>
    <row r="106" spans="2:15" x14ac:dyDescent="0.2">
      <c r="B106" s="282" t="s">
        <v>649</v>
      </c>
      <c r="C106" s="282">
        <v>2</v>
      </c>
      <c r="D106" s="282" t="s">
        <v>844</v>
      </c>
      <c r="E106" s="283">
        <v>2024</v>
      </c>
      <c r="F106" s="284">
        <v>25.7</v>
      </c>
      <c r="G106" s="285">
        <v>3496</v>
      </c>
      <c r="H106" s="285">
        <f t="shared" si="1"/>
        <v>136.03112840466926</v>
      </c>
      <c r="I106" s="286"/>
      <c r="J106" s="286"/>
      <c r="K106" s="286"/>
      <c r="L106" s="286"/>
      <c r="M106" s="286"/>
      <c r="N106" s="286"/>
      <c r="O106" s="286"/>
    </row>
    <row r="107" spans="2:15" x14ac:dyDescent="0.2">
      <c r="B107" s="282" t="s">
        <v>649</v>
      </c>
      <c r="C107" s="282">
        <v>2</v>
      </c>
      <c r="D107" s="282" t="s">
        <v>845</v>
      </c>
      <c r="E107" s="283">
        <v>2024</v>
      </c>
      <c r="F107" s="284">
        <v>26.07</v>
      </c>
      <c r="G107" s="285">
        <v>3556</v>
      </c>
      <c r="H107" s="285">
        <f t="shared" si="1"/>
        <v>136.40199462984273</v>
      </c>
      <c r="I107" s="286"/>
      <c r="J107" s="286"/>
      <c r="K107" s="286"/>
      <c r="L107" s="286"/>
      <c r="M107" s="286"/>
      <c r="N107" s="286"/>
      <c r="O107" s="286"/>
    </row>
    <row r="108" spans="2:15" x14ac:dyDescent="0.2">
      <c r="B108" s="282" t="s">
        <v>650</v>
      </c>
      <c r="C108" s="282">
        <v>2</v>
      </c>
      <c r="D108" s="282" t="s">
        <v>846</v>
      </c>
      <c r="E108" s="283">
        <v>2026</v>
      </c>
      <c r="F108" s="284">
        <v>7.05</v>
      </c>
      <c r="G108" s="285">
        <v>1006</v>
      </c>
      <c r="H108" s="285">
        <f t="shared" si="1"/>
        <v>142.6950354609929</v>
      </c>
      <c r="I108" s="286"/>
      <c r="J108" s="286"/>
      <c r="K108" s="286"/>
      <c r="L108" s="286"/>
      <c r="M108" s="286"/>
      <c r="N108" s="286"/>
      <c r="O108" s="286"/>
    </row>
    <row r="109" spans="2:15" x14ac:dyDescent="0.2">
      <c r="B109" s="282" t="s">
        <v>647</v>
      </c>
      <c r="C109" s="282">
        <v>3</v>
      </c>
      <c r="D109" s="282" t="s">
        <v>101</v>
      </c>
      <c r="E109" s="283">
        <v>1996</v>
      </c>
      <c r="F109" s="284">
        <v>31.45</v>
      </c>
      <c r="G109" s="285">
        <v>3858</v>
      </c>
      <c r="H109" s="285">
        <f t="shared" si="1"/>
        <v>122.67090620031797</v>
      </c>
      <c r="I109" s="286"/>
      <c r="J109" s="286"/>
      <c r="K109" s="286"/>
      <c r="L109" s="286"/>
      <c r="M109" s="286"/>
      <c r="N109" s="286"/>
      <c r="O109" s="286"/>
    </row>
    <row r="110" spans="2:15" x14ac:dyDescent="0.2">
      <c r="B110" s="282" t="s">
        <v>647</v>
      </c>
      <c r="C110" s="282">
        <v>3</v>
      </c>
      <c r="D110" s="282" t="s">
        <v>102</v>
      </c>
      <c r="E110" s="283">
        <v>1996</v>
      </c>
      <c r="F110" s="284">
        <v>33.33</v>
      </c>
      <c r="G110" s="285">
        <v>3812</v>
      </c>
      <c r="H110" s="285">
        <f t="shared" si="1"/>
        <v>114.37143714371437</v>
      </c>
      <c r="I110" s="286"/>
      <c r="J110" s="286"/>
      <c r="K110" s="286"/>
      <c r="L110" s="286"/>
      <c r="M110" s="286"/>
      <c r="N110" s="286"/>
      <c r="O110" s="286"/>
    </row>
    <row r="111" spans="2:15" x14ac:dyDescent="0.2">
      <c r="B111" s="282" t="s">
        <v>647</v>
      </c>
      <c r="C111" s="282">
        <v>3</v>
      </c>
      <c r="D111" s="282" t="s">
        <v>112</v>
      </c>
      <c r="E111" s="283">
        <v>1996</v>
      </c>
      <c r="F111" s="284">
        <v>31.96</v>
      </c>
      <c r="G111" s="285">
        <v>3989</v>
      </c>
      <c r="H111" s="285">
        <f t="shared" si="1"/>
        <v>124.81226533166458</v>
      </c>
      <c r="I111" s="286"/>
      <c r="J111" s="286"/>
      <c r="K111" s="286"/>
      <c r="L111" s="286"/>
      <c r="M111" s="286"/>
      <c r="N111" s="286"/>
      <c r="O111" s="286"/>
    </row>
    <row r="112" spans="2:15" x14ac:dyDescent="0.2">
      <c r="B112" s="282" t="s">
        <v>647</v>
      </c>
      <c r="C112" s="282">
        <v>3</v>
      </c>
      <c r="D112" s="282" t="s">
        <v>113</v>
      </c>
      <c r="E112" s="283">
        <v>1996</v>
      </c>
      <c r="F112" s="284">
        <v>32.08</v>
      </c>
      <c r="G112" s="285">
        <v>4094</v>
      </c>
      <c r="H112" s="285">
        <f t="shared" si="1"/>
        <v>127.61845386533666</v>
      </c>
      <c r="I112" s="286"/>
      <c r="J112" s="286"/>
      <c r="K112" s="286"/>
      <c r="L112" s="286"/>
      <c r="M112" s="286"/>
      <c r="N112" s="286"/>
      <c r="O112" s="286"/>
    </row>
    <row r="113" spans="2:15" x14ac:dyDescent="0.2">
      <c r="B113" s="282" t="s">
        <v>647</v>
      </c>
      <c r="C113" s="282">
        <v>3</v>
      </c>
      <c r="D113" s="282" t="s">
        <v>847</v>
      </c>
      <c r="E113" s="283">
        <v>1996</v>
      </c>
      <c r="F113" s="284">
        <v>10.039999999999999</v>
      </c>
      <c r="G113" s="285">
        <v>1229</v>
      </c>
      <c r="H113" s="285">
        <f t="shared" si="1"/>
        <v>122.41035856573706</v>
      </c>
      <c r="I113" s="286"/>
      <c r="J113" s="286"/>
      <c r="K113" s="286"/>
      <c r="L113" s="286"/>
      <c r="M113" s="286"/>
      <c r="N113" s="286"/>
      <c r="O113" s="286"/>
    </row>
    <row r="114" spans="2:15" x14ac:dyDescent="0.2">
      <c r="B114" s="282" t="s">
        <v>647</v>
      </c>
      <c r="C114" s="282">
        <v>3</v>
      </c>
      <c r="D114" s="282" t="s">
        <v>848</v>
      </c>
      <c r="E114" s="283">
        <v>1996</v>
      </c>
      <c r="F114" s="284">
        <v>27.17</v>
      </c>
      <c r="G114" s="285">
        <v>3577</v>
      </c>
      <c r="H114" s="285">
        <f t="shared" si="1"/>
        <v>131.65255796834742</v>
      </c>
      <c r="I114" s="286"/>
      <c r="J114" s="286"/>
      <c r="K114" s="286"/>
      <c r="L114" s="286"/>
      <c r="M114" s="286"/>
      <c r="N114" s="286"/>
      <c r="O114" s="286"/>
    </row>
    <row r="115" spans="2:15" x14ac:dyDescent="0.2">
      <c r="B115" s="282" t="s">
        <v>647</v>
      </c>
      <c r="C115" s="282">
        <v>3</v>
      </c>
      <c r="D115" s="282" t="s">
        <v>849</v>
      </c>
      <c r="E115" s="283">
        <v>1996</v>
      </c>
      <c r="F115" s="284">
        <v>28.66</v>
      </c>
      <c r="G115" s="285">
        <v>3508</v>
      </c>
      <c r="H115" s="285">
        <f t="shared" si="1"/>
        <v>122.40055826936496</v>
      </c>
      <c r="I115" s="286"/>
      <c r="J115" s="286"/>
      <c r="K115" s="286"/>
      <c r="L115" s="286"/>
      <c r="M115" s="286"/>
      <c r="N115" s="286"/>
      <c r="O115" s="286"/>
    </row>
    <row r="116" spans="2:15" x14ac:dyDescent="0.2">
      <c r="B116" s="282" t="s">
        <v>647</v>
      </c>
      <c r="C116" s="282">
        <v>3</v>
      </c>
      <c r="D116" s="282" t="s">
        <v>850</v>
      </c>
      <c r="E116" s="283">
        <v>1996</v>
      </c>
      <c r="F116" s="284">
        <v>26.18</v>
      </c>
      <c r="G116" s="285">
        <v>3399</v>
      </c>
      <c r="H116" s="285">
        <f t="shared" si="1"/>
        <v>129.83193277310926</v>
      </c>
      <c r="I116" s="286"/>
      <c r="J116" s="286"/>
      <c r="K116" s="286"/>
      <c r="L116" s="286"/>
      <c r="M116" s="286"/>
      <c r="N116" s="286"/>
      <c r="O116" s="286"/>
    </row>
    <row r="117" spans="2:15" x14ac:dyDescent="0.2">
      <c r="B117" s="282" t="s">
        <v>647</v>
      </c>
      <c r="C117" s="282">
        <v>3</v>
      </c>
      <c r="D117" s="282" t="s">
        <v>851</v>
      </c>
      <c r="E117" s="283">
        <v>1996</v>
      </c>
      <c r="F117" s="284">
        <v>25.74</v>
      </c>
      <c r="G117" s="285">
        <v>3381</v>
      </c>
      <c r="H117" s="285">
        <f t="shared" si="1"/>
        <v>131.35198135198135</v>
      </c>
      <c r="I117" s="286"/>
      <c r="J117" s="286"/>
      <c r="K117" s="286"/>
      <c r="L117" s="286"/>
      <c r="M117" s="286"/>
      <c r="N117" s="286"/>
      <c r="O117" s="286"/>
    </row>
    <row r="118" spans="2:15" x14ac:dyDescent="0.2">
      <c r="B118" s="282" t="s">
        <v>647</v>
      </c>
      <c r="C118" s="282">
        <v>3</v>
      </c>
      <c r="D118" s="282" t="s">
        <v>852</v>
      </c>
      <c r="E118" s="283">
        <v>1996</v>
      </c>
      <c r="F118" s="284">
        <v>24.63</v>
      </c>
      <c r="G118" s="285">
        <v>3255</v>
      </c>
      <c r="H118" s="285">
        <f t="shared" si="1"/>
        <v>132.15590742996346</v>
      </c>
      <c r="I118" s="286"/>
      <c r="J118" s="286"/>
      <c r="K118" s="286"/>
      <c r="L118" s="286"/>
      <c r="M118" s="286"/>
      <c r="N118" s="286"/>
      <c r="O118" s="286"/>
    </row>
    <row r="119" spans="2:15" x14ac:dyDescent="0.2">
      <c r="B119" s="282" t="s">
        <v>647</v>
      </c>
      <c r="C119" s="282">
        <v>3</v>
      </c>
      <c r="D119" s="282" t="s">
        <v>853</v>
      </c>
      <c r="E119" s="283">
        <v>1996</v>
      </c>
      <c r="F119" s="284">
        <v>23.95</v>
      </c>
      <c r="G119" s="285">
        <v>3278</v>
      </c>
      <c r="H119" s="285">
        <f t="shared" si="1"/>
        <v>136.86847599164926</v>
      </c>
      <c r="I119" s="286"/>
      <c r="J119" s="286"/>
      <c r="K119" s="286"/>
      <c r="L119" s="286"/>
      <c r="M119" s="286"/>
      <c r="N119" s="286"/>
      <c r="O119" s="286"/>
    </row>
    <row r="120" spans="2:15" x14ac:dyDescent="0.2">
      <c r="B120" s="282" t="s">
        <v>647</v>
      </c>
      <c r="C120" s="282">
        <v>3</v>
      </c>
      <c r="D120" s="282" t="s">
        <v>854</v>
      </c>
      <c r="E120" s="283">
        <v>1996</v>
      </c>
      <c r="F120" s="284">
        <v>20.41</v>
      </c>
      <c r="G120" s="285">
        <v>2747</v>
      </c>
      <c r="H120" s="285">
        <f t="shared" si="1"/>
        <v>134.59088682018617</v>
      </c>
      <c r="I120" s="286"/>
      <c r="J120" s="286"/>
      <c r="K120" s="286"/>
      <c r="L120" s="286"/>
      <c r="M120" s="286"/>
      <c r="N120" s="286"/>
      <c r="O120" s="286"/>
    </row>
    <row r="121" spans="2:15" x14ac:dyDescent="0.2">
      <c r="B121" s="282" t="s">
        <v>647</v>
      </c>
      <c r="C121" s="282">
        <v>3</v>
      </c>
      <c r="D121" s="282" t="s">
        <v>855</v>
      </c>
      <c r="E121" s="283">
        <v>1996</v>
      </c>
      <c r="F121" s="284">
        <v>19.43</v>
      </c>
      <c r="G121" s="285">
        <v>2634</v>
      </c>
      <c r="H121" s="285">
        <f t="shared" si="1"/>
        <v>135.56356150283068</v>
      </c>
      <c r="I121" s="286"/>
      <c r="J121" s="286"/>
      <c r="K121" s="286"/>
      <c r="L121" s="286"/>
      <c r="M121" s="286"/>
      <c r="N121" s="286"/>
      <c r="O121" s="286"/>
    </row>
    <row r="122" spans="2:15" x14ac:dyDescent="0.2">
      <c r="B122" s="282" t="s">
        <v>647</v>
      </c>
      <c r="C122" s="282">
        <v>3</v>
      </c>
      <c r="D122" s="282" t="s">
        <v>856</v>
      </c>
      <c r="E122" s="283">
        <v>1997</v>
      </c>
      <c r="F122" s="284">
        <v>4.01</v>
      </c>
      <c r="G122" s="285">
        <v>506</v>
      </c>
      <c r="H122" s="285">
        <f t="shared" si="1"/>
        <v>126.18453865336659</v>
      </c>
      <c r="I122" s="286"/>
      <c r="J122" s="286"/>
      <c r="K122" s="286"/>
      <c r="L122" s="286"/>
      <c r="M122" s="286"/>
      <c r="N122" s="286"/>
      <c r="O122" s="286"/>
    </row>
    <row r="123" spans="2:15" x14ac:dyDescent="0.2">
      <c r="B123" s="282" t="s">
        <v>647</v>
      </c>
      <c r="C123" s="282">
        <v>3</v>
      </c>
      <c r="D123" s="282" t="s">
        <v>857</v>
      </c>
      <c r="E123" s="283">
        <v>1997</v>
      </c>
      <c r="F123" s="284">
        <v>11.09</v>
      </c>
      <c r="G123" s="285">
        <v>1349</v>
      </c>
      <c r="H123" s="285">
        <f t="shared" si="1"/>
        <v>121.64111812443643</v>
      </c>
      <c r="I123" s="286"/>
      <c r="J123" s="286"/>
      <c r="K123" s="286"/>
      <c r="L123" s="286"/>
      <c r="M123" s="286"/>
      <c r="N123" s="286"/>
      <c r="O123" s="286"/>
    </row>
    <row r="124" spans="2:15" x14ac:dyDescent="0.2">
      <c r="B124" s="282" t="s">
        <v>647</v>
      </c>
      <c r="C124" s="282">
        <v>3</v>
      </c>
      <c r="D124" s="282" t="s">
        <v>858</v>
      </c>
      <c r="E124" s="283">
        <v>1997</v>
      </c>
      <c r="F124" s="284">
        <v>11.01</v>
      </c>
      <c r="G124" s="285">
        <v>1321</v>
      </c>
      <c r="H124" s="285">
        <f t="shared" si="1"/>
        <v>119.98183469573115</v>
      </c>
      <c r="I124" s="286"/>
      <c r="J124" s="286"/>
      <c r="K124" s="286"/>
      <c r="L124" s="286"/>
      <c r="M124" s="286"/>
      <c r="N124" s="286"/>
      <c r="O124" s="286"/>
    </row>
    <row r="125" spans="2:15" x14ac:dyDescent="0.2">
      <c r="B125" s="282" t="s">
        <v>647</v>
      </c>
      <c r="C125" s="282">
        <v>3</v>
      </c>
      <c r="D125" s="282" t="s">
        <v>859</v>
      </c>
      <c r="E125" s="283">
        <v>1998</v>
      </c>
      <c r="F125" s="284">
        <v>11.52</v>
      </c>
      <c r="G125" s="285">
        <v>1383</v>
      </c>
      <c r="H125" s="285">
        <f t="shared" si="1"/>
        <v>120.05208333333334</v>
      </c>
      <c r="I125" s="286"/>
      <c r="J125" s="286"/>
      <c r="K125" s="286"/>
      <c r="L125" s="286"/>
      <c r="M125" s="286"/>
      <c r="N125" s="286"/>
      <c r="O125" s="286"/>
    </row>
    <row r="126" spans="2:15" x14ac:dyDescent="0.2">
      <c r="B126" s="282" t="s">
        <v>647</v>
      </c>
      <c r="C126" s="282">
        <v>3</v>
      </c>
      <c r="D126" s="282" t="s">
        <v>860</v>
      </c>
      <c r="E126" s="283">
        <v>1998</v>
      </c>
      <c r="F126" s="284">
        <v>9.5500000000000007</v>
      </c>
      <c r="G126" s="285">
        <v>1186</v>
      </c>
      <c r="H126" s="285">
        <f t="shared" si="1"/>
        <v>124.18848167539267</v>
      </c>
      <c r="I126" s="286"/>
      <c r="J126" s="286"/>
      <c r="K126" s="286"/>
      <c r="L126" s="286"/>
      <c r="M126" s="286"/>
      <c r="N126" s="286"/>
      <c r="O126" s="286"/>
    </row>
    <row r="127" spans="2:15" x14ac:dyDescent="0.2">
      <c r="B127" s="282" t="s">
        <v>647</v>
      </c>
      <c r="C127" s="282">
        <v>3</v>
      </c>
      <c r="D127" s="282" t="s">
        <v>861</v>
      </c>
      <c r="E127" s="283">
        <v>1998</v>
      </c>
      <c r="F127" s="284">
        <v>8.36</v>
      </c>
      <c r="G127" s="285">
        <v>1070</v>
      </c>
      <c r="H127" s="285">
        <f t="shared" si="1"/>
        <v>127.99043062200958</v>
      </c>
      <c r="I127" s="286"/>
      <c r="J127" s="286"/>
      <c r="K127" s="286"/>
      <c r="L127" s="286"/>
      <c r="M127" s="286"/>
      <c r="N127" s="286"/>
      <c r="O127" s="286"/>
    </row>
    <row r="128" spans="2:15" x14ac:dyDescent="0.2">
      <c r="B128" s="282" t="s">
        <v>647</v>
      </c>
      <c r="C128" s="282">
        <v>3</v>
      </c>
      <c r="D128" s="282" t="s">
        <v>99</v>
      </c>
      <c r="E128" s="283">
        <v>1999</v>
      </c>
      <c r="F128" s="284">
        <v>30.68</v>
      </c>
      <c r="G128" s="285">
        <v>3452</v>
      </c>
      <c r="H128" s="285">
        <f t="shared" si="1"/>
        <v>112.51629726205998</v>
      </c>
      <c r="I128" s="286"/>
      <c r="J128" s="286"/>
      <c r="K128" s="286"/>
      <c r="L128" s="286"/>
      <c r="M128" s="286"/>
      <c r="N128" s="286"/>
      <c r="O128" s="286"/>
    </row>
    <row r="129" spans="2:15" x14ac:dyDescent="0.2">
      <c r="B129" s="282" t="s">
        <v>647</v>
      </c>
      <c r="C129" s="282">
        <v>3</v>
      </c>
      <c r="D129" s="282" t="s">
        <v>100</v>
      </c>
      <c r="E129" s="283">
        <v>1999</v>
      </c>
      <c r="F129" s="284">
        <v>31.75</v>
      </c>
      <c r="G129" s="285">
        <v>4119</v>
      </c>
      <c r="H129" s="285">
        <f t="shared" si="1"/>
        <v>129.73228346456693</v>
      </c>
      <c r="I129" s="286"/>
      <c r="J129" s="286"/>
      <c r="K129" s="286"/>
      <c r="L129" s="286"/>
      <c r="M129" s="286"/>
      <c r="N129" s="286"/>
      <c r="O129" s="286"/>
    </row>
    <row r="130" spans="2:15" x14ac:dyDescent="0.2">
      <c r="B130" s="282" t="s">
        <v>647</v>
      </c>
      <c r="C130" s="282">
        <v>3</v>
      </c>
      <c r="D130" s="282" t="s">
        <v>124</v>
      </c>
      <c r="E130" s="283">
        <v>1999</v>
      </c>
      <c r="F130" s="284">
        <v>32.11</v>
      </c>
      <c r="G130" s="285">
        <v>3937</v>
      </c>
      <c r="H130" s="285">
        <f t="shared" si="1"/>
        <v>122.60977888508253</v>
      </c>
      <c r="I130" s="286"/>
      <c r="J130" s="286"/>
      <c r="K130" s="286"/>
      <c r="L130" s="286"/>
      <c r="M130" s="286"/>
      <c r="N130" s="286"/>
      <c r="O130" s="286"/>
    </row>
    <row r="131" spans="2:15" x14ac:dyDescent="0.2">
      <c r="B131" s="282" t="s">
        <v>647</v>
      </c>
      <c r="C131" s="282">
        <v>3</v>
      </c>
      <c r="D131" s="282" t="s">
        <v>137</v>
      </c>
      <c r="E131" s="283">
        <v>1999</v>
      </c>
      <c r="F131" s="284">
        <v>17.27</v>
      </c>
      <c r="G131" s="285">
        <v>2234</v>
      </c>
      <c r="H131" s="285">
        <f t="shared" si="1"/>
        <v>129.35726693688477</v>
      </c>
      <c r="I131" s="286"/>
      <c r="J131" s="286"/>
      <c r="K131" s="286"/>
      <c r="L131" s="286"/>
      <c r="M131" s="286"/>
      <c r="N131" s="286"/>
      <c r="O131" s="286"/>
    </row>
    <row r="132" spans="2:15" x14ac:dyDescent="0.2">
      <c r="B132" s="282" t="s">
        <v>647</v>
      </c>
      <c r="C132" s="282">
        <v>3</v>
      </c>
      <c r="D132" s="282" t="s">
        <v>114</v>
      </c>
      <c r="E132" s="283">
        <v>2003</v>
      </c>
      <c r="F132" s="284">
        <v>32.340000000000003</v>
      </c>
      <c r="G132" s="285">
        <v>4060</v>
      </c>
      <c r="H132" s="285">
        <f t="shared" si="1"/>
        <v>125.54112554112552</v>
      </c>
      <c r="I132" s="286"/>
      <c r="J132" s="286"/>
      <c r="K132" s="286"/>
      <c r="L132" s="286"/>
      <c r="M132" s="286"/>
      <c r="N132" s="286"/>
      <c r="O132" s="286"/>
    </row>
    <row r="133" spans="2:15" x14ac:dyDescent="0.2">
      <c r="B133" s="282" t="s">
        <v>647</v>
      </c>
      <c r="C133" s="282">
        <v>3</v>
      </c>
      <c r="D133" s="282" t="s">
        <v>115</v>
      </c>
      <c r="E133" s="283">
        <v>2003</v>
      </c>
      <c r="F133" s="284">
        <v>33.07</v>
      </c>
      <c r="G133" s="285">
        <v>4358</v>
      </c>
      <c r="H133" s="285">
        <f t="shared" si="1"/>
        <v>131.78107045660718</v>
      </c>
      <c r="I133" s="286"/>
      <c r="J133" s="286"/>
      <c r="K133" s="286"/>
      <c r="L133" s="286"/>
      <c r="M133" s="286"/>
      <c r="N133" s="286"/>
      <c r="O133" s="286"/>
    </row>
    <row r="134" spans="2:15" x14ac:dyDescent="0.2">
      <c r="B134" s="282" t="s">
        <v>647</v>
      </c>
      <c r="C134" s="282">
        <v>3</v>
      </c>
      <c r="D134" s="282" t="s">
        <v>116</v>
      </c>
      <c r="E134" s="283">
        <v>2003</v>
      </c>
      <c r="F134" s="284">
        <v>15.97</v>
      </c>
      <c r="G134" s="285">
        <v>2017</v>
      </c>
      <c r="H134" s="285">
        <f t="shared" si="1"/>
        <v>126.29931120851596</v>
      </c>
      <c r="I134" s="286"/>
      <c r="J134" s="286"/>
      <c r="K134" s="286"/>
      <c r="L134" s="286"/>
      <c r="M134" s="286"/>
      <c r="N134" s="286"/>
      <c r="O134" s="286"/>
    </row>
    <row r="135" spans="2:15" x14ac:dyDescent="0.2">
      <c r="B135" s="282" t="s">
        <v>647</v>
      </c>
      <c r="C135" s="282">
        <v>3</v>
      </c>
      <c r="D135" s="282" t="s">
        <v>117</v>
      </c>
      <c r="E135" s="283">
        <v>2003</v>
      </c>
      <c r="F135" s="284">
        <v>24.75</v>
      </c>
      <c r="G135" s="285">
        <v>3349</v>
      </c>
      <c r="H135" s="285">
        <f t="shared" si="1"/>
        <v>135.31313131313132</v>
      </c>
      <c r="I135" s="286"/>
      <c r="J135" s="286"/>
      <c r="K135" s="286"/>
      <c r="L135" s="286"/>
      <c r="M135" s="286"/>
      <c r="N135" s="286"/>
      <c r="O135" s="286"/>
    </row>
    <row r="136" spans="2:15" x14ac:dyDescent="0.2">
      <c r="B136" s="282" t="s">
        <v>647</v>
      </c>
      <c r="C136" s="282">
        <v>3</v>
      </c>
      <c r="D136" s="282" t="s">
        <v>125</v>
      </c>
      <c r="E136" s="283">
        <v>2003</v>
      </c>
      <c r="F136" s="284">
        <v>25.45</v>
      </c>
      <c r="G136" s="285">
        <v>3291</v>
      </c>
      <c r="H136" s="285">
        <f t="shared" ref="H136:H199" si="2">IFERROR(G136/F136,0)</f>
        <v>129.31237721021611</v>
      </c>
      <c r="I136" s="286"/>
      <c r="J136" s="286"/>
      <c r="K136" s="286"/>
      <c r="L136" s="286"/>
      <c r="M136" s="286"/>
      <c r="N136" s="286"/>
      <c r="O136" s="286"/>
    </row>
    <row r="137" spans="2:15" x14ac:dyDescent="0.2">
      <c r="B137" s="282" t="s">
        <v>647</v>
      </c>
      <c r="C137" s="282">
        <v>3</v>
      </c>
      <c r="D137" s="282" t="s">
        <v>126</v>
      </c>
      <c r="E137" s="283">
        <v>2003</v>
      </c>
      <c r="F137" s="284">
        <v>24.75</v>
      </c>
      <c r="G137" s="285">
        <v>3140</v>
      </c>
      <c r="H137" s="285">
        <f t="shared" si="2"/>
        <v>126.86868686868686</v>
      </c>
      <c r="I137" s="286"/>
      <c r="J137" s="286"/>
      <c r="K137" s="286"/>
      <c r="L137" s="286"/>
      <c r="M137" s="286"/>
      <c r="N137" s="286"/>
      <c r="O137" s="286"/>
    </row>
    <row r="138" spans="2:15" x14ac:dyDescent="0.2">
      <c r="B138" s="282" t="s">
        <v>647</v>
      </c>
      <c r="C138" s="282">
        <v>3</v>
      </c>
      <c r="D138" s="282" t="s">
        <v>127</v>
      </c>
      <c r="E138" s="283">
        <v>2003</v>
      </c>
      <c r="F138" s="284">
        <v>24.17</v>
      </c>
      <c r="G138" s="285">
        <v>3184</v>
      </c>
      <c r="H138" s="285">
        <f t="shared" si="2"/>
        <v>131.73355399255274</v>
      </c>
      <c r="I138" s="286"/>
      <c r="J138" s="286"/>
      <c r="K138" s="286"/>
      <c r="L138" s="286"/>
      <c r="M138" s="286"/>
      <c r="N138" s="286"/>
      <c r="O138" s="286"/>
    </row>
    <row r="139" spans="2:15" x14ac:dyDescent="0.2">
      <c r="B139" s="282" t="s">
        <v>647</v>
      </c>
      <c r="C139" s="282">
        <v>3</v>
      </c>
      <c r="D139" s="282" t="s">
        <v>128</v>
      </c>
      <c r="E139" s="283">
        <v>2003</v>
      </c>
      <c r="F139" s="284">
        <v>22.78</v>
      </c>
      <c r="G139" s="285">
        <v>3052</v>
      </c>
      <c r="H139" s="285">
        <f t="shared" si="2"/>
        <v>133.97717295873574</v>
      </c>
      <c r="I139" s="286"/>
      <c r="J139" s="286"/>
      <c r="K139" s="286"/>
      <c r="L139" s="286"/>
      <c r="M139" s="286"/>
      <c r="N139" s="286"/>
      <c r="O139" s="286"/>
    </row>
    <row r="140" spans="2:15" x14ac:dyDescent="0.2">
      <c r="B140" s="282" t="s">
        <v>647</v>
      </c>
      <c r="C140" s="282">
        <v>3</v>
      </c>
      <c r="D140" s="282" t="s">
        <v>129</v>
      </c>
      <c r="E140" s="283">
        <v>2003</v>
      </c>
      <c r="F140" s="284">
        <v>11.81</v>
      </c>
      <c r="G140" s="285">
        <v>1559</v>
      </c>
      <c r="H140" s="285">
        <f t="shared" si="2"/>
        <v>132.00677392040643</v>
      </c>
      <c r="I140" s="286"/>
      <c r="J140" s="286"/>
      <c r="K140" s="286"/>
      <c r="L140" s="286"/>
      <c r="M140" s="286"/>
      <c r="N140" s="286"/>
      <c r="O140" s="286"/>
    </row>
    <row r="141" spans="2:15" x14ac:dyDescent="0.2">
      <c r="B141" s="282" t="s">
        <v>647</v>
      </c>
      <c r="C141" s="282">
        <v>3</v>
      </c>
      <c r="D141" s="282" t="s">
        <v>130</v>
      </c>
      <c r="E141" s="283">
        <v>2003</v>
      </c>
      <c r="F141" s="284">
        <v>23.01</v>
      </c>
      <c r="G141" s="285">
        <v>2685</v>
      </c>
      <c r="H141" s="285">
        <f t="shared" si="2"/>
        <v>116.6883963494133</v>
      </c>
      <c r="I141" s="286"/>
      <c r="J141" s="286"/>
      <c r="K141" s="286"/>
      <c r="L141" s="286"/>
      <c r="M141" s="286"/>
      <c r="N141" s="286"/>
      <c r="O141" s="286"/>
    </row>
    <row r="142" spans="2:15" x14ac:dyDescent="0.2">
      <c r="B142" s="282" t="s">
        <v>647</v>
      </c>
      <c r="C142" s="282">
        <v>3</v>
      </c>
      <c r="D142" s="282" t="s">
        <v>138</v>
      </c>
      <c r="E142" s="283">
        <v>2003</v>
      </c>
      <c r="F142" s="284">
        <v>15.99</v>
      </c>
      <c r="G142" s="285">
        <v>2145</v>
      </c>
      <c r="H142" s="285">
        <f t="shared" si="2"/>
        <v>134.14634146341464</v>
      </c>
      <c r="I142" s="286"/>
      <c r="J142" s="286"/>
      <c r="K142" s="286"/>
      <c r="L142" s="286"/>
      <c r="M142" s="286"/>
      <c r="N142" s="286"/>
      <c r="O142" s="286"/>
    </row>
    <row r="143" spans="2:15" x14ac:dyDescent="0.2">
      <c r="B143" s="282" t="s">
        <v>647</v>
      </c>
      <c r="C143" s="282">
        <v>3</v>
      </c>
      <c r="D143" s="282" t="s">
        <v>139</v>
      </c>
      <c r="E143" s="283">
        <v>2003</v>
      </c>
      <c r="F143" s="284">
        <v>20.14</v>
      </c>
      <c r="G143" s="285">
        <v>2638</v>
      </c>
      <c r="H143" s="285">
        <f t="shared" si="2"/>
        <v>130.98311817279045</v>
      </c>
      <c r="I143" s="286"/>
      <c r="J143" s="286"/>
      <c r="K143" s="286"/>
      <c r="L143" s="286"/>
      <c r="M143" s="286"/>
      <c r="N143" s="286"/>
      <c r="O143" s="286"/>
    </row>
    <row r="144" spans="2:15" x14ac:dyDescent="0.2">
      <c r="B144" s="282" t="s">
        <v>647</v>
      </c>
      <c r="C144" s="282">
        <v>3</v>
      </c>
      <c r="D144" s="282" t="s">
        <v>140</v>
      </c>
      <c r="E144" s="283">
        <v>2003</v>
      </c>
      <c r="F144" s="284">
        <v>22.85</v>
      </c>
      <c r="G144" s="285">
        <v>3080</v>
      </c>
      <c r="H144" s="285">
        <f t="shared" si="2"/>
        <v>134.7921225382932</v>
      </c>
      <c r="I144" s="286"/>
      <c r="J144" s="286"/>
      <c r="K144" s="286"/>
      <c r="L144" s="286"/>
      <c r="M144" s="286"/>
      <c r="N144" s="286"/>
      <c r="O144" s="286"/>
    </row>
    <row r="145" spans="2:15" x14ac:dyDescent="0.2">
      <c r="B145" s="282" t="s">
        <v>647</v>
      </c>
      <c r="C145" s="282">
        <v>3</v>
      </c>
      <c r="D145" s="282" t="s">
        <v>141</v>
      </c>
      <c r="E145" s="283">
        <v>2003</v>
      </c>
      <c r="F145" s="284">
        <v>26.35</v>
      </c>
      <c r="G145" s="285">
        <v>3585</v>
      </c>
      <c r="H145" s="285">
        <f t="shared" si="2"/>
        <v>136.05313092979125</v>
      </c>
      <c r="I145" s="286"/>
      <c r="J145" s="286"/>
      <c r="K145" s="286"/>
      <c r="L145" s="286"/>
      <c r="M145" s="286"/>
      <c r="N145" s="286"/>
      <c r="O145" s="286"/>
    </row>
    <row r="146" spans="2:15" x14ac:dyDescent="0.2">
      <c r="B146" s="282" t="s">
        <v>647</v>
      </c>
      <c r="C146" s="282">
        <v>3</v>
      </c>
      <c r="D146" s="282" t="s">
        <v>142</v>
      </c>
      <c r="E146" s="283">
        <v>2003</v>
      </c>
      <c r="F146" s="284">
        <v>15.61</v>
      </c>
      <c r="G146" s="285">
        <v>1986</v>
      </c>
      <c r="H146" s="285">
        <f t="shared" si="2"/>
        <v>127.22613709160795</v>
      </c>
      <c r="I146" s="286"/>
      <c r="J146" s="286"/>
      <c r="K146" s="286"/>
      <c r="L146" s="286"/>
      <c r="M146" s="286"/>
      <c r="N146" s="286"/>
      <c r="O146" s="286"/>
    </row>
    <row r="147" spans="2:15" x14ac:dyDescent="0.2">
      <c r="B147" s="282" t="s">
        <v>647</v>
      </c>
      <c r="C147" s="282">
        <v>3</v>
      </c>
      <c r="D147" s="282" t="s">
        <v>143</v>
      </c>
      <c r="E147" s="283">
        <v>2003</v>
      </c>
      <c r="F147" s="284">
        <v>23.54</v>
      </c>
      <c r="G147" s="285">
        <v>3189</v>
      </c>
      <c r="H147" s="285">
        <f t="shared" si="2"/>
        <v>135.47153780798641</v>
      </c>
      <c r="I147" s="286"/>
      <c r="J147" s="286"/>
      <c r="K147" s="286"/>
      <c r="L147" s="286"/>
      <c r="M147" s="286"/>
      <c r="N147" s="286"/>
      <c r="O147" s="286"/>
    </row>
    <row r="148" spans="2:15" x14ac:dyDescent="0.2">
      <c r="B148" s="282" t="s">
        <v>647</v>
      </c>
      <c r="C148" s="282">
        <v>4</v>
      </c>
      <c r="D148" s="282" t="s">
        <v>75</v>
      </c>
      <c r="E148" s="283">
        <v>1996</v>
      </c>
      <c r="F148" s="284">
        <v>32.44</v>
      </c>
      <c r="G148" s="285">
        <v>3757</v>
      </c>
      <c r="H148" s="285">
        <f t="shared" si="2"/>
        <v>115.81381011097412</v>
      </c>
      <c r="I148" s="286"/>
      <c r="J148" s="286"/>
      <c r="K148" s="286"/>
      <c r="L148" s="286"/>
      <c r="M148" s="286"/>
      <c r="N148" s="286"/>
      <c r="O148" s="286"/>
    </row>
    <row r="149" spans="2:15" x14ac:dyDescent="0.2">
      <c r="B149" s="282" t="s">
        <v>647</v>
      </c>
      <c r="C149" s="282">
        <v>4</v>
      </c>
      <c r="D149" s="282" t="s">
        <v>76</v>
      </c>
      <c r="E149" s="283">
        <v>1996</v>
      </c>
      <c r="F149" s="284">
        <v>18.350000000000001</v>
      </c>
      <c r="G149" s="285">
        <v>2454</v>
      </c>
      <c r="H149" s="285">
        <f t="shared" si="2"/>
        <v>133.73297002724794</v>
      </c>
      <c r="I149" s="286"/>
      <c r="J149" s="286"/>
      <c r="K149" s="286"/>
      <c r="L149" s="286"/>
      <c r="M149" s="286"/>
      <c r="N149" s="286"/>
      <c r="O149" s="286"/>
    </row>
    <row r="150" spans="2:15" x14ac:dyDescent="0.2">
      <c r="B150" s="282" t="s">
        <v>647</v>
      </c>
      <c r="C150" s="282">
        <v>4</v>
      </c>
      <c r="D150" s="282" t="s">
        <v>77</v>
      </c>
      <c r="E150" s="283">
        <v>1996</v>
      </c>
      <c r="F150" s="284">
        <v>1.65</v>
      </c>
      <c r="G150" s="285">
        <v>197</v>
      </c>
      <c r="H150" s="285">
        <f t="shared" si="2"/>
        <v>119.39393939393941</v>
      </c>
      <c r="I150" s="286"/>
      <c r="J150" s="286"/>
      <c r="K150" s="286"/>
      <c r="L150" s="286"/>
      <c r="M150" s="286"/>
      <c r="N150" s="286"/>
      <c r="O150" s="286"/>
    </row>
    <row r="151" spans="2:15" x14ac:dyDescent="0.2">
      <c r="B151" s="282" t="s">
        <v>647</v>
      </c>
      <c r="C151" s="282">
        <v>4</v>
      </c>
      <c r="D151" s="282" t="s">
        <v>862</v>
      </c>
      <c r="E151" s="283">
        <v>1996</v>
      </c>
      <c r="F151" s="284">
        <v>14.7</v>
      </c>
      <c r="G151" s="285">
        <v>1753</v>
      </c>
      <c r="H151" s="285">
        <f t="shared" si="2"/>
        <v>119.25170068027211</v>
      </c>
      <c r="I151" s="286"/>
      <c r="J151" s="286"/>
      <c r="K151" s="286"/>
      <c r="L151" s="286"/>
      <c r="M151" s="286"/>
      <c r="N151" s="286"/>
      <c r="O151" s="286"/>
    </row>
    <row r="152" spans="2:15" x14ac:dyDescent="0.2">
      <c r="B152" s="282" t="s">
        <v>647</v>
      </c>
      <c r="C152" s="282">
        <v>4</v>
      </c>
      <c r="D152" s="282" t="s">
        <v>78</v>
      </c>
      <c r="E152" s="283">
        <v>1996</v>
      </c>
      <c r="F152" s="284">
        <v>9.91</v>
      </c>
      <c r="G152" s="285">
        <v>1254</v>
      </c>
      <c r="H152" s="285">
        <f t="shared" si="2"/>
        <v>126.53884964682139</v>
      </c>
      <c r="I152" s="286"/>
      <c r="J152" s="286"/>
      <c r="K152" s="286"/>
      <c r="L152" s="286"/>
      <c r="M152" s="286"/>
      <c r="N152" s="286"/>
      <c r="O152" s="286"/>
    </row>
    <row r="153" spans="2:15" x14ac:dyDescent="0.2">
      <c r="B153" s="282" t="s">
        <v>647</v>
      </c>
      <c r="C153" s="282">
        <v>4</v>
      </c>
      <c r="D153" s="282" t="s">
        <v>863</v>
      </c>
      <c r="E153" s="283">
        <v>1996</v>
      </c>
      <c r="F153" s="284">
        <v>3.01</v>
      </c>
      <c r="G153" s="285">
        <v>381</v>
      </c>
      <c r="H153" s="285">
        <f t="shared" si="2"/>
        <v>126.57807308970101</v>
      </c>
      <c r="I153" s="286"/>
      <c r="J153" s="286"/>
      <c r="K153" s="286"/>
      <c r="L153" s="286"/>
      <c r="M153" s="286"/>
      <c r="N153" s="286"/>
      <c r="O153" s="286"/>
    </row>
    <row r="154" spans="2:15" x14ac:dyDescent="0.2">
      <c r="B154" s="282" t="s">
        <v>647</v>
      </c>
      <c r="C154" s="282">
        <v>4</v>
      </c>
      <c r="D154" s="282" t="s">
        <v>79</v>
      </c>
      <c r="E154" s="283">
        <v>1996</v>
      </c>
      <c r="F154" s="284">
        <v>18.95</v>
      </c>
      <c r="G154" s="285">
        <v>2426</v>
      </c>
      <c r="H154" s="285">
        <f t="shared" si="2"/>
        <v>128.02110817941954</v>
      </c>
      <c r="I154" s="286"/>
      <c r="J154" s="286"/>
      <c r="K154" s="286"/>
      <c r="L154" s="286"/>
      <c r="M154" s="286"/>
      <c r="N154" s="286"/>
      <c r="O154" s="286"/>
    </row>
    <row r="155" spans="2:15" x14ac:dyDescent="0.2">
      <c r="B155" s="282" t="s">
        <v>647</v>
      </c>
      <c r="C155" s="282">
        <v>4</v>
      </c>
      <c r="D155" s="282" t="s">
        <v>80</v>
      </c>
      <c r="E155" s="283">
        <v>1996</v>
      </c>
      <c r="F155" s="284">
        <v>34.04</v>
      </c>
      <c r="G155" s="285">
        <v>4286</v>
      </c>
      <c r="H155" s="285">
        <f t="shared" si="2"/>
        <v>125.91069330199765</v>
      </c>
      <c r="I155" s="286"/>
      <c r="J155" s="286"/>
      <c r="K155" s="286"/>
      <c r="L155" s="286"/>
      <c r="M155" s="286"/>
      <c r="N155" s="286"/>
      <c r="O155" s="286"/>
    </row>
    <row r="156" spans="2:15" x14ac:dyDescent="0.2">
      <c r="B156" s="282" t="s">
        <v>647</v>
      </c>
      <c r="C156" s="282">
        <v>4</v>
      </c>
      <c r="D156" s="282" t="s">
        <v>81</v>
      </c>
      <c r="E156" s="283">
        <v>1996</v>
      </c>
      <c r="F156" s="284">
        <v>33.049999999999997</v>
      </c>
      <c r="G156" s="285">
        <v>4383</v>
      </c>
      <c r="H156" s="285">
        <f t="shared" si="2"/>
        <v>132.61724659606656</v>
      </c>
      <c r="I156" s="286"/>
      <c r="J156" s="286"/>
      <c r="K156" s="286"/>
      <c r="L156" s="286"/>
      <c r="M156" s="286"/>
      <c r="N156" s="286"/>
      <c r="O156" s="286"/>
    </row>
    <row r="157" spans="2:15" x14ac:dyDescent="0.2">
      <c r="B157" s="282" t="s">
        <v>647</v>
      </c>
      <c r="C157" s="282">
        <v>4</v>
      </c>
      <c r="D157" s="282" t="s">
        <v>86</v>
      </c>
      <c r="E157" s="283">
        <v>1996</v>
      </c>
      <c r="F157" s="284">
        <v>0.77</v>
      </c>
      <c r="G157" s="285">
        <v>92</v>
      </c>
      <c r="H157" s="285">
        <f t="shared" si="2"/>
        <v>119.48051948051948</v>
      </c>
      <c r="I157" s="286"/>
      <c r="J157" s="286"/>
      <c r="K157" s="286"/>
      <c r="L157" s="286"/>
      <c r="M157" s="286"/>
      <c r="N157" s="286"/>
      <c r="O157" s="286"/>
    </row>
    <row r="158" spans="2:15" x14ac:dyDescent="0.2">
      <c r="B158" s="282" t="s">
        <v>647</v>
      </c>
      <c r="C158" s="282">
        <v>4</v>
      </c>
      <c r="D158" s="282" t="s">
        <v>88</v>
      </c>
      <c r="E158" s="283">
        <v>1996</v>
      </c>
      <c r="F158" s="284">
        <v>16.25</v>
      </c>
      <c r="G158" s="285">
        <v>2007</v>
      </c>
      <c r="H158" s="285">
        <f t="shared" si="2"/>
        <v>123.50769230769231</v>
      </c>
      <c r="I158" s="286"/>
      <c r="J158" s="286"/>
      <c r="K158" s="286"/>
      <c r="L158" s="286"/>
      <c r="M158" s="286"/>
      <c r="N158" s="286"/>
      <c r="O158" s="286"/>
    </row>
    <row r="159" spans="2:15" x14ac:dyDescent="0.2">
      <c r="B159" s="282" t="s">
        <v>647</v>
      </c>
      <c r="C159" s="282">
        <v>4</v>
      </c>
      <c r="D159" s="282" t="s">
        <v>864</v>
      </c>
      <c r="E159" s="283">
        <v>1996</v>
      </c>
      <c r="F159" s="284">
        <v>6.7</v>
      </c>
      <c r="G159" s="285">
        <v>827</v>
      </c>
      <c r="H159" s="285">
        <f t="shared" si="2"/>
        <v>123.43283582089552</v>
      </c>
      <c r="I159" s="286"/>
      <c r="J159" s="286"/>
      <c r="K159" s="286"/>
      <c r="L159" s="286"/>
      <c r="M159" s="286"/>
      <c r="N159" s="286"/>
      <c r="O159" s="286"/>
    </row>
    <row r="160" spans="2:15" x14ac:dyDescent="0.2">
      <c r="B160" s="282" t="s">
        <v>647</v>
      </c>
      <c r="C160" s="282">
        <v>4</v>
      </c>
      <c r="D160" s="282" t="s">
        <v>89</v>
      </c>
      <c r="E160" s="283">
        <v>1996</v>
      </c>
      <c r="F160" s="284">
        <v>25.32</v>
      </c>
      <c r="G160" s="285">
        <v>3176</v>
      </c>
      <c r="H160" s="285">
        <f t="shared" si="2"/>
        <v>125.43443917851501</v>
      </c>
      <c r="I160" s="286"/>
      <c r="J160" s="286"/>
      <c r="K160" s="286"/>
      <c r="L160" s="286"/>
      <c r="M160" s="286"/>
      <c r="N160" s="286"/>
      <c r="O160" s="286"/>
    </row>
    <row r="161" spans="2:15" x14ac:dyDescent="0.2">
      <c r="B161" s="282" t="s">
        <v>647</v>
      </c>
      <c r="C161" s="282">
        <v>4</v>
      </c>
      <c r="D161" s="282" t="s">
        <v>90</v>
      </c>
      <c r="E161" s="283">
        <v>1996</v>
      </c>
      <c r="F161" s="284">
        <v>33.020000000000003</v>
      </c>
      <c r="G161" s="285">
        <v>4069</v>
      </c>
      <c r="H161" s="285">
        <f t="shared" si="2"/>
        <v>123.2283464566929</v>
      </c>
      <c r="I161" s="286"/>
      <c r="J161" s="286"/>
      <c r="K161" s="286"/>
      <c r="L161" s="286"/>
      <c r="M161" s="286"/>
      <c r="N161" s="286"/>
      <c r="O161" s="286"/>
    </row>
    <row r="162" spans="2:15" x14ac:dyDescent="0.2">
      <c r="B162" s="282" t="s">
        <v>647</v>
      </c>
      <c r="C162" s="282">
        <v>4</v>
      </c>
      <c r="D162" s="282" t="s">
        <v>91</v>
      </c>
      <c r="E162" s="283">
        <v>1996</v>
      </c>
      <c r="F162" s="284">
        <v>32.94</v>
      </c>
      <c r="G162" s="285">
        <v>4173</v>
      </c>
      <c r="H162" s="285">
        <f t="shared" si="2"/>
        <v>126.6848816029144</v>
      </c>
      <c r="I162" s="286"/>
      <c r="J162" s="286"/>
      <c r="K162" s="286"/>
      <c r="L162" s="286"/>
      <c r="M162" s="286"/>
      <c r="N162" s="286"/>
      <c r="O162" s="286"/>
    </row>
    <row r="163" spans="2:15" x14ac:dyDescent="0.2">
      <c r="B163" s="282" t="s">
        <v>647</v>
      </c>
      <c r="C163" s="282">
        <v>4</v>
      </c>
      <c r="D163" s="282" t="s">
        <v>103</v>
      </c>
      <c r="E163" s="283">
        <v>1996</v>
      </c>
      <c r="F163" s="284">
        <v>33.479999999999997</v>
      </c>
      <c r="G163" s="285">
        <v>4446</v>
      </c>
      <c r="H163" s="285">
        <f t="shared" si="2"/>
        <v>132.7956989247312</v>
      </c>
      <c r="I163" s="286"/>
      <c r="J163" s="286"/>
      <c r="K163" s="286"/>
      <c r="L163" s="286"/>
      <c r="M163" s="286"/>
      <c r="N163" s="286"/>
      <c r="O163" s="286"/>
    </row>
    <row r="164" spans="2:15" x14ac:dyDescent="0.2">
      <c r="B164" s="282" t="s">
        <v>647</v>
      </c>
      <c r="C164" s="282">
        <v>4</v>
      </c>
      <c r="D164" s="282" t="s">
        <v>82</v>
      </c>
      <c r="E164" s="283">
        <v>2003</v>
      </c>
      <c r="F164" s="284">
        <v>25.24</v>
      </c>
      <c r="G164" s="285">
        <v>3320</v>
      </c>
      <c r="H164" s="285">
        <f t="shared" si="2"/>
        <v>131.53724247226626</v>
      </c>
      <c r="I164" s="286"/>
      <c r="J164" s="286"/>
      <c r="K164" s="286"/>
      <c r="L164" s="286"/>
      <c r="M164" s="286"/>
      <c r="N164" s="286"/>
      <c r="O164" s="286"/>
    </row>
    <row r="165" spans="2:15" x14ac:dyDescent="0.2">
      <c r="B165" s="282" t="s">
        <v>647</v>
      </c>
      <c r="C165" s="282">
        <v>4</v>
      </c>
      <c r="D165" s="282" t="s">
        <v>83</v>
      </c>
      <c r="E165" s="283">
        <v>2003</v>
      </c>
      <c r="F165" s="284">
        <v>21.71</v>
      </c>
      <c r="G165" s="285">
        <v>2759</v>
      </c>
      <c r="H165" s="285">
        <f t="shared" si="2"/>
        <v>127.08429295255642</v>
      </c>
      <c r="I165" s="286"/>
      <c r="J165" s="286"/>
      <c r="K165" s="286"/>
      <c r="L165" s="286"/>
      <c r="M165" s="286"/>
      <c r="N165" s="286"/>
      <c r="O165" s="286"/>
    </row>
    <row r="166" spans="2:15" x14ac:dyDescent="0.2">
      <c r="B166" s="282" t="s">
        <v>647</v>
      </c>
      <c r="C166" s="282">
        <v>4</v>
      </c>
      <c r="D166" s="282" t="s">
        <v>92</v>
      </c>
      <c r="E166" s="283">
        <v>2004</v>
      </c>
      <c r="F166" s="284">
        <v>32.29</v>
      </c>
      <c r="G166" s="285">
        <v>4348</v>
      </c>
      <c r="H166" s="285">
        <f t="shared" si="2"/>
        <v>134.6546918550635</v>
      </c>
      <c r="I166" s="286"/>
      <c r="J166" s="286"/>
      <c r="K166" s="286"/>
      <c r="L166" s="286"/>
      <c r="M166" s="286"/>
      <c r="N166" s="286"/>
      <c r="O166" s="286"/>
    </row>
    <row r="167" spans="2:15" x14ac:dyDescent="0.2">
      <c r="B167" s="282" t="s">
        <v>647</v>
      </c>
      <c r="C167" s="282">
        <v>4</v>
      </c>
      <c r="D167" s="282" t="s">
        <v>93</v>
      </c>
      <c r="E167" s="283">
        <v>2004</v>
      </c>
      <c r="F167" s="284">
        <v>17.059999999999999</v>
      </c>
      <c r="G167" s="285">
        <v>2306</v>
      </c>
      <c r="H167" s="285">
        <f t="shared" si="2"/>
        <v>135.16998827667058</v>
      </c>
      <c r="I167" s="286"/>
      <c r="J167" s="286"/>
      <c r="K167" s="286"/>
      <c r="L167" s="286"/>
      <c r="M167" s="286"/>
      <c r="N167" s="286"/>
      <c r="O167" s="286"/>
    </row>
    <row r="168" spans="2:15" x14ac:dyDescent="0.2">
      <c r="B168" s="282" t="s">
        <v>647</v>
      </c>
      <c r="C168" s="282">
        <v>4</v>
      </c>
      <c r="D168" s="282" t="s">
        <v>94</v>
      </c>
      <c r="E168" s="283">
        <v>2004</v>
      </c>
      <c r="F168" s="284">
        <v>23.25</v>
      </c>
      <c r="G168" s="285">
        <v>3199</v>
      </c>
      <c r="H168" s="285">
        <f t="shared" si="2"/>
        <v>137.59139784946237</v>
      </c>
      <c r="I168" s="286"/>
      <c r="J168" s="286"/>
      <c r="K168" s="286"/>
      <c r="L168" s="286"/>
      <c r="M168" s="286"/>
      <c r="N168" s="286"/>
      <c r="O168" s="286"/>
    </row>
    <row r="169" spans="2:15" x14ac:dyDescent="0.2">
      <c r="B169" s="282" t="s">
        <v>647</v>
      </c>
      <c r="C169" s="282">
        <v>4</v>
      </c>
      <c r="D169" s="282" t="s">
        <v>95</v>
      </c>
      <c r="E169" s="283">
        <v>2004</v>
      </c>
      <c r="F169" s="284">
        <v>23.81</v>
      </c>
      <c r="G169" s="285">
        <v>3242</v>
      </c>
      <c r="H169" s="285">
        <f t="shared" si="2"/>
        <v>136.16127677446451</v>
      </c>
      <c r="I169" s="286"/>
      <c r="J169" s="286"/>
      <c r="K169" s="286"/>
      <c r="L169" s="286"/>
      <c r="M169" s="286"/>
      <c r="N169" s="286"/>
      <c r="O169" s="286"/>
    </row>
    <row r="170" spans="2:15" x14ac:dyDescent="0.2">
      <c r="B170" s="282" t="s">
        <v>647</v>
      </c>
      <c r="C170" s="282">
        <v>4</v>
      </c>
      <c r="D170" s="282" t="s">
        <v>96</v>
      </c>
      <c r="E170" s="283">
        <v>2004</v>
      </c>
      <c r="F170" s="284">
        <v>24.65</v>
      </c>
      <c r="G170" s="285">
        <v>3235</v>
      </c>
      <c r="H170" s="285">
        <f t="shared" si="2"/>
        <v>131.23732251521298</v>
      </c>
      <c r="I170" s="286"/>
      <c r="J170" s="286"/>
      <c r="K170" s="286"/>
      <c r="L170" s="286"/>
      <c r="M170" s="286"/>
      <c r="N170" s="286"/>
      <c r="O170" s="286"/>
    </row>
    <row r="171" spans="2:15" x14ac:dyDescent="0.2">
      <c r="B171" s="282" t="s">
        <v>647</v>
      </c>
      <c r="C171" s="282">
        <v>4</v>
      </c>
      <c r="D171" s="282" t="s">
        <v>27</v>
      </c>
      <c r="E171" s="283">
        <v>2004</v>
      </c>
      <c r="F171" s="284">
        <v>24.09</v>
      </c>
      <c r="G171" s="285">
        <v>3254</v>
      </c>
      <c r="H171" s="285">
        <f t="shared" si="2"/>
        <v>135.07679535076795</v>
      </c>
      <c r="I171" s="286"/>
      <c r="J171" s="286"/>
      <c r="K171" s="286"/>
      <c r="L171" s="286"/>
      <c r="M171" s="286"/>
      <c r="N171" s="286"/>
      <c r="O171" s="286"/>
    </row>
    <row r="172" spans="2:15" x14ac:dyDescent="0.2">
      <c r="B172" s="282" t="s">
        <v>647</v>
      </c>
      <c r="C172" s="282">
        <v>4</v>
      </c>
      <c r="D172" s="282" t="s">
        <v>104</v>
      </c>
      <c r="E172" s="283">
        <v>2004</v>
      </c>
      <c r="F172" s="284">
        <v>8.64</v>
      </c>
      <c r="G172" s="285">
        <v>1049</v>
      </c>
      <c r="H172" s="285">
        <f t="shared" si="2"/>
        <v>121.41203703703702</v>
      </c>
      <c r="I172" s="286"/>
      <c r="J172" s="286"/>
      <c r="K172" s="286"/>
      <c r="L172" s="286"/>
      <c r="M172" s="286"/>
      <c r="N172" s="286"/>
      <c r="O172" s="286"/>
    </row>
    <row r="173" spans="2:15" x14ac:dyDescent="0.2">
      <c r="B173" s="282" t="s">
        <v>647</v>
      </c>
      <c r="C173" s="282">
        <v>4</v>
      </c>
      <c r="D173" s="282" t="s">
        <v>105</v>
      </c>
      <c r="E173" s="283">
        <v>2004</v>
      </c>
      <c r="F173" s="284">
        <v>24.07</v>
      </c>
      <c r="G173" s="285">
        <v>3208</v>
      </c>
      <c r="H173" s="285">
        <f t="shared" si="2"/>
        <v>133.27793934358121</v>
      </c>
      <c r="I173" s="286"/>
      <c r="J173" s="286"/>
      <c r="K173" s="286"/>
      <c r="L173" s="286"/>
      <c r="M173" s="286"/>
      <c r="N173" s="286"/>
      <c r="O173" s="286"/>
    </row>
    <row r="174" spans="2:15" x14ac:dyDescent="0.2">
      <c r="B174" s="282" t="s">
        <v>647</v>
      </c>
      <c r="C174" s="282">
        <v>4</v>
      </c>
      <c r="D174" s="282" t="s">
        <v>106</v>
      </c>
      <c r="E174" s="283">
        <v>2004</v>
      </c>
      <c r="F174" s="284">
        <v>25.32</v>
      </c>
      <c r="G174" s="285">
        <v>3371</v>
      </c>
      <c r="H174" s="285">
        <f t="shared" si="2"/>
        <v>133.13586097946288</v>
      </c>
      <c r="I174" s="286"/>
      <c r="J174" s="286"/>
      <c r="K174" s="286"/>
      <c r="L174" s="286"/>
      <c r="M174" s="286"/>
      <c r="N174" s="286"/>
      <c r="O174" s="286"/>
    </row>
    <row r="175" spans="2:15" x14ac:dyDescent="0.2">
      <c r="B175" s="282" t="s">
        <v>647</v>
      </c>
      <c r="C175" s="282">
        <v>4</v>
      </c>
      <c r="D175" s="282" t="s">
        <v>107</v>
      </c>
      <c r="E175" s="283">
        <v>2004</v>
      </c>
      <c r="F175" s="284">
        <v>24.79</v>
      </c>
      <c r="G175" s="285">
        <v>3418</v>
      </c>
      <c r="H175" s="285">
        <f t="shared" si="2"/>
        <v>137.87817668414684</v>
      </c>
      <c r="I175" s="286"/>
      <c r="J175" s="286"/>
      <c r="K175" s="286"/>
      <c r="L175" s="286"/>
      <c r="M175" s="286"/>
      <c r="N175" s="286"/>
      <c r="O175" s="286"/>
    </row>
    <row r="176" spans="2:15" x14ac:dyDescent="0.2">
      <c r="B176" s="282" t="s">
        <v>647</v>
      </c>
      <c r="C176" s="282">
        <v>4</v>
      </c>
      <c r="D176" s="282" t="s">
        <v>108</v>
      </c>
      <c r="E176" s="283">
        <v>2004</v>
      </c>
      <c r="F176" s="284">
        <v>23.34</v>
      </c>
      <c r="G176" s="285">
        <v>3143</v>
      </c>
      <c r="H176" s="285">
        <f t="shared" si="2"/>
        <v>134.66152527849187</v>
      </c>
      <c r="I176" s="286"/>
      <c r="J176" s="286"/>
      <c r="K176" s="286"/>
      <c r="L176" s="286"/>
      <c r="M176" s="286"/>
      <c r="N176" s="286"/>
      <c r="O176" s="286"/>
    </row>
    <row r="177" spans="2:15" x14ac:dyDescent="0.2">
      <c r="B177" s="282" t="s">
        <v>647</v>
      </c>
      <c r="C177" s="282">
        <v>4</v>
      </c>
      <c r="D177" s="282" t="s">
        <v>109</v>
      </c>
      <c r="E177" s="283">
        <v>2004</v>
      </c>
      <c r="F177" s="284">
        <v>23.07</v>
      </c>
      <c r="G177" s="285">
        <v>3277</v>
      </c>
      <c r="H177" s="285">
        <f t="shared" si="2"/>
        <v>142.04594711746859</v>
      </c>
      <c r="I177" s="286"/>
      <c r="J177" s="286"/>
      <c r="K177" s="286"/>
      <c r="L177" s="286"/>
      <c r="M177" s="286"/>
      <c r="N177" s="286"/>
      <c r="O177" s="286"/>
    </row>
    <row r="178" spans="2:15" x14ac:dyDescent="0.2">
      <c r="B178" s="282" t="s">
        <v>647</v>
      </c>
      <c r="C178" s="282">
        <v>4</v>
      </c>
      <c r="D178" s="282" t="s">
        <v>28</v>
      </c>
      <c r="E178" s="283">
        <v>2004</v>
      </c>
      <c r="F178" s="284">
        <v>24.26</v>
      </c>
      <c r="G178" s="285">
        <v>3489</v>
      </c>
      <c r="H178" s="285">
        <f t="shared" si="2"/>
        <v>143.81698268755153</v>
      </c>
      <c r="I178" s="286"/>
      <c r="J178" s="286"/>
      <c r="K178" s="286"/>
      <c r="L178" s="286"/>
      <c r="M178" s="286"/>
      <c r="N178" s="286"/>
      <c r="O178" s="286"/>
    </row>
    <row r="179" spans="2:15" x14ac:dyDescent="0.2">
      <c r="B179" s="282" t="s">
        <v>647</v>
      </c>
      <c r="C179" s="282">
        <v>4</v>
      </c>
      <c r="D179" s="282" t="s">
        <v>865</v>
      </c>
      <c r="E179" s="283">
        <v>2004</v>
      </c>
      <c r="F179" s="284">
        <v>22.49</v>
      </c>
      <c r="G179" s="285">
        <v>3256</v>
      </c>
      <c r="H179" s="285">
        <f t="shared" si="2"/>
        <v>144.77545575811473</v>
      </c>
      <c r="I179" s="286"/>
      <c r="J179" s="286"/>
      <c r="K179" s="286"/>
      <c r="L179" s="286"/>
      <c r="M179" s="286"/>
      <c r="N179" s="286"/>
      <c r="O179" s="286"/>
    </row>
    <row r="180" spans="2:15" x14ac:dyDescent="0.2">
      <c r="B180" s="282" t="s">
        <v>647</v>
      </c>
      <c r="C180" s="282">
        <v>4</v>
      </c>
      <c r="D180" s="282" t="s">
        <v>118</v>
      </c>
      <c r="E180" s="283">
        <v>2004</v>
      </c>
      <c r="F180" s="284">
        <v>24.24</v>
      </c>
      <c r="G180" s="285">
        <v>3312</v>
      </c>
      <c r="H180" s="285">
        <f t="shared" si="2"/>
        <v>136.63366336633663</v>
      </c>
      <c r="I180" s="286"/>
      <c r="J180" s="286"/>
      <c r="K180" s="286"/>
      <c r="L180" s="286"/>
      <c r="M180" s="286"/>
      <c r="N180" s="286"/>
      <c r="O180" s="286"/>
    </row>
    <row r="181" spans="2:15" x14ac:dyDescent="0.2">
      <c r="B181" s="282" t="s">
        <v>647</v>
      </c>
      <c r="C181" s="282">
        <v>4</v>
      </c>
      <c r="D181" s="282" t="s">
        <v>119</v>
      </c>
      <c r="E181" s="283">
        <v>2004</v>
      </c>
      <c r="F181" s="284">
        <v>20.02</v>
      </c>
      <c r="G181" s="285">
        <v>2791</v>
      </c>
      <c r="H181" s="285">
        <f t="shared" si="2"/>
        <v>139.41058941058941</v>
      </c>
      <c r="I181" s="286"/>
      <c r="J181" s="286"/>
      <c r="K181" s="286"/>
      <c r="L181" s="286"/>
      <c r="M181" s="286"/>
      <c r="N181" s="286"/>
      <c r="O181" s="286"/>
    </row>
    <row r="182" spans="2:15" x14ac:dyDescent="0.2">
      <c r="B182" s="282" t="s">
        <v>647</v>
      </c>
      <c r="C182" s="282">
        <v>4</v>
      </c>
      <c r="D182" s="282" t="s">
        <v>120</v>
      </c>
      <c r="E182" s="283">
        <v>2004</v>
      </c>
      <c r="F182" s="284">
        <v>23.73</v>
      </c>
      <c r="G182" s="285">
        <v>3301</v>
      </c>
      <c r="H182" s="285">
        <f t="shared" si="2"/>
        <v>139.10661609776653</v>
      </c>
      <c r="I182" s="286"/>
      <c r="J182" s="286"/>
      <c r="K182" s="286"/>
      <c r="L182" s="286"/>
      <c r="M182" s="286"/>
      <c r="N182" s="286"/>
      <c r="O182" s="286"/>
    </row>
    <row r="183" spans="2:15" x14ac:dyDescent="0.2">
      <c r="B183" s="282" t="s">
        <v>647</v>
      </c>
      <c r="C183" s="282">
        <v>4</v>
      </c>
      <c r="D183" s="282" t="s">
        <v>121</v>
      </c>
      <c r="E183" s="283">
        <v>2004</v>
      </c>
      <c r="F183" s="284">
        <v>23.7</v>
      </c>
      <c r="G183" s="285">
        <v>3415</v>
      </c>
      <c r="H183" s="285">
        <f t="shared" si="2"/>
        <v>144.0928270042194</v>
      </c>
      <c r="I183" s="286"/>
      <c r="J183" s="286"/>
      <c r="K183" s="286"/>
      <c r="L183" s="286"/>
      <c r="M183" s="286"/>
      <c r="N183" s="286"/>
      <c r="O183" s="286"/>
    </row>
    <row r="184" spans="2:15" x14ac:dyDescent="0.2">
      <c r="B184" s="282" t="s">
        <v>647</v>
      </c>
      <c r="C184" s="282">
        <v>4</v>
      </c>
      <c r="D184" s="282" t="s">
        <v>122</v>
      </c>
      <c r="E184" s="283">
        <v>2004</v>
      </c>
      <c r="F184" s="284">
        <v>25.27</v>
      </c>
      <c r="G184" s="285">
        <v>3400</v>
      </c>
      <c r="H184" s="285">
        <f t="shared" si="2"/>
        <v>134.54689354966362</v>
      </c>
      <c r="I184" s="286"/>
      <c r="J184" s="286"/>
      <c r="K184" s="286"/>
      <c r="L184" s="286"/>
      <c r="M184" s="286"/>
      <c r="N184" s="286"/>
      <c r="O184" s="286"/>
    </row>
    <row r="185" spans="2:15" x14ac:dyDescent="0.2">
      <c r="B185" s="282" t="s">
        <v>647</v>
      </c>
      <c r="C185" s="282">
        <v>4</v>
      </c>
      <c r="D185" s="282" t="s">
        <v>866</v>
      </c>
      <c r="E185" s="283">
        <v>2004</v>
      </c>
      <c r="F185" s="284">
        <v>25.43</v>
      </c>
      <c r="G185" s="285">
        <v>3519</v>
      </c>
      <c r="H185" s="285">
        <f t="shared" si="2"/>
        <v>138.3798662996461</v>
      </c>
      <c r="I185" s="286"/>
      <c r="J185" s="286"/>
      <c r="K185" s="286"/>
      <c r="L185" s="286"/>
      <c r="M185" s="286"/>
      <c r="N185" s="286"/>
      <c r="O185" s="286"/>
    </row>
    <row r="186" spans="2:15" x14ac:dyDescent="0.2">
      <c r="B186" s="282" t="s">
        <v>647</v>
      </c>
      <c r="C186" s="282">
        <v>4</v>
      </c>
      <c r="D186" s="282" t="s">
        <v>867</v>
      </c>
      <c r="E186" s="283">
        <v>2004</v>
      </c>
      <c r="F186" s="284">
        <v>23.2</v>
      </c>
      <c r="G186" s="285">
        <v>3178</v>
      </c>
      <c r="H186" s="285">
        <f t="shared" si="2"/>
        <v>136.98275862068965</v>
      </c>
      <c r="I186" s="286"/>
      <c r="J186" s="286"/>
      <c r="K186" s="286"/>
      <c r="L186" s="286"/>
      <c r="M186" s="286"/>
      <c r="N186" s="286"/>
      <c r="O186" s="286"/>
    </row>
    <row r="187" spans="2:15" x14ac:dyDescent="0.2">
      <c r="B187" s="282" t="s">
        <v>647</v>
      </c>
      <c r="C187" s="282">
        <v>4</v>
      </c>
      <c r="D187" s="282" t="s">
        <v>868</v>
      </c>
      <c r="E187" s="283">
        <v>2006</v>
      </c>
      <c r="F187" s="284">
        <v>30.72</v>
      </c>
      <c r="G187" s="285">
        <v>4384</v>
      </c>
      <c r="H187" s="285">
        <f t="shared" si="2"/>
        <v>142.70833333333334</v>
      </c>
      <c r="I187" s="286"/>
      <c r="J187" s="286"/>
      <c r="K187" s="286"/>
      <c r="L187" s="286"/>
      <c r="M187" s="286"/>
      <c r="N187" s="286"/>
      <c r="O187" s="286"/>
    </row>
    <row r="188" spans="2:15" x14ac:dyDescent="0.2">
      <c r="B188" s="282" t="s">
        <v>647</v>
      </c>
      <c r="C188" s="282">
        <v>4</v>
      </c>
      <c r="D188" s="282" t="s">
        <v>869</v>
      </c>
      <c r="E188" s="283">
        <v>2006</v>
      </c>
      <c r="F188" s="284">
        <v>31.84</v>
      </c>
      <c r="G188" s="285">
        <v>4676</v>
      </c>
      <c r="H188" s="285">
        <f t="shared" si="2"/>
        <v>146.85929648241205</v>
      </c>
      <c r="I188" s="286"/>
      <c r="J188" s="286"/>
      <c r="K188" s="286"/>
      <c r="L188" s="286"/>
      <c r="M188" s="286"/>
      <c r="N188" s="286"/>
      <c r="O188" s="286"/>
    </row>
    <row r="189" spans="2:15" x14ac:dyDescent="0.2">
      <c r="B189" s="282" t="s">
        <v>647</v>
      </c>
      <c r="C189" s="282">
        <v>4</v>
      </c>
      <c r="D189" s="282" t="s">
        <v>870</v>
      </c>
      <c r="E189" s="283">
        <v>2006</v>
      </c>
      <c r="F189" s="284">
        <v>33.299999999999997</v>
      </c>
      <c r="G189" s="285">
        <v>4949</v>
      </c>
      <c r="H189" s="285">
        <f t="shared" si="2"/>
        <v>148.61861861861863</v>
      </c>
      <c r="I189" s="286"/>
      <c r="J189" s="286"/>
      <c r="K189" s="286"/>
      <c r="L189" s="286"/>
      <c r="M189" s="286"/>
      <c r="N189" s="286"/>
      <c r="O189" s="286"/>
    </row>
    <row r="190" spans="2:15" x14ac:dyDescent="0.2">
      <c r="B190" s="282" t="s">
        <v>647</v>
      </c>
      <c r="C190" s="282">
        <v>4</v>
      </c>
      <c r="D190" s="282" t="s">
        <v>871</v>
      </c>
      <c r="E190" s="283">
        <v>2006</v>
      </c>
      <c r="F190" s="284">
        <v>31.69</v>
      </c>
      <c r="G190" s="285">
        <v>5293</v>
      </c>
      <c r="H190" s="285">
        <f t="shared" si="2"/>
        <v>167.02429788576836</v>
      </c>
      <c r="I190" s="286"/>
      <c r="J190" s="286"/>
      <c r="K190" s="286"/>
      <c r="L190" s="286"/>
      <c r="M190" s="286"/>
      <c r="N190" s="286"/>
      <c r="O190" s="286"/>
    </row>
    <row r="191" spans="2:15" x14ac:dyDescent="0.2">
      <c r="B191" s="282" t="s">
        <v>647</v>
      </c>
      <c r="C191" s="282">
        <v>4</v>
      </c>
      <c r="D191" s="282" t="s">
        <v>872</v>
      </c>
      <c r="E191" s="283">
        <v>2006</v>
      </c>
      <c r="F191" s="284">
        <v>18.79</v>
      </c>
      <c r="G191" s="285">
        <v>2356</v>
      </c>
      <c r="H191" s="285">
        <f t="shared" si="2"/>
        <v>125.38584353379457</v>
      </c>
      <c r="I191" s="286"/>
      <c r="J191" s="286"/>
      <c r="K191" s="286"/>
      <c r="L191" s="286"/>
      <c r="M191" s="286"/>
      <c r="N191" s="286"/>
      <c r="O191" s="286"/>
    </row>
    <row r="192" spans="2:15" x14ac:dyDescent="0.2">
      <c r="B192" s="282" t="s">
        <v>647</v>
      </c>
      <c r="C192" s="282">
        <v>4</v>
      </c>
      <c r="D192" s="282" t="s">
        <v>87</v>
      </c>
      <c r="E192" s="283">
        <v>2006</v>
      </c>
      <c r="F192" s="284">
        <v>7.88</v>
      </c>
      <c r="G192" s="285">
        <v>957</v>
      </c>
      <c r="H192" s="285">
        <f t="shared" si="2"/>
        <v>121.44670050761421</v>
      </c>
      <c r="I192" s="286"/>
      <c r="J192" s="286"/>
      <c r="K192" s="286"/>
      <c r="L192" s="286"/>
      <c r="M192" s="286"/>
      <c r="N192" s="286"/>
      <c r="O192" s="286"/>
    </row>
    <row r="193" spans="2:15" x14ac:dyDescent="0.2">
      <c r="B193" s="282" t="s">
        <v>647</v>
      </c>
      <c r="C193" s="282">
        <v>4</v>
      </c>
      <c r="D193" s="282" t="s">
        <v>873</v>
      </c>
      <c r="E193" s="283">
        <v>2006</v>
      </c>
      <c r="F193" s="284">
        <v>23.73</v>
      </c>
      <c r="G193" s="285">
        <v>2882</v>
      </c>
      <c r="H193" s="285">
        <f t="shared" si="2"/>
        <v>121.4496418036241</v>
      </c>
      <c r="I193" s="286"/>
      <c r="J193" s="286"/>
      <c r="K193" s="286"/>
      <c r="L193" s="286"/>
      <c r="M193" s="286"/>
      <c r="N193" s="286"/>
      <c r="O193" s="286"/>
    </row>
    <row r="194" spans="2:15" x14ac:dyDescent="0.2">
      <c r="B194" s="282" t="s">
        <v>647</v>
      </c>
      <c r="C194" s="282">
        <v>5</v>
      </c>
      <c r="D194" s="282" t="s">
        <v>874</v>
      </c>
      <c r="E194" s="283">
        <v>1997</v>
      </c>
      <c r="F194" s="284">
        <v>19.350000000000001</v>
      </c>
      <c r="G194" s="285">
        <v>2328</v>
      </c>
      <c r="H194" s="285">
        <f t="shared" si="2"/>
        <v>120.31007751937983</v>
      </c>
      <c r="I194" s="286"/>
      <c r="J194" s="286"/>
      <c r="K194" s="286"/>
      <c r="L194" s="286"/>
      <c r="M194" s="286"/>
      <c r="N194" s="286"/>
      <c r="O194" s="286"/>
    </row>
    <row r="195" spans="2:15" x14ac:dyDescent="0.2">
      <c r="B195" s="282" t="s">
        <v>647</v>
      </c>
      <c r="C195" s="282">
        <v>5</v>
      </c>
      <c r="D195" s="282" t="s">
        <v>875</v>
      </c>
      <c r="E195" s="283">
        <v>1997</v>
      </c>
      <c r="F195" s="284">
        <v>22.73</v>
      </c>
      <c r="G195" s="285">
        <v>2485</v>
      </c>
      <c r="H195" s="285">
        <f t="shared" si="2"/>
        <v>109.32688077430709</v>
      </c>
      <c r="I195" s="286"/>
      <c r="J195" s="286"/>
      <c r="K195" s="286"/>
      <c r="L195" s="286"/>
      <c r="M195" s="286"/>
      <c r="N195" s="286"/>
      <c r="O195" s="286"/>
    </row>
    <row r="196" spans="2:15" x14ac:dyDescent="0.2">
      <c r="B196" s="282" t="s">
        <v>647</v>
      </c>
      <c r="C196" s="282">
        <v>5</v>
      </c>
      <c r="D196" s="282" t="s">
        <v>876</v>
      </c>
      <c r="E196" s="283">
        <v>1997</v>
      </c>
      <c r="F196" s="284">
        <v>15.43</v>
      </c>
      <c r="G196" s="285">
        <v>2018</v>
      </c>
      <c r="H196" s="285">
        <f t="shared" si="2"/>
        <v>130.78418664938431</v>
      </c>
      <c r="I196" s="286"/>
      <c r="J196" s="286"/>
      <c r="K196" s="286"/>
      <c r="L196" s="286"/>
      <c r="M196" s="286"/>
      <c r="N196" s="286"/>
      <c r="O196" s="286"/>
    </row>
    <row r="197" spans="2:15" x14ac:dyDescent="0.2">
      <c r="B197" s="282" t="s">
        <v>647</v>
      </c>
      <c r="C197" s="282">
        <v>5</v>
      </c>
      <c r="D197" s="282" t="s">
        <v>877</v>
      </c>
      <c r="E197" s="283">
        <v>1997</v>
      </c>
      <c r="F197" s="284">
        <v>42.51</v>
      </c>
      <c r="G197" s="285">
        <v>5379</v>
      </c>
      <c r="H197" s="285">
        <f t="shared" si="2"/>
        <v>126.53493295695131</v>
      </c>
      <c r="I197" s="286"/>
      <c r="J197" s="286"/>
      <c r="K197" s="286"/>
      <c r="L197" s="286"/>
      <c r="M197" s="286"/>
      <c r="N197" s="286"/>
      <c r="O197" s="286"/>
    </row>
    <row r="198" spans="2:15" x14ac:dyDescent="0.2">
      <c r="B198" s="282" t="s">
        <v>647</v>
      </c>
      <c r="C198" s="282">
        <v>5</v>
      </c>
      <c r="D198" s="282" t="s">
        <v>878</v>
      </c>
      <c r="E198" s="283">
        <v>1997</v>
      </c>
      <c r="F198" s="284">
        <v>30.66</v>
      </c>
      <c r="G198" s="285">
        <v>3912</v>
      </c>
      <c r="H198" s="285">
        <f t="shared" si="2"/>
        <v>127.59295499021526</v>
      </c>
      <c r="I198" s="286"/>
      <c r="J198" s="286"/>
      <c r="K198" s="286"/>
      <c r="L198" s="286"/>
      <c r="M198" s="286"/>
      <c r="N198" s="286"/>
      <c r="O198" s="286"/>
    </row>
    <row r="199" spans="2:15" x14ac:dyDescent="0.2">
      <c r="B199" s="282" t="s">
        <v>647</v>
      </c>
      <c r="C199" s="282">
        <v>5</v>
      </c>
      <c r="D199" s="282" t="s">
        <v>879</v>
      </c>
      <c r="E199" s="283">
        <v>1997</v>
      </c>
      <c r="F199" s="284">
        <v>31.73</v>
      </c>
      <c r="G199" s="285">
        <v>4064</v>
      </c>
      <c r="H199" s="285">
        <f t="shared" si="2"/>
        <v>128.08068074377562</v>
      </c>
      <c r="I199" s="286"/>
      <c r="J199" s="286"/>
      <c r="K199" s="286"/>
      <c r="L199" s="286"/>
      <c r="M199" s="286"/>
      <c r="N199" s="286"/>
      <c r="O199" s="286"/>
    </row>
    <row r="200" spans="2:15" x14ac:dyDescent="0.2">
      <c r="B200" s="282" t="s">
        <v>647</v>
      </c>
      <c r="C200" s="282">
        <v>5</v>
      </c>
      <c r="D200" s="282" t="s">
        <v>25</v>
      </c>
      <c r="E200" s="283">
        <v>2003</v>
      </c>
      <c r="F200" s="284">
        <v>16.71</v>
      </c>
      <c r="G200" s="285">
        <v>2225</v>
      </c>
      <c r="H200" s="285">
        <f t="shared" ref="H200:H263" si="3">IFERROR(G200/F200,0)</f>
        <v>133.15380011968881</v>
      </c>
      <c r="I200" s="286"/>
      <c r="J200" s="286"/>
      <c r="K200" s="286"/>
      <c r="L200" s="286"/>
      <c r="M200" s="286"/>
      <c r="N200" s="286"/>
      <c r="O200" s="286"/>
    </row>
    <row r="201" spans="2:15" x14ac:dyDescent="0.2">
      <c r="B201" s="282" t="s">
        <v>647</v>
      </c>
      <c r="C201" s="282">
        <v>5</v>
      </c>
      <c r="D201" s="282" t="s">
        <v>880</v>
      </c>
      <c r="E201" s="283">
        <v>2003</v>
      </c>
      <c r="F201" s="284">
        <v>12.04</v>
      </c>
      <c r="G201" s="285">
        <v>1596</v>
      </c>
      <c r="H201" s="285">
        <f t="shared" si="3"/>
        <v>132.55813953488374</v>
      </c>
      <c r="I201" s="286"/>
      <c r="J201" s="286"/>
      <c r="K201" s="286"/>
      <c r="L201" s="286"/>
      <c r="M201" s="286"/>
      <c r="N201" s="286"/>
      <c r="O201" s="286"/>
    </row>
    <row r="202" spans="2:15" x14ac:dyDescent="0.2">
      <c r="B202" s="282" t="s">
        <v>647</v>
      </c>
      <c r="C202" s="282">
        <v>5</v>
      </c>
      <c r="D202" s="282" t="s">
        <v>881</v>
      </c>
      <c r="E202" s="283">
        <v>2003</v>
      </c>
      <c r="F202" s="284">
        <v>7.49</v>
      </c>
      <c r="G202" s="285">
        <v>978</v>
      </c>
      <c r="H202" s="285">
        <f t="shared" si="3"/>
        <v>130.57409879839787</v>
      </c>
      <c r="I202" s="286"/>
      <c r="J202" s="286"/>
      <c r="K202" s="286"/>
      <c r="L202" s="286"/>
      <c r="M202" s="286"/>
      <c r="N202" s="286"/>
      <c r="O202" s="286"/>
    </row>
    <row r="203" spans="2:15" x14ac:dyDescent="0.2">
      <c r="B203" s="282" t="s">
        <v>647</v>
      </c>
      <c r="C203" s="282">
        <v>5</v>
      </c>
      <c r="D203" s="282" t="s">
        <v>882</v>
      </c>
      <c r="E203" s="283">
        <v>2003</v>
      </c>
      <c r="F203" s="284">
        <v>2.99</v>
      </c>
      <c r="G203" s="285">
        <v>424</v>
      </c>
      <c r="H203" s="285">
        <f t="shared" si="3"/>
        <v>141.80602006688963</v>
      </c>
      <c r="I203" s="286"/>
      <c r="J203" s="286"/>
      <c r="K203" s="286"/>
      <c r="L203" s="286"/>
      <c r="M203" s="286"/>
      <c r="N203" s="286"/>
      <c r="O203" s="286"/>
    </row>
    <row r="204" spans="2:15" x14ac:dyDescent="0.2">
      <c r="B204" s="282" t="s">
        <v>647</v>
      </c>
      <c r="C204" s="282">
        <v>5</v>
      </c>
      <c r="D204" s="282" t="s">
        <v>883</v>
      </c>
      <c r="E204" s="283">
        <v>2003</v>
      </c>
      <c r="F204" s="284">
        <v>24.32</v>
      </c>
      <c r="G204" s="285">
        <v>3203</v>
      </c>
      <c r="H204" s="285">
        <f t="shared" si="3"/>
        <v>131.70230263157896</v>
      </c>
      <c r="I204" s="286"/>
      <c r="J204" s="286"/>
      <c r="K204" s="286"/>
      <c r="L204" s="286"/>
      <c r="M204" s="286"/>
      <c r="N204" s="286"/>
      <c r="O204" s="286"/>
    </row>
    <row r="205" spans="2:15" x14ac:dyDescent="0.2">
      <c r="B205" s="282" t="s">
        <v>647</v>
      </c>
      <c r="C205" s="282">
        <v>5</v>
      </c>
      <c r="D205" s="282" t="s">
        <v>884</v>
      </c>
      <c r="E205" s="283">
        <v>2003</v>
      </c>
      <c r="F205" s="284">
        <v>23.98</v>
      </c>
      <c r="G205" s="285">
        <v>3415</v>
      </c>
      <c r="H205" s="285">
        <f t="shared" si="3"/>
        <v>142.41034195162635</v>
      </c>
      <c r="I205" s="286"/>
      <c r="J205" s="286"/>
      <c r="K205" s="286"/>
      <c r="L205" s="286"/>
      <c r="M205" s="286"/>
      <c r="N205" s="286"/>
      <c r="O205" s="286"/>
    </row>
    <row r="206" spans="2:15" x14ac:dyDescent="0.2">
      <c r="B206" s="282" t="s">
        <v>647</v>
      </c>
      <c r="C206" s="282">
        <v>5</v>
      </c>
      <c r="D206" s="282" t="s">
        <v>885</v>
      </c>
      <c r="E206" s="283">
        <v>2003</v>
      </c>
      <c r="F206" s="284">
        <v>24.23</v>
      </c>
      <c r="G206" s="285">
        <v>3164</v>
      </c>
      <c r="H206" s="285">
        <f t="shared" si="3"/>
        <v>130.58192323565828</v>
      </c>
      <c r="I206" s="286"/>
      <c r="J206" s="286"/>
      <c r="K206" s="286"/>
      <c r="L206" s="286"/>
      <c r="M206" s="286"/>
      <c r="N206" s="286"/>
      <c r="O206" s="286"/>
    </row>
    <row r="207" spans="2:15" x14ac:dyDescent="0.2">
      <c r="B207" s="282" t="s">
        <v>647</v>
      </c>
      <c r="C207" s="282">
        <v>5</v>
      </c>
      <c r="D207" s="282" t="s">
        <v>886</v>
      </c>
      <c r="E207" s="283">
        <v>2003</v>
      </c>
      <c r="F207" s="284">
        <v>24.09</v>
      </c>
      <c r="G207" s="285">
        <v>3206</v>
      </c>
      <c r="H207" s="285">
        <f t="shared" si="3"/>
        <v>133.08426733084266</v>
      </c>
      <c r="I207" s="286"/>
      <c r="J207" s="286"/>
      <c r="K207" s="286"/>
      <c r="L207" s="286"/>
      <c r="M207" s="286"/>
      <c r="N207" s="286"/>
      <c r="O207" s="286"/>
    </row>
    <row r="208" spans="2:15" x14ac:dyDescent="0.2">
      <c r="B208" s="282" t="s">
        <v>647</v>
      </c>
      <c r="C208" s="282">
        <v>5</v>
      </c>
      <c r="D208" s="282" t="s">
        <v>887</v>
      </c>
      <c r="E208" s="283">
        <v>2003</v>
      </c>
      <c r="F208" s="284">
        <v>22.2</v>
      </c>
      <c r="G208" s="285">
        <v>2926</v>
      </c>
      <c r="H208" s="285">
        <f t="shared" si="3"/>
        <v>131.80180180180182</v>
      </c>
      <c r="I208" s="286"/>
      <c r="J208" s="286"/>
      <c r="K208" s="286"/>
      <c r="L208" s="286"/>
      <c r="M208" s="286"/>
      <c r="N208" s="286"/>
      <c r="O208" s="286"/>
    </row>
    <row r="209" spans="2:15" x14ac:dyDescent="0.2">
      <c r="B209" s="282" t="s">
        <v>647</v>
      </c>
      <c r="C209" s="282">
        <v>5</v>
      </c>
      <c r="D209" s="282" t="s">
        <v>888</v>
      </c>
      <c r="E209" s="283">
        <v>2003</v>
      </c>
      <c r="F209" s="284">
        <v>13.51</v>
      </c>
      <c r="G209" s="285">
        <v>1905</v>
      </c>
      <c r="H209" s="285">
        <f t="shared" si="3"/>
        <v>141.00666173205033</v>
      </c>
      <c r="I209" s="286"/>
      <c r="J209" s="286"/>
      <c r="K209" s="286"/>
      <c r="L209" s="286"/>
      <c r="M209" s="286"/>
      <c r="N209" s="286"/>
      <c r="O209" s="286"/>
    </row>
    <row r="210" spans="2:15" x14ac:dyDescent="0.2">
      <c r="B210" s="282" t="s">
        <v>647</v>
      </c>
      <c r="C210" s="282">
        <v>5</v>
      </c>
      <c r="D210" s="282" t="s">
        <v>889</v>
      </c>
      <c r="E210" s="283">
        <v>2003</v>
      </c>
      <c r="F210" s="284">
        <v>4.0599999999999996</v>
      </c>
      <c r="G210" s="285">
        <v>575</v>
      </c>
      <c r="H210" s="285">
        <f t="shared" si="3"/>
        <v>141.62561576354682</v>
      </c>
      <c r="I210" s="286"/>
      <c r="J210" s="286"/>
      <c r="K210" s="286"/>
      <c r="L210" s="286"/>
      <c r="M210" s="286"/>
      <c r="N210" s="286"/>
      <c r="O210" s="286"/>
    </row>
    <row r="211" spans="2:15" x14ac:dyDescent="0.2">
      <c r="B211" s="282" t="s">
        <v>647</v>
      </c>
      <c r="C211" s="282">
        <v>5</v>
      </c>
      <c r="D211" s="282" t="s">
        <v>890</v>
      </c>
      <c r="E211" s="283">
        <v>2003</v>
      </c>
      <c r="F211" s="284">
        <v>24.19</v>
      </c>
      <c r="G211" s="285">
        <v>3398</v>
      </c>
      <c r="H211" s="285">
        <f t="shared" si="3"/>
        <v>140.47126911947086</v>
      </c>
      <c r="I211" s="286"/>
      <c r="J211" s="286"/>
      <c r="K211" s="286"/>
      <c r="L211" s="286"/>
      <c r="M211" s="286"/>
      <c r="N211" s="286"/>
      <c r="O211" s="286"/>
    </row>
    <row r="212" spans="2:15" x14ac:dyDescent="0.2">
      <c r="B212" s="282" t="s">
        <v>647</v>
      </c>
      <c r="C212" s="282">
        <v>5</v>
      </c>
      <c r="D212" s="282" t="s">
        <v>891</v>
      </c>
      <c r="E212" s="283">
        <v>2003</v>
      </c>
      <c r="F212" s="284">
        <v>24.27</v>
      </c>
      <c r="G212" s="285">
        <v>3182</v>
      </c>
      <c r="H212" s="285">
        <f t="shared" si="3"/>
        <v>131.1083642356819</v>
      </c>
      <c r="I212" s="286"/>
      <c r="J212" s="286"/>
      <c r="K212" s="286"/>
      <c r="L212" s="286"/>
      <c r="M212" s="286"/>
      <c r="N212" s="286"/>
      <c r="O212" s="286"/>
    </row>
    <row r="213" spans="2:15" x14ac:dyDescent="0.2">
      <c r="B213" s="282" t="s">
        <v>647</v>
      </c>
      <c r="C213" s="282">
        <v>5</v>
      </c>
      <c r="D213" s="282" t="s">
        <v>892</v>
      </c>
      <c r="E213" s="283">
        <v>2003</v>
      </c>
      <c r="F213" s="284">
        <v>24.46</v>
      </c>
      <c r="G213" s="285">
        <v>3250</v>
      </c>
      <c r="H213" s="285">
        <f t="shared" si="3"/>
        <v>132.86999182338511</v>
      </c>
      <c r="I213" s="286"/>
      <c r="J213" s="286"/>
      <c r="K213" s="286"/>
      <c r="L213" s="286"/>
      <c r="M213" s="286"/>
      <c r="N213" s="286"/>
      <c r="O213" s="286"/>
    </row>
    <row r="214" spans="2:15" x14ac:dyDescent="0.2">
      <c r="B214" s="282" t="s">
        <v>647</v>
      </c>
      <c r="C214" s="282">
        <v>5</v>
      </c>
      <c r="D214" s="282" t="s">
        <v>893</v>
      </c>
      <c r="E214" s="283">
        <v>2003</v>
      </c>
      <c r="F214" s="284">
        <v>24.97</v>
      </c>
      <c r="G214" s="285">
        <v>3207</v>
      </c>
      <c r="H214" s="285">
        <f t="shared" si="3"/>
        <v>128.43412094513417</v>
      </c>
      <c r="I214" s="286"/>
      <c r="J214" s="286"/>
      <c r="K214" s="286"/>
      <c r="L214" s="286"/>
      <c r="M214" s="286"/>
      <c r="N214" s="286"/>
      <c r="O214" s="286"/>
    </row>
    <row r="215" spans="2:15" x14ac:dyDescent="0.2">
      <c r="B215" s="282" t="s">
        <v>647</v>
      </c>
      <c r="C215" s="282">
        <v>5</v>
      </c>
      <c r="D215" s="282" t="s">
        <v>894</v>
      </c>
      <c r="E215" s="283">
        <v>2003</v>
      </c>
      <c r="F215" s="284">
        <v>23.84</v>
      </c>
      <c r="G215" s="285">
        <v>3161</v>
      </c>
      <c r="H215" s="285">
        <f t="shared" si="3"/>
        <v>132.59228187919464</v>
      </c>
      <c r="I215" s="286"/>
      <c r="J215" s="286"/>
      <c r="K215" s="286"/>
      <c r="L215" s="286"/>
      <c r="M215" s="286"/>
      <c r="N215" s="286"/>
      <c r="O215" s="286"/>
    </row>
    <row r="216" spans="2:15" x14ac:dyDescent="0.2">
      <c r="B216" s="282" t="s">
        <v>647</v>
      </c>
      <c r="C216" s="282">
        <v>5</v>
      </c>
      <c r="D216" s="282" t="s">
        <v>895</v>
      </c>
      <c r="E216" s="283">
        <v>2003</v>
      </c>
      <c r="F216" s="284">
        <v>23.94</v>
      </c>
      <c r="G216" s="285">
        <v>3217</v>
      </c>
      <c r="H216" s="285">
        <f t="shared" si="3"/>
        <v>134.37761069340016</v>
      </c>
      <c r="I216" s="286"/>
      <c r="J216" s="286"/>
      <c r="K216" s="286"/>
      <c r="L216" s="286"/>
      <c r="M216" s="286"/>
      <c r="N216" s="286"/>
      <c r="O216" s="286"/>
    </row>
    <row r="217" spans="2:15" x14ac:dyDescent="0.2">
      <c r="B217" s="282" t="s">
        <v>647</v>
      </c>
      <c r="C217" s="282">
        <v>5</v>
      </c>
      <c r="D217" s="282" t="s">
        <v>896</v>
      </c>
      <c r="E217" s="283">
        <v>2003</v>
      </c>
      <c r="F217" s="284">
        <v>23.83</v>
      </c>
      <c r="G217" s="285">
        <v>3050</v>
      </c>
      <c r="H217" s="285">
        <f t="shared" si="3"/>
        <v>127.98992866135124</v>
      </c>
      <c r="I217" s="286"/>
      <c r="J217" s="286"/>
      <c r="K217" s="286"/>
      <c r="L217" s="286"/>
      <c r="M217" s="286"/>
      <c r="N217" s="286"/>
      <c r="O217" s="286"/>
    </row>
    <row r="218" spans="2:15" x14ac:dyDescent="0.2">
      <c r="B218" s="282" t="s">
        <v>647</v>
      </c>
      <c r="C218" s="282">
        <v>5</v>
      </c>
      <c r="D218" s="282" t="s">
        <v>897</v>
      </c>
      <c r="E218" s="283">
        <v>2003</v>
      </c>
      <c r="F218" s="284">
        <v>20.05</v>
      </c>
      <c r="G218" s="285">
        <v>2484</v>
      </c>
      <c r="H218" s="285">
        <f t="shared" si="3"/>
        <v>123.89027431421447</v>
      </c>
      <c r="I218" s="286"/>
      <c r="J218" s="286"/>
      <c r="K218" s="286"/>
      <c r="L218" s="286"/>
      <c r="M218" s="286"/>
      <c r="N218" s="286"/>
      <c r="O218" s="286"/>
    </row>
    <row r="219" spans="2:15" x14ac:dyDescent="0.2">
      <c r="B219" s="282" t="s">
        <v>647</v>
      </c>
      <c r="C219" s="282">
        <v>5</v>
      </c>
      <c r="D219" s="282" t="s">
        <v>898</v>
      </c>
      <c r="E219" s="283">
        <v>2003</v>
      </c>
      <c r="F219" s="284">
        <v>25.94</v>
      </c>
      <c r="G219" s="285">
        <v>2860</v>
      </c>
      <c r="H219" s="285">
        <f t="shared" si="3"/>
        <v>110.25443330763299</v>
      </c>
      <c r="I219" s="286"/>
      <c r="J219" s="286"/>
      <c r="K219" s="286"/>
      <c r="L219" s="286"/>
      <c r="M219" s="286"/>
      <c r="N219" s="286"/>
      <c r="O219" s="286"/>
    </row>
    <row r="220" spans="2:15" x14ac:dyDescent="0.2">
      <c r="B220" s="282" t="s">
        <v>647</v>
      </c>
      <c r="C220" s="282">
        <v>5</v>
      </c>
      <c r="D220" s="282" t="s">
        <v>899</v>
      </c>
      <c r="E220" s="283">
        <v>2003</v>
      </c>
      <c r="F220" s="284">
        <v>22.25</v>
      </c>
      <c r="G220" s="285">
        <v>2711</v>
      </c>
      <c r="H220" s="285">
        <f t="shared" si="3"/>
        <v>121.84269662921348</v>
      </c>
      <c r="I220" s="286"/>
      <c r="J220" s="286"/>
      <c r="K220" s="286"/>
      <c r="L220" s="286"/>
      <c r="M220" s="286"/>
      <c r="N220" s="286"/>
      <c r="O220" s="286"/>
    </row>
    <row r="221" spans="2:15" x14ac:dyDescent="0.2">
      <c r="B221" s="282" t="s">
        <v>647</v>
      </c>
      <c r="C221" s="282">
        <v>5</v>
      </c>
      <c r="D221" s="282" t="s">
        <v>900</v>
      </c>
      <c r="E221" s="283">
        <v>2003</v>
      </c>
      <c r="F221" s="284">
        <v>16.309999999999999</v>
      </c>
      <c r="G221" s="285">
        <v>1952</v>
      </c>
      <c r="H221" s="285">
        <f t="shared" si="3"/>
        <v>119.68117719190681</v>
      </c>
      <c r="I221" s="286"/>
      <c r="J221" s="286"/>
      <c r="K221" s="286"/>
      <c r="L221" s="286"/>
      <c r="M221" s="286"/>
      <c r="N221" s="286"/>
      <c r="O221" s="286"/>
    </row>
    <row r="222" spans="2:15" x14ac:dyDescent="0.2">
      <c r="B222" s="282" t="s">
        <v>647</v>
      </c>
      <c r="C222" s="282">
        <v>5</v>
      </c>
      <c r="D222" s="282" t="s">
        <v>901</v>
      </c>
      <c r="E222" s="283">
        <v>2003</v>
      </c>
      <c r="F222" s="284">
        <v>19.97</v>
      </c>
      <c r="G222" s="285">
        <v>2543</v>
      </c>
      <c r="H222" s="285">
        <f t="shared" si="3"/>
        <v>127.34101151727592</v>
      </c>
      <c r="I222" s="286"/>
      <c r="J222" s="286"/>
      <c r="K222" s="286"/>
      <c r="L222" s="286"/>
      <c r="M222" s="286"/>
      <c r="N222" s="286"/>
      <c r="O222" s="286"/>
    </row>
    <row r="223" spans="2:15" x14ac:dyDescent="0.2">
      <c r="B223" s="282" t="s">
        <v>647</v>
      </c>
      <c r="C223" s="282">
        <v>5</v>
      </c>
      <c r="D223" s="282" t="s">
        <v>902</v>
      </c>
      <c r="E223" s="283">
        <v>2003</v>
      </c>
      <c r="F223" s="284">
        <v>24.29</v>
      </c>
      <c r="G223" s="285">
        <v>3024</v>
      </c>
      <c r="H223" s="285">
        <f t="shared" si="3"/>
        <v>124.4956772334294</v>
      </c>
      <c r="I223" s="286"/>
      <c r="J223" s="286"/>
      <c r="K223" s="286"/>
      <c r="L223" s="286"/>
      <c r="M223" s="286"/>
      <c r="N223" s="286"/>
      <c r="O223" s="286"/>
    </row>
    <row r="224" spans="2:15" x14ac:dyDescent="0.2">
      <c r="B224" s="282" t="s">
        <v>647</v>
      </c>
      <c r="C224" s="282">
        <v>5</v>
      </c>
      <c r="D224" s="282" t="s">
        <v>903</v>
      </c>
      <c r="E224" s="283">
        <v>2004</v>
      </c>
      <c r="F224" s="284">
        <v>25.4</v>
      </c>
      <c r="G224" s="285">
        <v>3362</v>
      </c>
      <c r="H224" s="285">
        <f t="shared" si="3"/>
        <v>132.36220472440945</v>
      </c>
      <c r="I224" s="286"/>
      <c r="J224" s="286"/>
      <c r="K224" s="286"/>
      <c r="L224" s="286"/>
      <c r="M224" s="286"/>
      <c r="N224" s="286"/>
      <c r="O224" s="286"/>
    </row>
    <row r="225" spans="2:15" x14ac:dyDescent="0.2">
      <c r="B225" s="282" t="s">
        <v>647</v>
      </c>
      <c r="C225" s="282">
        <v>5</v>
      </c>
      <c r="D225" s="282" t="s">
        <v>904</v>
      </c>
      <c r="E225" s="283">
        <v>2004</v>
      </c>
      <c r="F225" s="284">
        <v>26.8</v>
      </c>
      <c r="G225" s="285">
        <v>3485</v>
      </c>
      <c r="H225" s="285">
        <f t="shared" si="3"/>
        <v>130.03731343283582</v>
      </c>
      <c r="I225" s="286"/>
      <c r="J225" s="286"/>
      <c r="K225" s="286"/>
      <c r="L225" s="286"/>
      <c r="M225" s="286"/>
      <c r="N225" s="286"/>
      <c r="O225" s="286"/>
    </row>
    <row r="226" spans="2:15" x14ac:dyDescent="0.2">
      <c r="B226" s="282" t="s">
        <v>647</v>
      </c>
      <c r="C226" s="282">
        <v>5</v>
      </c>
      <c r="D226" s="282" t="s">
        <v>905</v>
      </c>
      <c r="E226" s="283">
        <v>2004</v>
      </c>
      <c r="F226" s="284">
        <v>24.12</v>
      </c>
      <c r="G226" s="285">
        <v>3293</v>
      </c>
      <c r="H226" s="285">
        <f t="shared" si="3"/>
        <v>136.52570480928691</v>
      </c>
      <c r="I226" s="286"/>
      <c r="J226" s="286"/>
      <c r="K226" s="286"/>
      <c r="L226" s="286"/>
      <c r="M226" s="286"/>
      <c r="N226" s="286"/>
      <c r="O226" s="286"/>
    </row>
    <row r="227" spans="2:15" x14ac:dyDescent="0.2">
      <c r="B227" s="282" t="s">
        <v>647</v>
      </c>
      <c r="C227" s="282">
        <v>5</v>
      </c>
      <c r="D227" s="282" t="s">
        <v>906</v>
      </c>
      <c r="E227" s="283">
        <v>2004</v>
      </c>
      <c r="F227" s="284">
        <v>9.6999999999999993</v>
      </c>
      <c r="G227" s="285">
        <v>1018</v>
      </c>
      <c r="H227" s="285">
        <f t="shared" si="3"/>
        <v>104.94845360824743</v>
      </c>
      <c r="I227" s="286"/>
      <c r="J227" s="286"/>
      <c r="K227" s="286"/>
      <c r="L227" s="286"/>
      <c r="M227" s="286"/>
      <c r="N227" s="286"/>
      <c r="O227" s="286"/>
    </row>
    <row r="228" spans="2:15" x14ac:dyDescent="0.2">
      <c r="B228" s="282" t="s">
        <v>647</v>
      </c>
      <c r="C228" s="282">
        <v>5</v>
      </c>
      <c r="D228" s="282" t="s">
        <v>907</v>
      </c>
      <c r="E228" s="283">
        <v>2004</v>
      </c>
      <c r="F228" s="284">
        <v>22.08</v>
      </c>
      <c r="G228" s="285">
        <v>2833</v>
      </c>
      <c r="H228" s="285">
        <f t="shared" si="3"/>
        <v>128.30615942028987</v>
      </c>
      <c r="I228" s="286"/>
      <c r="J228" s="286"/>
      <c r="K228" s="286"/>
      <c r="L228" s="286"/>
      <c r="M228" s="286"/>
      <c r="N228" s="286"/>
      <c r="O228" s="286"/>
    </row>
    <row r="229" spans="2:15" x14ac:dyDescent="0.2">
      <c r="B229" s="282" t="s">
        <v>647</v>
      </c>
      <c r="C229" s="282">
        <v>5</v>
      </c>
      <c r="D229" s="282" t="s">
        <v>908</v>
      </c>
      <c r="E229" s="283">
        <v>2004</v>
      </c>
      <c r="F229" s="284">
        <v>14.64</v>
      </c>
      <c r="G229" s="285">
        <v>1684</v>
      </c>
      <c r="H229" s="285">
        <f t="shared" si="3"/>
        <v>115.02732240437157</v>
      </c>
      <c r="I229" s="286"/>
      <c r="J229" s="286"/>
      <c r="K229" s="286"/>
      <c r="L229" s="286"/>
      <c r="M229" s="286"/>
      <c r="N229" s="286"/>
      <c r="O229" s="286"/>
    </row>
    <row r="230" spans="2:15" x14ac:dyDescent="0.2">
      <c r="B230" s="282" t="s">
        <v>647</v>
      </c>
      <c r="C230" s="282">
        <v>5</v>
      </c>
      <c r="D230" s="282" t="s">
        <v>909</v>
      </c>
      <c r="E230" s="283">
        <v>2005</v>
      </c>
      <c r="F230" s="284">
        <v>31.03</v>
      </c>
      <c r="G230" s="285">
        <v>4068</v>
      </c>
      <c r="H230" s="285">
        <f t="shared" si="3"/>
        <v>131.09893651305188</v>
      </c>
      <c r="I230" s="286"/>
      <c r="J230" s="286"/>
      <c r="K230" s="286"/>
      <c r="L230" s="286"/>
      <c r="M230" s="286"/>
      <c r="N230" s="286"/>
      <c r="O230" s="286"/>
    </row>
    <row r="231" spans="2:15" x14ac:dyDescent="0.2">
      <c r="B231" s="282" t="s">
        <v>647</v>
      </c>
      <c r="C231" s="282">
        <v>5</v>
      </c>
      <c r="D231" s="282" t="s">
        <v>910</v>
      </c>
      <c r="E231" s="283">
        <v>2005</v>
      </c>
      <c r="F231" s="284">
        <v>29.12</v>
      </c>
      <c r="G231" s="285">
        <v>3940</v>
      </c>
      <c r="H231" s="285">
        <f t="shared" si="3"/>
        <v>135.30219780219781</v>
      </c>
      <c r="I231" s="286"/>
      <c r="J231" s="286"/>
      <c r="K231" s="286"/>
      <c r="L231" s="286"/>
      <c r="M231" s="286"/>
      <c r="N231" s="286"/>
      <c r="O231" s="286"/>
    </row>
    <row r="232" spans="2:15" x14ac:dyDescent="0.2">
      <c r="B232" s="282" t="s">
        <v>647</v>
      </c>
      <c r="C232" s="282">
        <v>5</v>
      </c>
      <c r="D232" s="282" t="s">
        <v>911</v>
      </c>
      <c r="E232" s="283">
        <v>2005</v>
      </c>
      <c r="F232" s="284">
        <v>29.95</v>
      </c>
      <c r="G232" s="285">
        <v>4067</v>
      </c>
      <c r="H232" s="285">
        <f t="shared" si="3"/>
        <v>135.79298831385643</v>
      </c>
      <c r="I232" s="286"/>
      <c r="J232" s="286"/>
      <c r="K232" s="286"/>
      <c r="L232" s="286"/>
      <c r="M232" s="286"/>
      <c r="N232" s="286"/>
      <c r="O232" s="286"/>
    </row>
    <row r="233" spans="2:15" x14ac:dyDescent="0.2">
      <c r="B233" s="282" t="s">
        <v>647</v>
      </c>
      <c r="C233" s="282">
        <v>5</v>
      </c>
      <c r="D233" s="282" t="s">
        <v>912</v>
      </c>
      <c r="E233" s="283">
        <v>2005</v>
      </c>
      <c r="F233" s="284">
        <v>23.92</v>
      </c>
      <c r="G233" s="285">
        <v>3106</v>
      </c>
      <c r="H233" s="285">
        <f t="shared" si="3"/>
        <v>129.84949832775919</v>
      </c>
      <c r="I233" s="286"/>
      <c r="J233" s="286"/>
      <c r="K233" s="286"/>
      <c r="L233" s="286"/>
      <c r="M233" s="286"/>
      <c r="N233" s="286"/>
      <c r="O233" s="286"/>
    </row>
    <row r="234" spans="2:15" x14ac:dyDescent="0.2">
      <c r="B234" s="282" t="s">
        <v>647</v>
      </c>
      <c r="C234" s="282">
        <v>5</v>
      </c>
      <c r="D234" s="282" t="s">
        <v>913</v>
      </c>
      <c r="E234" s="283">
        <v>2005</v>
      </c>
      <c r="F234" s="284">
        <v>16.010000000000002</v>
      </c>
      <c r="G234" s="285">
        <v>2158</v>
      </c>
      <c r="H234" s="285">
        <f t="shared" si="3"/>
        <v>134.79075577763896</v>
      </c>
      <c r="I234" s="286"/>
      <c r="J234" s="286"/>
      <c r="K234" s="286"/>
      <c r="L234" s="286"/>
      <c r="M234" s="286"/>
      <c r="N234" s="286"/>
      <c r="O234" s="286"/>
    </row>
    <row r="235" spans="2:15" x14ac:dyDescent="0.2">
      <c r="B235" s="282" t="s">
        <v>647</v>
      </c>
      <c r="C235" s="282">
        <v>5</v>
      </c>
      <c r="D235" s="282" t="s">
        <v>914</v>
      </c>
      <c r="E235" s="283">
        <v>2006</v>
      </c>
      <c r="F235" s="284">
        <v>8.98</v>
      </c>
      <c r="G235" s="285">
        <v>1171</v>
      </c>
      <c r="H235" s="285">
        <f t="shared" si="3"/>
        <v>130.40089086859689</v>
      </c>
      <c r="I235" s="286"/>
      <c r="J235" s="286"/>
      <c r="K235" s="286"/>
      <c r="L235" s="286"/>
      <c r="M235" s="286"/>
      <c r="N235" s="286"/>
      <c r="O235" s="286"/>
    </row>
    <row r="236" spans="2:15" x14ac:dyDescent="0.2">
      <c r="B236" s="282" t="s">
        <v>647</v>
      </c>
      <c r="C236" s="282">
        <v>5</v>
      </c>
      <c r="D236" s="282" t="s">
        <v>915</v>
      </c>
      <c r="E236" s="283">
        <v>2006</v>
      </c>
      <c r="F236" s="284">
        <v>1.56</v>
      </c>
      <c r="G236" s="285">
        <v>206</v>
      </c>
      <c r="H236" s="285">
        <f t="shared" si="3"/>
        <v>132.05128205128204</v>
      </c>
      <c r="I236" s="286"/>
      <c r="J236" s="286"/>
      <c r="K236" s="286"/>
      <c r="L236" s="286"/>
      <c r="M236" s="286"/>
      <c r="N236" s="286"/>
      <c r="O236" s="286"/>
    </row>
    <row r="237" spans="2:15" x14ac:dyDescent="0.2">
      <c r="B237" s="282" t="s">
        <v>647</v>
      </c>
      <c r="C237" s="282">
        <v>5</v>
      </c>
      <c r="D237" s="282" t="s">
        <v>916</v>
      </c>
      <c r="E237" s="283">
        <v>2006</v>
      </c>
      <c r="F237" s="284">
        <v>31.24</v>
      </c>
      <c r="G237" s="285">
        <v>3849</v>
      </c>
      <c r="H237" s="285">
        <f t="shared" si="3"/>
        <v>123.20742637644047</v>
      </c>
      <c r="I237" s="286"/>
      <c r="J237" s="286"/>
      <c r="K237" s="286"/>
      <c r="L237" s="286"/>
      <c r="M237" s="286"/>
      <c r="N237" s="286"/>
      <c r="O237" s="286"/>
    </row>
    <row r="238" spans="2:15" x14ac:dyDescent="0.2">
      <c r="B238" s="282" t="s">
        <v>647</v>
      </c>
      <c r="C238" s="282">
        <v>5</v>
      </c>
      <c r="D238" s="282" t="s">
        <v>917</v>
      </c>
      <c r="E238" s="283">
        <v>2006</v>
      </c>
      <c r="F238" s="284">
        <v>31.29</v>
      </c>
      <c r="G238" s="285">
        <v>4345</v>
      </c>
      <c r="H238" s="285">
        <f t="shared" si="3"/>
        <v>138.86225631192073</v>
      </c>
      <c r="I238" s="286"/>
      <c r="J238" s="286"/>
      <c r="K238" s="286"/>
      <c r="L238" s="286"/>
      <c r="M238" s="286"/>
      <c r="N238" s="286"/>
      <c r="O238" s="286"/>
    </row>
    <row r="239" spans="2:15" x14ac:dyDescent="0.2">
      <c r="B239" s="282" t="s">
        <v>647</v>
      </c>
      <c r="C239" s="282">
        <v>5</v>
      </c>
      <c r="D239" s="282" t="s">
        <v>918</v>
      </c>
      <c r="E239" s="283">
        <v>2006</v>
      </c>
      <c r="F239" s="284">
        <v>17.079999999999998</v>
      </c>
      <c r="G239" s="285">
        <v>2292</v>
      </c>
      <c r="H239" s="285">
        <f t="shared" si="3"/>
        <v>134.19203747072601</v>
      </c>
      <c r="I239" s="286"/>
      <c r="J239" s="286"/>
      <c r="K239" s="286"/>
      <c r="L239" s="286"/>
      <c r="M239" s="286"/>
      <c r="N239" s="286"/>
      <c r="O239" s="286"/>
    </row>
    <row r="240" spans="2:15" x14ac:dyDescent="0.2">
      <c r="B240" s="282" t="s">
        <v>647</v>
      </c>
      <c r="C240" s="282">
        <v>5</v>
      </c>
      <c r="D240" s="282" t="s">
        <v>919</v>
      </c>
      <c r="E240" s="283">
        <v>2006</v>
      </c>
      <c r="F240" s="284">
        <v>4.84</v>
      </c>
      <c r="G240" s="285">
        <v>597</v>
      </c>
      <c r="H240" s="285">
        <f t="shared" si="3"/>
        <v>123.34710743801654</v>
      </c>
      <c r="I240" s="286"/>
      <c r="J240" s="286"/>
      <c r="K240" s="286"/>
      <c r="L240" s="286"/>
      <c r="M240" s="286"/>
      <c r="N240" s="286"/>
      <c r="O240" s="286"/>
    </row>
    <row r="241" spans="2:15" x14ac:dyDescent="0.2">
      <c r="B241" s="282" t="s">
        <v>647</v>
      </c>
      <c r="C241" s="282">
        <v>6</v>
      </c>
      <c r="D241" s="282" t="s">
        <v>920</v>
      </c>
      <c r="E241" s="283">
        <v>1996</v>
      </c>
      <c r="F241" s="284">
        <v>16.36</v>
      </c>
      <c r="G241" s="285">
        <v>2039</v>
      </c>
      <c r="H241" s="285">
        <f t="shared" si="3"/>
        <v>124.63325183374083</v>
      </c>
      <c r="I241" s="286"/>
      <c r="J241" s="286"/>
      <c r="K241" s="286"/>
      <c r="L241" s="286"/>
      <c r="M241" s="286"/>
      <c r="N241" s="286"/>
      <c r="O241" s="286"/>
    </row>
    <row r="242" spans="2:15" x14ac:dyDescent="0.2">
      <c r="B242" s="282" t="s">
        <v>647</v>
      </c>
      <c r="C242" s="282">
        <v>6</v>
      </c>
      <c r="D242" s="282" t="s">
        <v>921</v>
      </c>
      <c r="E242" s="283">
        <v>1996</v>
      </c>
      <c r="F242" s="284">
        <v>18.18</v>
      </c>
      <c r="G242" s="285">
        <v>2564</v>
      </c>
      <c r="H242" s="285">
        <f t="shared" si="3"/>
        <v>141.03410341034103</v>
      </c>
      <c r="I242" s="286"/>
      <c r="J242" s="286"/>
      <c r="K242" s="286"/>
      <c r="L242" s="286"/>
      <c r="M242" s="286"/>
      <c r="N242" s="286"/>
      <c r="O242" s="286"/>
    </row>
    <row r="243" spans="2:15" x14ac:dyDescent="0.2">
      <c r="B243" s="282" t="s">
        <v>647</v>
      </c>
      <c r="C243" s="282">
        <v>6</v>
      </c>
      <c r="D243" s="282" t="s">
        <v>922</v>
      </c>
      <c r="E243" s="283">
        <v>1996</v>
      </c>
      <c r="F243" s="284">
        <v>16.34</v>
      </c>
      <c r="G243" s="285">
        <v>2161</v>
      </c>
      <c r="H243" s="285">
        <f t="shared" si="3"/>
        <v>132.25214198286415</v>
      </c>
      <c r="I243" s="286"/>
      <c r="J243" s="286"/>
      <c r="K243" s="286"/>
      <c r="L243" s="286"/>
      <c r="M243" s="286"/>
      <c r="N243" s="286"/>
      <c r="O243" s="286"/>
    </row>
    <row r="244" spans="2:15" x14ac:dyDescent="0.2">
      <c r="B244" s="282" t="s">
        <v>647</v>
      </c>
      <c r="C244" s="282">
        <v>6</v>
      </c>
      <c r="D244" s="282" t="s">
        <v>923</v>
      </c>
      <c r="E244" s="283">
        <v>1996</v>
      </c>
      <c r="F244" s="284">
        <v>17.72</v>
      </c>
      <c r="G244" s="285">
        <v>2384</v>
      </c>
      <c r="H244" s="285">
        <f t="shared" si="3"/>
        <v>134.53724604966141</v>
      </c>
      <c r="I244" s="286"/>
      <c r="J244" s="286"/>
      <c r="K244" s="286"/>
      <c r="L244" s="286"/>
      <c r="M244" s="286"/>
      <c r="N244" s="286"/>
      <c r="O244" s="286"/>
    </row>
    <row r="245" spans="2:15" x14ac:dyDescent="0.2">
      <c r="B245" s="282" t="s">
        <v>647</v>
      </c>
      <c r="C245" s="282">
        <v>6</v>
      </c>
      <c r="D245" s="282" t="s">
        <v>924</v>
      </c>
      <c r="E245" s="283">
        <v>1996</v>
      </c>
      <c r="F245" s="284">
        <v>18.37</v>
      </c>
      <c r="G245" s="285">
        <v>2416</v>
      </c>
      <c r="H245" s="285">
        <f t="shared" si="3"/>
        <v>131.51878062057702</v>
      </c>
      <c r="I245" s="286"/>
      <c r="J245" s="286"/>
      <c r="K245" s="286"/>
      <c r="L245" s="286"/>
      <c r="M245" s="286"/>
      <c r="N245" s="286"/>
      <c r="O245" s="286"/>
    </row>
    <row r="246" spans="2:15" x14ac:dyDescent="0.2">
      <c r="B246" s="282" t="s">
        <v>647</v>
      </c>
      <c r="C246" s="282">
        <v>6</v>
      </c>
      <c r="D246" s="282" t="s">
        <v>925</v>
      </c>
      <c r="E246" s="283">
        <v>1997</v>
      </c>
      <c r="F246" s="284">
        <v>24.54</v>
      </c>
      <c r="G246" s="285">
        <v>3328</v>
      </c>
      <c r="H246" s="285">
        <f t="shared" si="3"/>
        <v>135.61532192339038</v>
      </c>
      <c r="I246" s="286"/>
      <c r="J246" s="286"/>
      <c r="K246" s="286"/>
      <c r="L246" s="286"/>
      <c r="M246" s="286"/>
      <c r="N246" s="286"/>
      <c r="O246" s="286"/>
    </row>
    <row r="247" spans="2:15" x14ac:dyDescent="0.2">
      <c r="B247" s="282" t="s">
        <v>647</v>
      </c>
      <c r="C247" s="282">
        <v>6</v>
      </c>
      <c r="D247" s="282" t="s">
        <v>926</v>
      </c>
      <c r="E247" s="283">
        <v>1997</v>
      </c>
      <c r="F247" s="284">
        <v>22.74</v>
      </c>
      <c r="G247" s="285">
        <v>3049</v>
      </c>
      <c r="H247" s="285">
        <f t="shared" si="3"/>
        <v>134.08091468777485</v>
      </c>
      <c r="I247" s="286"/>
      <c r="J247" s="286"/>
      <c r="K247" s="286"/>
      <c r="L247" s="286"/>
      <c r="M247" s="286"/>
      <c r="N247" s="286"/>
      <c r="O247" s="286"/>
    </row>
    <row r="248" spans="2:15" x14ac:dyDescent="0.2">
      <c r="B248" s="282" t="s">
        <v>647</v>
      </c>
      <c r="C248" s="282">
        <v>6</v>
      </c>
      <c r="D248" s="282" t="s">
        <v>927</v>
      </c>
      <c r="E248" s="283">
        <v>1997</v>
      </c>
      <c r="F248" s="284">
        <v>21.14</v>
      </c>
      <c r="G248" s="285">
        <v>2762</v>
      </c>
      <c r="H248" s="285">
        <f t="shared" si="3"/>
        <v>130.65279091769159</v>
      </c>
      <c r="I248" s="286"/>
      <c r="J248" s="286"/>
      <c r="K248" s="286"/>
      <c r="L248" s="286"/>
      <c r="M248" s="286"/>
      <c r="N248" s="286"/>
      <c r="O248" s="286"/>
    </row>
    <row r="249" spans="2:15" x14ac:dyDescent="0.2">
      <c r="B249" s="282" t="s">
        <v>647</v>
      </c>
      <c r="C249" s="282">
        <v>6</v>
      </c>
      <c r="D249" s="282" t="s">
        <v>928</v>
      </c>
      <c r="E249" s="283">
        <v>1997</v>
      </c>
      <c r="F249" s="284">
        <v>15.87</v>
      </c>
      <c r="G249" s="285">
        <v>2208</v>
      </c>
      <c r="H249" s="285">
        <f t="shared" si="3"/>
        <v>139.13043478260872</v>
      </c>
      <c r="I249" s="286"/>
      <c r="J249" s="286"/>
      <c r="K249" s="286"/>
      <c r="L249" s="286"/>
      <c r="M249" s="286"/>
      <c r="N249" s="286"/>
      <c r="O249" s="286"/>
    </row>
    <row r="250" spans="2:15" x14ac:dyDescent="0.2">
      <c r="B250" s="282" t="s">
        <v>647</v>
      </c>
      <c r="C250" s="282">
        <v>6</v>
      </c>
      <c r="D250" s="282" t="s">
        <v>929</v>
      </c>
      <c r="E250" s="283">
        <v>1997</v>
      </c>
      <c r="F250" s="284">
        <v>28.71</v>
      </c>
      <c r="G250" s="285">
        <v>3905</v>
      </c>
      <c r="H250" s="285">
        <f t="shared" si="3"/>
        <v>136.01532567049807</v>
      </c>
      <c r="I250" s="286"/>
      <c r="J250" s="286"/>
      <c r="K250" s="286"/>
      <c r="L250" s="286"/>
      <c r="M250" s="286"/>
      <c r="N250" s="286"/>
      <c r="O250" s="286"/>
    </row>
    <row r="251" spans="2:15" x14ac:dyDescent="0.2">
      <c r="B251" s="282" t="s">
        <v>647</v>
      </c>
      <c r="C251" s="282">
        <v>6</v>
      </c>
      <c r="D251" s="282" t="s">
        <v>930</v>
      </c>
      <c r="E251" s="283">
        <v>1997</v>
      </c>
      <c r="F251" s="284">
        <v>17.38</v>
      </c>
      <c r="G251" s="285">
        <v>2318</v>
      </c>
      <c r="H251" s="285">
        <f t="shared" si="3"/>
        <v>133.3716915995397</v>
      </c>
      <c r="I251" s="286"/>
      <c r="J251" s="286"/>
      <c r="K251" s="286"/>
      <c r="L251" s="286"/>
      <c r="M251" s="286"/>
      <c r="N251" s="286"/>
      <c r="O251" s="286"/>
    </row>
    <row r="252" spans="2:15" x14ac:dyDescent="0.2">
      <c r="B252" s="282" t="s">
        <v>647</v>
      </c>
      <c r="C252" s="282">
        <v>6</v>
      </c>
      <c r="D252" s="282" t="s">
        <v>931</v>
      </c>
      <c r="E252" s="283">
        <v>1997</v>
      </c>
      <c r="F252" s="284">
        <v>4.2699999999999996</v>
      </c>
      <c r="G252" s="285">
        <v>526</v>
      </c>
      <c r="H252" s="285">
        <f t="shared" si="3"/>
        <v>123.18501170960188</v>
      </c>
      <c r="I252" s="286"/>
      <c r="J252" s="286"/>
      <c r="K252" s="286"/>
      <c r="L252" s="286"/>
      <c r="M252" s="286"/>
      <c r="N252" s="286"/>
      <c r="O252" s="286"/>
    </row>
    <row r="253" spans="2:15" x14ac:dyDescent="0.2">
      <c r="B253" s="282" t="s">
        <v>647</v>
      </c>
      <c r="C253" s="282">
        <v>6</v>
      </c>
      <c r="D253" s="282" t="s">
        <v>932</v>
      </c>
      <c r="E253" s="283">
        <v>1997</v>
      </c>
      <c r="F253" s="284">
        <v>13.22</v>
      </c>
      <c r="G253" s="285">
        <v>1619</v>
      </c>
      <c r="H253" s="285">
        <f t="shared" si="3"/>
        <v>122.46596066565809</v>
      </c>
      <c r="I253" s="286"/>
      <c r="J253" s="286"/>
      <c r="K253" s="286"/>
      <c r="L253" s="286"/>
      <c r="M253" s="286"/>
      <c r="N253" s="286"/>
      <c r="O253" s="286"/>
    </row>
    <row r="254" spans="2:15" x14ac:dyDescent="0.2">
      <c r="B254" s="282" t="s">
        <v>647</v>
      </c>
      <c r="C254" s="282">
        <v>6</v>
      </c>
      <c r="D254" s="282" t="s">
        <v>933</v>
      </c>
      <c r="E254" s="283">
        <v>1997</v>
      </c>
      <c r="F254" s="284">
        <v>19.559999999999999</v>
      </c>
      <c r="G254" s="285">
        <v>2385</v>
      </c>
      <c r="H254" s="285">
        <f t="shared" si="3"/>
        <v>121.93251533742333</v>
      </c>
      <c r="I254" s="286"/>
      <c r="J254" s="286"/>
      <c r="K254" s="286"/>
      <c r="L254" s="286"/>
      <c r="M254" s="286"/>
      <c r="N254" s="286"/>
      <c r="O254" s="286"/>
    </row>
    <row r="255" spans="2:15" x14ac:dyDescent="0.2">
      <c r="B255" s="282" t="s">
        <v>647</v>
      </c>
      <c r="C255" s="282">
        <v>6</v>
      </c>
      <c r="D255" s="282" t="s">
        <v>934</v>
      </c>
      <c r="E255" s="283">
        <v>1997</v>
      </c>
      <c r="F255" s="284">
        <v>23.81</v>
      </c>
      <c r="G255" s="285">
        <v>2974</v>
      </c>
      <c r="H255" s="285">
        <f t="shared" si="3"/>
        <v>124.90550188996221</v>
      </c>
      <c r="I255" s="286"/>
      <c r="J255" s="286"/>
      <c r="K255" s="286"/>
      <c r="L255" s="286"/>
      <c r="M255" s="286"/>
      <c r="N255" s="286"/>
      <c r="O255" s="286"/>
    </row>
    <row r="256" spans="2:15" x14ac:dyDescent="0.2">
      <c r="B256" s="282" t="s">
        <v>647</v>
      </c>
      <c r="C256" s="282">
        <v>6</v>
      </c>
      <c r="D256" s="282" t="s">
        <v>935</v>
      </c>
      <c r="E256" s="283">
        <v>1998</v>
      </c>
      <c r="F256" s="284">
        <v>30.12</v>
      </c>
      <c r="G256" s="285">
        <v>3810</v>
      </c>
      <c r="H256" s="285">
        <f t="shared" si="3"/>
        <v>126.49402390438246</v>
      </c>
      <c r="I256" s="286"/>
      <c r="J256" s="286"/>
      <c r="K256" s="286"/>
      <c r="L256" s="286"/>
      <c r="M256" s="286"/>
      <c r="N256" s="286"/>
      <c r="O256" s="286"/>
    </row>
    <row r="257" spans="2:15" x14ac:dyDescent="0.2">
      <c r="B257" s="282" t="s">
        <v>647</v>
      </c>
      <c r="C257" s="282">
        <v>6</v>
      </c>
      <c r="D257" s="282" t="s">
        <v>936</v>
      </c>
      <c r="E257" s="283">
        <v>1998</v>
      </c>
      <c r="F257" s="284">
        <v>30.26</v>
      </c>
      <c r="G257" s="285">
        <v>3914</v>
      </c>
      <c r="H257" s="285">
        <f t="shared" si="3"/>
        <v>129.34567085261071</v>
      </c>
      <c r="I257" s="286"/>
      <c r="J257" s="286"/>
      <c r="K257" s="286"/>
      <c r="L257" s="286"/>
      <c r="M257" s="286"/>
      <c r="N257" s="286"/>
      <c r="O257" s="286"/>
    </row>
    <row r="258" spans="2:15" x14ac:dyDescent="0.2">
      <c r="B258" s="282" t="s">
        <v>647</v>
      </c>
      <c r="C258" s="282">
        <v>6</v>
      </c>
      <c r="D258" s="282" t="s">
        <v>937</v>
      </c>
      <c r="E258" s="283">
        <v>1998</v>
      </c>
      <c r="F258" s="284">
        <v>31.82</v>
      </c>
      <c r="G258" s="285">
        <v>4214</v>
      </c>
      <c r="H258" s="285">
        <f t="shared" si="3"/>
        <v>132.43243243243242</v>
      </c>
      <c r="I258" s="286"/>
      <c r="J258" s="286"/>
      <c r="K258" s="286"/>
      <c r="L258" s="286"/>
      <c r="M258" s="286"/>
      <c r="N258" s="286"/>
      <c r="O258" s="286"/>
    </row>
    <row r="259" spans="2:15" x14ac:dyDescent="0.2">
      <c r="B259" s="282" t="s">
        <v>647</v>
      </c>
      <c r="C259" s="282">
        <v>6</v>
      </c>
      <c r="D259" s="282" t="s">
        <v>938</v>
      </c>
      <c r="E259" s="283">
        <v>1998</v>
      </c>
      <c r="F259" s="284">
        <v>31.06</v>
      </c>
      <c r="G259" s="285">
        <v>3918</v>
      </c>
      <c r="H259" s="285">
        <f t="shared" si="3"/>
        <v>126.14294913071475</v>
      </c>
      <c r="I259" s="286"/>
      <c r="J259" s="286"/>
      <c r="K259" s="286"/>
      <c r="L259" s="286"/>
      <c r="M259" s="286"/>
      <c r="N259" s="286"/>
      <c r="O259" s="286"/>
    </row>
    <row r="260" spans="2:15" x14ac:dyDescent="0.2">
      <c r="B260" s="282" t="s">
        <v>647</v>
      </c>
      <c r="C260" s="282">
        <v>6</v>
      </c>
      <c r="D260" s="282" t="s">
        <v>939</v>
      </c>
      <c r="E260" s="283">
        <v>1998</v>
      </c>
      <c r="F260" s="284">
        <v>5.64</v>
      </c>
      <c r="G260" s="285">
        <v>743</v>
      </c>
      <c r="H260" s="285">
        <f t="shared" si="3"/>
        <v>131.73758865248229</v>
      </c>
      <c r="I260" s="286"/>
      <c r="J260" s="286"/>
      <c r="K260" s="286"/>
      <c r="L260" s="286"/>
      <c r="M260" s="286"/>
      <c r="N260" s="286"/>
      <c r="O260" s="286"/>
    </row>
    <row r="261" spans="2:15" x14ac:dyDescent="0.2">
      <c r="B261" s="282" t="s">
        <v>647</v>
      </c>
      <c r="C261" s="282">
        <v>6</v>
      </c>
      <c r="D261" s="282" t="s">
        <v>940</v>
      </c>
      <c r="E261" s="283">
        <v>1998</v>
      </c>
      <c r="F261" s="284">
        <v>2.23</v>
      </c>
      <c r="G261" s="285">
        <v>313</v>
      </c>
      <c r="H261" s="285">
        <f t="shared" si="3"/>
        <v>140.35874439461884</v>
      </c>
      <c r="I261" s="286"/>
      <c r="J261" s="286"/>
      <c r="K261" s="286"/>
      <c r="L261" s="286"/>
      <c r="M261" s="286"/>
      <c r="N261" s="286"/>
      <c r="O261" s="286"/>
    </row>
    <row r="262" spans="2:15" x14ac:dyDescent="0.2">
      <c r="B262" s="282" t="s">
        <v>647</v>
      </c>
      <c r="C262" s="282">
        <v>6</v>
      </c>
      <c r="D262" s="282" t="s">
        <v>941</v>
      </c>
      <c r="E262" s="283">
        <v>1998</v>
      </c>
      <c r="F262" s="284">
        <v>2.97</v>
      </c>
      <c r="G262" s="285">
        <v>391</v>
      </c>
      <c r="H262" s="285">
        <f t="shared" si="3"/>
        <v>131.64983164983164</v>
      </c>
      <c r="I262" s="286"/>
      <c r="J262" s="286"/>
      <c r="K262" s="286"/>
      <c r="L262" s="286"/>
      <c r="M262" s="286"/>
      <c r="N262" s="286"/>
      <c r="O262" s="286"/>
    </row>
    <row r="263" spans="2:15" x14ac:dyDescent="0.2">
      <c r="B263" s="282" t="s">
        <v>647</v>
      </c>
      <c r="C263" s="282">
        <v>6</v>
      </c>
      <c r="D263" s="282" t="s">
        <v>942</v>
      </c>
      <c r="E263" s="283">
        <v>1998</v>
      </c>
      <c r="F263" s="284">
        <v>4.2699999999999996</v>
      </c>
      <c r="G263" s="285">
        <v>519</v>
      </c>
      <c r="H263" s="285">
        <f t="shared" si="3"/>
        <v>121.5456674473068</v>
      </c>
      <c r="I263" s="286"/>
      <c r="J263" s="286"/>
      <c r="K263" s="286"/>
      <c r="L263" s="286"/>
      <c r="M263" s="286"/>
      <c r="N263" s="286"/>
      <c r="O263" s="286"/>
    </row>
    <row r="264" spans="2:15" x14ac:dyDescent="0.2">
      <c r="B264" s="282" t="s">
        <v>647</v>
      </c>
      <c r="C264" s="282">
        <v>6</v>
      </c>
      <c r="D264" s="282" t="s">
        <v>943</v>
      </c>
      <c r="E264" s="283">
        <v>1998</v>
      </c>
      <c r="F264" s="284">
        <v>28.28</v>
      </c>
      <c r="G264" s="285">
        <v>3541</v>
      </c>
      <c r="H264" s="285">
        <f t="shared" ref="H264:H327" si="4">IFERROR(G264/F264,0)</f>
        <v>125.21216407355021</v>
      </c>
      <c r="I264" s="286"/>
      <c r="J264" s="286"/>
      <c r="K264" s="286"/>
      <c r="L264" s="286"/>
      <c r="M264" s="286"/>
      <c r="N264" s="286"/>
      <c r="O264" s="286"/>
    </row>
    <row r="265" spans="2:15" x14ac:dyDescent="0.2">
      <c r="B265" s="282" t="s">
        <v>647</v>
      </c>
      <c r="C265" s="282">
        <v>6</v>
      </c>
      <c r="D265" s="282" t="s">
        <v>944</v>
      </c>
      <c r="E265" s="283">
        <v>1998</v>
      </c>
      <c r="F265" s="284">
        <v>26.77</v>
      </c>
      <c r="G265" s="285">
        <v>3357</v>
      </c>
      <c r="H265" s="285">
        <f t="shared" si="4"/>
        <v>125.40156892043332</v>
      </c>
      <c r="I265" s="286"/>
      <c r="J265" s="286"/>
      <c r="K265" s="286"/>
      <c r="L265" s="286"/>
      <c r="M265" s="286"/>
      <c r="N265" s="286"/>
      <c r="O265" s="286"/>
    </row>
    <row r="266" spans="2:15" x14ac:dyDescent="0.2">
      <c r="B266" s="282" t="s">
        <v>647</v>
      </c>
      <c r="C266" s="282">
        <v>6</v>
      </c>
      <c r="D266" s="282" t="s">
        <v>131</v>
      </c>
      <c r="E266" s="283">
        <v>2004</v>
      </c>
      <c r="F266" s="284">
        <v>27.75</v>
      </c>
      <c r="G266" s="285">
        <v>4165</v>
      </c>
      <c r="H266" s="285">
        <f t="shared" si="4"/>
        <v>150.09009009009009</v>
      </c>
      <c r="I266" s="286"/>
      <c r="J266" s="286"/>
      <c r="K266" s="286"/>
      <c r="L266" s="286"/>
      <c r="M266" s="286"/>
      <c r="N266" s="286"/>
      <c r="O266" s="286"/>
    </row>
    <row r="267" spans="2:15" x14ac:dyDescent="0.2">
      <c r="B267" s="282" t="s">
        <v>647</v>
      </c>
      <c r="C267" s="282">
        <v>6</v>
      </c>
      <c r="D267" s="282" t="s">
        <v>132</v>
      </c>
      <c r="E267" s="283">
        <v>2004</v>
      </c>
      <c r="F267" s="284">
        <v>4.7699999999999996</v>
      </c>
      <c r="G267" s="285">
        <v>638</v>
      </c>
      <c r="H267" s="285">
        <f t="shared" si="4"/>
        <v>133.7526205450734</v>
      </c>
      <c r="I267" s="286"/>
      <c r="J267" s="286"/>
      <c r="K267" s="286"/>
      <c r="L267" s="286"/>
      <c r="M267" s="286"/>
      <c r="N267" s="286"/>
      <c r="O267" s="286"/>
    </row>
    <row r="268" spans="2:15" x14ac:dyDescent="0.2">
      <c r="B268" s="282" t="s">
        <v>647</v>
      </c>
      <c r="C268" s="282">
        <v>6</v>
      </c>
      <c r="D268" s="282" t="s">
        <v>133</v>
      </c>
      <c r="E268" s="283">
        <v>2004</v>
      </c>
      <c r="F268" s="284">
        <v>24.03</v>
      </c>
      <c r="G268" s="285">
        <v>3293</v>
      </c>
      <c r="H268" s="285">
        <f t="shared" si="4"/>
        <v>137.03703703703704</v>
      </c>
      <c r="I268" s="286"/>
      <c r="J268" s="286"/>
      <c r="K268" s="286"/>
      <c r="L268" s="286"/>
      <c r="M268" s="286"/>
      <c r="N268" s="286"/>
      <c r="O268" s="286"/>
    </row>
    <row r="269" spans="2:15" x14ac:dyDescent="0.2">
      <c r="B269" s="282" t="s">
        <v>647</v>
      </c>
      <c r="C269" s="282">
        <v>6</v>
      </c>
      <c r="D269" s="282" t="s">
        <v>134</v>
      </c>
      <c r="E269" s="283">
        <v>2004</v>
      </c>
      <c r="F269" s="284">
        <v>24.55</v>
      </c>
      <c r="G269" s="285">
        <v>3276</v>
      </c>
      <c r="H269" s="285">
        <f t="shared" si="4"/>
        <v>133.4419551934827</v>
      </c>
      <c r="I269" s="286"/>
      <c r="J269" s="286"/>
      <c r="K269" s="286"/>
      <c r="L269" s="286"/>
      <c r="M269" s="286"/>
      <c r="N269" s="286"/>
      <c r="O269" s="286"/>
    </row>
    <row r="270" spans="2:15" x14ac:dyDescent="0.2">
      <c r="B270" s="282" t="s">
        <v>647</v>
      </c>
      <c r="C270" s="282">
        <v>6</v>
      </c>
      <c r="D270" s="282" t="s">
        <v>135</v>
      </c>
      <c r="E270" s="283">
        <v>2004</v>
      </c>
      <c r="F270" s="284">
        <v>23.4</v>
      </c>
      <c r="G270" s="285">
        <v>3165</v>
      </c>
      <c r="H270" s="285">
        <f t="shared" si="4"/>
        <v>135.25641025641028</v>
      </c>
      <c r="I270" s="286"/>
      <c r="J270" s="286"/>
      <c r="K270" s="286"/>
      <c r="L270" s="286"/>
      <c r="M270" s="286"/>
      <c r="N270" s="286"/>
      <c r="O270" s="286"/>
    </row>
    <row r="271" spans="2:15" x14ac:dyDescent="0.2">
      <c r="B271" s="282" t="s">
        <v>647</v>
      </c>
      <c r="C271" s="282">
        <v>6</v>
      </c>
      <c r="D271" s="282" t="s">
        <v>945</v>
      </c>
      <c r="E271" s="283">
        <v>2004</v>
      </c>
      <c r="F271" s="284">
        <v>24.51</v>
      </c>
      <c r="G271" s="285">
        <v>3275</v>
      </c>
      <c r="H271" s="285">
        <f t="shared" si="4"/>
        <v>133.61893104855162</v>
      </c>
      <c r="I271" s="286"/>
      <c r="J271" s="286"/>
      <c r="K271" s="286"/>
      <c r="L271" s="286"/>
      <c r="M271" s="286"/>
      <c r="N271" s="286"/>
      <c r="O271" s="286"/>
    </row>
    <row r="272" spans="2:15" x14ac:dyDescent="0.2">
      <c r="B272" s="282" t="s">
        <v>647</v>
      </c>
      <c r="C272" s="282">
        <v>6</v>
      </c>
      <c r="D272" s="282" t="s">
        <v>946</v>
      </c>
      <c r="E272" s="283">
        <v>2004</v>
      </c>
      <c r="F272" s="284">
        <v>23.32</v>
      </c>
      <c r="G272" s="285">
        <v>3278</v>
      </c>
      <c r="H272" s="285">
        <f t="shared" si="4"/>
        <v>140.56603773584905</v>
      </c>
      <c r="I272" s="286"/>
      <c r="J272" s="286"/>
      <c r="K272" s="286"/>
      <c r="L272" s="286"/>
      <c r="M272" s="286"/>
      <c r="N272" s="286"/>
      <c r="O272" s="286"/>
    </row>
    <row r="273" spans="2:17" x14ac:dyDescent="0.2">
      <c r="B273" s="282" t="s">
        <v>647</v>
      </c>
      <c r="C273" s="282">
        <v>6</v>
      </c>
      <c r="D273" s="282" t="s">
        <v>947</v>
      </c>
      <c r="E273" s="283">
        <v>2004</v>
      </c>
      <c r="F273" s="284">
        <v>19.72</v>
      </c>
      <c r="G273" s="285">
        <v>2617</v>
      </c>
      <c r="H273" s="285">
        <f t="shared" si="4"/>
        <v>132.7079107505071</v>
      </c>
      <c r="I273" s="286"/>
      <c r="J273" s="286"/>
      <c r="K273" s="286"/>
      <c r="L273" s="286"/>
      <c r="M273" s="286"/>
      <c r="N273" s="286"/>
      <c r="O273" s="286"/>
    </row>
    <row r="274" spans="2:17" x14ac:dyDescent="0.2">
      <c r="B274" s="282" t="s">
        <v>647</v>
      </c>
      <c r="C274" s="282">
        <v>6</v>
      </c>
      <c r="D274" s="282" t="s">
        <v>144</v>
      </c>
      <c r="E274" s="283">
        <v>2004</v>
      </c>
      <c r="F274" s="284">
        <v>21.17</v>
      </c>
      <c r="G274" s="285">
        <v>3182</v>
      </c>
      <c r="H274" s="285">
        <f t="shared" si="4"/>
        <v>150.30703826169105</v>
      </c>
      <c r="I274" s="286"/>
      <c r="J274" s="286"/>
      <c r="K274" s="286"/>
      <c r="L274" s="286"/>
      <c r="M274" s="286"/>
      <c r="N274" s="286"/>
      <c r="O274" s="286"/>
    </row>
    <row r="275" spans="2:17" x14ac:dyDescent="0.2">
      <c r="B275" s="282" t="s">
        <v>647</v>
      </c>
      <c r="C275" s="282">
        <v>6</v>
      </c>
      <c r="D275" s="282" t="s">
        <v>145</v>
      </c>
      <c r="E275" s="283">
        <v>2004</v>
      </c>
      <c r="F275" s="284">
        <v>23.14</v>
      </c>
      <c r="G275" s="285">
        <v>3278</v>
      </c>
      <c r="H275" s="285">
        <f t="shared" si="4"/>
        <v>141.65946413137425</v>
      </c>
      <c r="I275" s="286"/>
      <c r="J275" s="286"/>
      <c r="K275" s="286"/>
      <c r="L275" s="286"/>
      <c r="M275" s="286"/>
      <c r="N275" s="286"/>
      <c r="O275" s="286"/>
    </row>
    <row r="276" spans="2:17" x14ac:dyDescent="0.2">
      <c r="B276" s="282" t="s">
        <v>647</v>
      </c>
      <c r="C276" s="282">
        <v>6</v>
      </c>
      <c r="D276" s="282" t="s">
        <v>146</v>
      </c>
      <c r="E276" s="283">
        <v>2004</v>
      </c>
      <c r="F276" s="284">
        <v>6.97</v>
      </c>
      <c r="G276" s="285">
        <v>899</v>
      </c>
      <c r="H276" s="285">
        <f t="shared" si="4"/>
        <v>128.9813486370158</v>
      </c>
      <c r="I276" s="286"/>
      <c r="J276" s="286"/>
      <c r="K276" s="286"/>
      <c r="L276" s="286"/>
      <c r="M276" s="286"/>
      <c r="N276" s="286"/>
      <c r="O276" s="286"/>
    </row>
    <row r="277" spans="2:17" x14ac:dyDescent="0.2">
      <c r="B277" s="282" t="s">
        <v>647</v>
      </c>
      <c r="C277" s="282">
        <v>6</v>
      </c>
      <c r="D277" s="282" t="s">
        <v>147</v>
      </c>
      <c r="E277" s="283">
        <v>2004</v>
      </c>
      <c r="F277" s="284">
        <v>10.42</v>
      </c>
      <c r="G277" s="285">
        <v>1531</v>
      </c>
      <c r="H277" s="285">
        <f t="shared" si="4"/>
        <v>146.92898272552785</v>
      </c>
      <c r="I277" s="286"/>
      <c r="J277" s="286"/>
      <c r="K277" s="286"/>
      <c r="L277" s="286"/>
      <c r="M277" s="286"/>
      <c r="N277" s="286"/>
      <c r="O277" s="286"/>
    </row>
    <row r="278" spans="2:17" x14ac:dyDescent="0.2">
      <c r="B278" s="282" t="s">
        <v>647</v>
      </c>
      <c r="C278" s="282">
        <v>6</v>
      </c>
      <c r="D278" s="282" t="s">
        <v>148</v>
      </c>
      <c r="E278" s="283">
        <v>2004</v>
      </c>
      <c r="F278" s="284">
        <v>6.78</v>
      </c>
      <c r="G278" s="285">
        <v>895</v>
      </c>
      <c r="H278" s="285">
        <f t="shared" si="4"/>
        <v>132.00589970501474</v>
      </c>
      <c r="I278" s="286"/>
      <c r="J278" s="286"/>
      <c r="K278" s="286"/>
      <c r="L278" s="286"/>
      <c r="M278" s="286"/>
      <c r="N278" s="286"/>
      <c r="O278" s="286"/>
    </row>
    <row r="279" spans="2:17" x14ac:dyDescent="0.2">
      <c r="B279" s="282" t="s">
        <v>647</v>
      </c>
      <c r="C279" s="282">
        <v>6</v>
      </c>
      <c r="D279" s="282" t="s">
        <v>948</v>
      </c>
      <c r="E279" s="283">
        <v>2004</v>
      </c>
      <c r="F279" s="284">
        <v>7.62</v>
      </c>
      <c r="G279" s="285">
        <v>985</v>
      </c>
      <c r="H279" s="285">
        <f t="shared" si="4"/>
        <v>129.26509186351706</v>
      </c>
      <c r="I279" s="286"/>
      <c r="J279" s="286"/>
      <c r="K279" s="286"/>
      <c r="L279" s="286"/>
      <c r="M279" s="286"/>
      <c r="N279" s="286"/>
      <c r="O279" s="286"/>
    </row>
    <row r="280" spans="2:17" x14ac:dyDescent="0.2">
      <c r="B280" s="282" t="s">
        <v>647</v>
      </c>
      <c r="C280" s="282">
        <v>6</v>
      </c>
      <c r="D280" s="282" t="s">
        <v>949</v>
      </c>
      <c r="E280" s="283">
        <v>2004</v>
      </c>
      <c r="F280" s="284">
        <v>15.66</v>
      </c>
      <c r="G280" s="285">
        <v>2220</v>
      </c>
      <c r="H280" s="285">
        <f t="shared" si="4"/>
        <v>141.7624521072797</v>
      </c>
      <c r="I280" s="286"/>
      <c r="J280" s="286"/>
      <c r="K280" s="286"/>
      <c r="L280" s="286"/>
      <c r="M280" s="286"/>
      <c r="N280" s="286"/>
      <c r="O280" s="286"/>
    </row>
    <row r="281" spans="2:17" x14ac:dyDescent="0.2">
      <c r="B281" s="282" t="s">
        <v>647</v>
      </c>
      <c r="C281" s="282">
        <v>6</v>
      </c>
      <c r="D281" s="282" t="s">
        <v>950</v>
      </c>
      <c r="E281" s="283">
        <v>2004</v>
      </c>
      <c r="F281" s="284">
        <v>20.88</v>
      </c>
      <c r="G281" s="285">
        <v>2868</v>
      </c>
      <c r="H281" s="285">
        <f t="shared" si="4"/>
        <v>137.35632183908046</v>
      </c>
      <c r="I281" s="286"/>
      <c r="J281" s="286"/>
      <c r="K281" s="286"/>
      <c r="L281" s="286"/>
      <c r="M281" s="286"/>
      <c r="N281" s="286"/>
      <c r="O281" s="286"/>
    </row>
    <row r="282" spans="2:17" x14ac:dyDescent="0.2">
      <c r="B282" s="282" t="s">
        <v>647</v>
      </c>
      <c r="C282" s="282">
        <v>6</v>
      </c>
      <c r="D282" s="282" t="s">
        <v>951</v>
      </c>
      <c r="E282" s="283">
        <v>2004</v>
      </c>
      <c r="F282" s="284">
        <v>11.42472389772</v>
      </c>
      <c r="G282" s="285">
        <v>1595</v>
      </c>
      <c r="H282" s="285">
        <f t="shared" si="4"/>
        <v>139.60950078787548</v>
      </c>
      <c r="I282" s="286"/>
      <c r="J282" s="286"/>
      <c r="K282" s="286"/>
      <c r="L282" s="286"/>
      <c r="M282" s="286"/>
      <c r="N282" s="286"/>
      <c r="O282" s="286"/>
    </row>
    <row r="283" spans="2:17" x14ac:dyDescent="0.2">
      <c r="B283" s="282" t="s">
        <v>647</v>
      </c>
      <c r="C283" s="282">
        <v>7</v>
      </c>
      <c r="D283" s="282" t="s">
        <v>952</v>
      </c>
      <c r="E283" s="283">
        <v>1998</v>
      </c>
      <c r="F283" s="284">
        <v>31.88</v>
      </c>
      <c r="G283" s="285">
        <v>4206</v>
      </c>
      <c r="H283" s="285">
        <f t="shared" si="4"/>
        <v>131.9322459222083</v>
      </c>
      <c r="I283" s="286"/>
      <c r="J283" s="286"/>
      <c r="K283" s="286"/>
      <c r="L283" s="286"/>
      <c r="M283" s="286"/>
      <c r="N283" s="286"/>
      <c r="O283" s="286"/>
    </row>
    <row r="284" spans="2:17" x14ac:dyDescent="0.2">
      <c r="B284" s="282" t="s">
        <v>647</v>
      </c>
      <c r="C284" s="282">
        <v>7</v>
      </c>
      <c r="D284" s="282" t="s">
        <v>953</v>
      </c>
      <c r="E284" s="283">
        <v>1998</v>
      </c>
      <c r="F284" s="284">
        <v>32.28</v>
      </c>
      <c r="G284" s="285">
        <v>4240</v>
      </c>
      <c r="H284" s="285">
        <f t="shared" si="4"/>
        <v>131.35068153655513</v>
      </c>
      <c r="I284" s="286"/>
      <c r="J284" s="286"/>
      <c r="K284" s="286"/>
      <c r="L284" s="286"/>
      <c r="M284" s="286"/>
      <c r="N284" s="286"/>
      <c r="O284" s="286"/>
    </row>
    <row r="285" spans="2:17" x14ac:dyDescent="0.2">
      <c r="B285" s="282" t="s">
        <v>647</v>
      </c>
      <c r="C285" s="282">
        <v>7</v>
      </c>
      <c r="D285" s="282" t="s">
        <v>954</v>
      </c>
      <c r="E285" s="283">
        <v>2004</v>
      </c>
      <c r="F285" s="284">
        <v>31.06</v>
      </c>
      <c r="G285" s="285">
        <v>4519</v>
      </c>
      <c r="H285" s="285">
        <f t="shared" si="4"/>
        <v>145.49259497746297</v>
      </c>
      <c r="I285" s="286"/>
      <c r="J285" s="286"/>
      <c r="K285" s="286"/>
      <c r="L285" s="286"/>
      <c r="M285" s="286"/>
      <c r="N285" s="286"/>
      <c r="O285" s="286"/>
    </row>
    <row r="286" spans="2:17" x14ac:dyDescent="0.2">
      <c r="B286" s="282" t="s">
        <v>647</v>
      </c>
      <c r="C286" s="282">
        <v>7</v>
      </c>
      <c r="D286" s="282" t="s">
        <v>955</v>
      </c>
      <c r="E286" s="283">
        <v>2004</v>
      </c>
      <c r="F286" s="284">
        <v>29.92</v>
      </c>
      <c r="G286" s="285">
        <v>4345</v>
      </c>
      <c r="H286" s="285">
        <f t="shared" si="4"/>
        <v>145.22058823529412</v>
      </c>
      <c r="I286" s="286"/>
      <c r="J286" s="286"/>
      <c r="K286" s="286"/>
      <c r="L286" s="286"/>
      <c r="M286" s="286"/>
      <c r="N286" s="286"/>
      <c r="O286" s="286"/>
      <c r="Q286" s="290">
        <f t="shared" ref="Q286:Q294" si="5">L286/F286</f>
        <v>0</v>
      </c>
    </row>
    <row r="287" spans="2:17" x14ac:dyDescent="0.2">
      <c r="B287" s="282" t="s">
        <v>647</v>
      </c>
      <c r="C287" s="282">
        <v>7</v>
      </c>
      <c r="D287" s="282" t="s">
        <v>956</v>
      </c>
      <c r="E287" s="283">
        <v>2004</v>
      </c>
      <c r="F287" s="284">
        <v>29.63</v>
      </c>
      <c r="G287" s="285">
        <v>4302</v>
      </c>
      <c r="H287" s="285">
        <f t="shared" si="4"/>
        <v>145.19068511643604</v>
      </c>
      <c r="I287" s="286"/>
      <c r="J287" s="286"/>
      <c r="K287" s="286"/>
      <c r="L287" s="286"/>
      <c r="M287" s="286"/>
      <c r="N287" s="286"/>
      <c r="O287" s="286"/>
      <c r="Q287" s="290">
        <f t="shared" si="5"/>
        <v>0</v>
      </c>
    </row>
    <row r="288" spans="2:17" x14ac:dyDescent="0.2">
      <c r="B288" s="282" t="s">
        <v>647</v>
      </c>
      <c r="C288" s="282">
        <v>7</v>
      </c>
      <c r="D288" s="282" t="s">
        <v>957</v>
      </c>
      <c r="E288" s="283">
        <v>2005</v>
      </c>
      <c r="F288" s="284">
        <v>30.04</v>
      </c>
      <c r="G288" s="285">
        <v>4244</v>
      </c>
      <c r="H288" s="285">
        <f t="shared" si="4"/>
        <v>141.27829560585886</v>
      </c>
      <c r="I288" s="286"/>
      <c r="J288" s="286"/>
      <c r="K288" s="286"/>
      <c r="L288" s="286"/>
      <c r="M288" s="286"/>
      <c r="N288" s="286"/>
      <c r="O288" s="286"/>
      <c r="Q288" s="290"/>
    </row>
    <row r="289" spans="2:17" x14ac:dyDescent="0.2">
      <c r="B289" s="282" t="s">
        <v>647</v>
      </c>
      <c r="C289" s="282">
        <v>7</v>
      </c>
      <c r="D289" s="282" t="s">
        <v>958</v>
      </c>
      <c r="E289" s="283">
        <v>2005</v>
      </c>
      <c r="F289" s="284">
        <v>28.92</v>
      </c>
      <c r="G289" s="285">
        <v>4080</v>
      </c>
      <c r="H289" s="285">
        <f t="shared" si="4"/>
        <v>141.07883817427384</v>
      </c>
      <c r="I289" s="286"/>
      <c r="J289" s="286"/>
      <c r="K289" s="286"/>
      <c r="L289" s="286"/>
      <c r="M289" s="286"/>
      <c r="N289" s="286"/>
      <c r="O289" s="286"/>
      <c r="Q289" s="290"/>
    </row>
    <row r="290" spans="2:17" x14ac:dyDescent="0.2">
      <c r="B290" s="282" t="s">
        <v>647</v>
      </c>
      <c r="C290" s="282">
        <v>7</v>
      </c>
      <c r="D290" s="282" t="s">
        <v>959</v>
      </c>
      <c r="E290" s="283">
        <v>2006</v>
      </c>
      <c r="F290" s="284">
        <v>28.98</v>
      </c>
      <c r="G290" s="285">
        <v>4028</v>
      </c>
      <c r="H290" s="285">
        <f t="shared" si="4"/>
        <v>138.99240855762594</v>
      </c>
      <c r="I290" s="286"/>
      <c r="J290" s="286"/>
      <c r="K290" s="286"/>
      <c r="L290" s="286"/>
      <c r="M290" s="286"/>
      <c r="N290" s="286"/>
      <c r="O290" s="286"/>
      <c r="Q290" s="290">
        <f t="shared" si="5"/>
        <v>0</v>
      </c>
    </row>
    <row r="291" spans="2:17" x14ac:dyDescent="0.2">
      <c r="B291" s="282" t="s">
        <v>647</v>
      </c>
      <c r="C291" s="282">
        <v>7</v>
      </c>
      <c r="D291" s="282" t="s">
        <v>960</v>
      </c>
      <c r="E291" s="283">
        <v>2006</v>
      </c>
      <c r="F291" s="284">
        <v>31.9</v>
      </c>
      <c r="G291" s="285">
        <v>4348</v>
      </c>
      <c r="H291" s="285">
        <f t="shared" si="4"/>
        <v>136.30094043887149</v>
      </c>
      <c r="I291" s="286"/>
      <c r="J291" s="286"/>
      <c r="K291" s="286"/>
      <c r="L291" s="286"/>
      <c r="M291" s="286"/>
      <c r="N291" s="286"/>
      <c r="O291" s="286"/>
      <c r="Q291" s="290">
        <f t="shared" si="5"/>
        <v>0</v>
      </c>
    </row>
    <row r="292" spans="2:17" x14ac:dyDescent="0.2">
      <c r="B292" s="282" t="s">
        <v>647</v>
      </c>
      <c r="C292" s="282">
        <v>7</v>
      </c>
      <c r="D292" s="282" t="s">
        <v>961</v>
      </c>
      <c r="E292" s="283">
        <v>2006</v>
      </c>
      <c r="F292" s="284">
        <v>21.87</v>
      </c>
      <c r="G292" s="285">
        <v>3205</v>
      </c>
      <c r="H292" s="285">
        <f t="shared" si="4"/>
        <v>146.54778235025148</v>
      </c>
      <c r="I292" s="286"/>
      <c r="J292" s="286"/>
      <c r="K292" s="286"/>
      <c r="L292" s="286"/>
      <c r="M292" s="286"/>
      <c r="N292" s="286"/>
      <c r="O292" s="286"/>
      <c r="Q292" s="290">
        <f t="shared" si="5"/>
        <v>0</v>
      </c>
    </row>
    <row r="293" spans="2:17" x14ac:dyDescent="0.2">
      <c r="B293" s="282" t="s">
        <v>647</v>
      </c>
      <c r="C293" s="282">
        <v>7</v>
      </c>
      <c r="D293" s="282" t="s">
        <v>962</v>
      </c>
      <c r="E293" s="283">
        <v>2006</v>
      </c>
      <c r="F293" s="284">
        <v>20.68</v>
      </c>
      <c r="G293" s="285">
        <v>3094</v>
      </c>
      <c r="H293" s="285">
        <f t="shared" si="4"/>
        <v>149.61315280464217</v>
      </c>
      <c r="I293" s="286"/>
      <c r="J293" s="286"/>
      <c r="K293" s="286"/>
      <c r="L293" s="286"/>
      <c r="M293" s="286"/>
      <c r="N293" s="286"/>
      <c r="O293" s="286"/>
      <c r="Q293" s="290">
        <f t="shared" si="5"/>
        <v>0</v>
      </c>
    </row>
    <row r="294" spans="2:17" x14ac:dyDescent="0.2">
      <c r="B294" s="282" t="s">
        <v>647</v>
      </c>
      <c r="C294" s="282">
        <v>7</v>
      </c>
      <c r="D294" s="282" t="s">
        <v>963</v>
      </c>
      <c r="E294" s="283">
        <v>2006</v>
      </c>
      <c r="F294" s="284">
        <v>25.17</v>
      </c>
      <c r="G294" s="285">
        <v>3453</v>
      </c>
      <c r="H294" s="285">
        <f t="shared" si="4"/>
        <v>137.18712753277711</v>
      </c>
      <c r="I294" s="286"/>
      <c r="J294" s="286"/>
      <c r="K294" s="286"/>
      <c r="L294" s="286"/>
      <c r="M294" s="286"/>
      <c r="N294" s="286"/>
      <c r="O294" s="286"/>
      <c r="Q294" s="290">
        <f t="shared" si="5"/>
        <v>0</v>
      </c>
    </row>
    <row r="295" spans="2:17" x14ac:dyDescent="0.2">
      <c r="B295" s="282" t="s">
        <v>647</v>
      </c>
      <c r="C295" s="282">
        <v>7</v>
      </c>
      <c r="D295" s="282" t="s">
        <v>964</v>
      </c>
      <c r="E295" s="283">
        <v>2006</v>
      </c>
      <c r="F295" s="284">
        <v>33.04</v>
      </c>
      <c r="G295" s="285">
        <v>4281</v>
      </c>
      <c r="H295" s="285">
        <f t="shared" si="4"/>
        <v>129.57021791767554</v>
      </c>
      <c r="I295" s="286"/>
      <c r="J295" s="286"/>
      <c r="K295" s="286"/>
      <c r="L295" s="286"/>
      <c r="M295" s="286"/>
      <c r="N295" s="286"/>
      <c r="O295" s="286"/>
      <c r="Q295" s="290"/>
    </row>
    <row r="296" spans="2:17" x14ac:dyDescent="0.2">
      <c r="B296" s="282" t="s">
        <v>647</v>
      </c>
      <c r="C296" s="282">
        <v>7</v>
      </c>
      <c r="D296" s="282" t="s">
        <v>965</v>
      </c>
      <c r="E296" s="283">
        <v>2006</v>
      </c>
      <c r="F296" s="284">
        <v>30.52</v>
      </c>
      <c r="G296" s="285">
        <v>3826</v>
      </c>
      <c r="H296" s="285">
        <f t="shared" si="4"/>
        <v>125.36041939711664</v>
      </c>
      <c r="I296" s="286"/>
      <c r="J296" s="286"/>
      <c r="K296" s="286"/>
      <c r="L296" s="286"/>
      <c r="M296" s="286"/>
      <c r="N296" s="286"/>
      <c r="O296" s="286"/>
      <c r="Q296" s="290"/>
    </row>
    <row r="297" spans="2:17" x14ac:dyDescent="0.2">
      <c r="B297" s="282" t="s">
        <v>647</v>
      </c>
      <c r="C297" s="282">
        <v>7</v>
      </c>
      <c r="D297" s="282" t="s">
        <v>966</v>
      </c>
      <c r="E297" s="283">
        <v>2006</v>
      </c>
      <c r="F297" s="284">
        <v>32.36</v>
      </c>
      <c r="G297" s="285">
        <v>4114</v>
      </c>
      <c r="H297" s="285">
        <f t="shared" si="4"/>
        <v>127.13226205191594</v>
      </c>
      <c r="I297" s="286"/>
      <c r="J297" s="286"/>
      <c r="K297" s="286"/>
      <c r="L297" s="286"/>
      <c r="M297" s="286"/>
      <c r="N297" s="286"/>
      <c r="O297" s="286"/>
      <c r="Q297" s="290"/>
    </row>
    <row r="298" spans="2:17" x14ac:dyDescent="0.2">
      <c r="B298" s="282" t="s">
        <v>647</v>
      </c>
      <c r="C298" s="282">
        <v>7</v>
      </c>
      <c r="D298" s="282" t="s">
        <v>967</v>
      </c>
      <c r="E298" s="283">
        <v>2006</v>
      </c>
      <c r="F298" s="284">
        <v>31.82</v>
      </c>
      <c r="G298" s="285">
        <v>3872</v>
      </c>
      <c r="H298" s="285">
        <f t="shared" si="4"/>
        <v>121.68447517284727</v>
      </c>
      <c r="I298" s="286"/>
      <c r="J298" s="286"/>
      <c r="K298" s="286"/>
      <c r="L298" s="286"/>
      <c r="M298" s="286"/>
      <c r="N298" s="286"/>
      <c r="O298" s="286"/>
      <c r="Q298" s="290"/>
    </row>
    <row r="299" spans="2:17" x14ac:dyDescent="0.2">
      <c r="B299" s="282" t="s">
        <v>647</v>
      </c>
      <c r="C299" s="282">
        <v>7</v>
      </c>
      <c r="D299" s="282" t="s">
        <v>968</v>
      </c>
      <c r="E299" s="283">
        <v>2006</v>
      </c>
      <c r="F299" s="284">
        <v>33.6</v>
      </c>
      <c r="G299" s="285">
        <v>4524</v>
      </c>
      <c r="H299" s="285">
        <f t="shared" si="4"/>
        <v>134.64285714285714</v>
      </c>
      <c r="I299" s="286"/>
      <c r="J299" s="286"/>
      <c r="K299" s="286"/>
      <c r="L299" s="286"/>
      <c r="M299" s="286"/>
      <c r="N299" s="286"/>
      <c r="O299" s="286"/>
      <c r="Q299" s="290"/>
    </row>
    <row r="300" spans="2:17" x14ac:dyDescent="0.2">
      <c r="B300" s="282" t="s">
        <v>647</v>
      </c>
      <c r="C300" s="282">
        <v>7</v>
      </c>
      <c r="D300" s="282" t="s">
        <v>969</v>
      </c>
      <c r="E300" s="283">
        <v>2006</v>
      </c>
      <c r="F300" s="284">
        <v>31.12</v>
      </c>
      <c r="G300" s="285">
        <v>4122</v>
      </c>
      <c r="H300" s="285">
        <f t="shared" si="4"/>
        <v>132.45501285347044</v>
      </c>
      <c r="I300" s="286"/>
      <c r="J300" s="286"/>
      <c r="K300" s="286"/>
      <c r="L300" s="286"/>
      <c r="M300" s="286"/>
      <c r="N300" s="286"/>
      <c r="O300" s="286"/>
      <c r="Q300" s="290"/>
    </row>
    <row r="301" spans="2:17" x14ac:dyDescent="0.2">
      <c r="B301" s="282" t="s">
        <v>647</v>
      </c>
      <c r="C301" s="282">
        <v>7</v>
      </c>
      <c r="D301" s="282" t="s">
        <v>970</v>
      </c>
      <c r="E301" s="283">
        <v>2006</v>
      </c>
      <c r="F301" s="284">
        <v>30.3</v>
      </c>
      <c r="G301" s="285">
        <v>4216</v>
      </c>
      <c r="H301" s="285">
        <f t="shared" si="4"/>
        <v>139.14191419141915</v>
      </c>
      <c r="I301" s="286"/>
      <c r="J301" s="286"/>
      <c r="K301" s="286"/>
      <c r="L301" s="286"/>
      <c r="M301" s="286"/>
      <c r="N301" s="286"/>
      <c r="O301" s="286"/>
      <c r="Q301" s="290"/>
    </row>
    <row r="302" spans="2:17" x14ac:dyDescent="0.2">
      <c r="B302" s="282" t="s">
        <v>647</v>
      </c>
      <c r="C302" s="282">
        <v>7</v>
      </c>
      <c r="D302" s="282" t="s">
        <v>971</v>
      </c>
      <c r="E302" s="283">
        <v>2006</v>
      </c>
      <c r="F302" s="284">
        <v>31.4</v>
      </c>
      <c r="G302" s="285">
        <v>4703</v>
      </c>
      <c r="H302" s="285">
        <f t="shared" si="4"/>
        <v>149.77707006369428</v>
      </c>
      <c r="I302" s="286"/>
      <c r="J302" s="286"/>
      <c r="K302" s="286"/>
      <c r="L302" s="286"/>
      <c r="M302" s="286"/>
      <c r="N302" s="286"/>
      <c r="O302" s="286"/>
      <c r="Q302" s="290"/>
    </row>
    <row r="303" spans="2:17" x14ac:dyDescent="0.2">
      <c r="B303" s="282" t="s">
        <v>647</v>
      </c>
      <c r="C303" s="282">
        <v>7</v>
      </c>
      <c r="D303" s="282" t="s">
        <v>972</v>
      </c>
      <c r="E303" s="283">
        <v>2006</v>
      </c>
      <c r="F303" s="284">
        <v>27.55</v>
      </c>
      <c r="G303" s="285">
        <v>4132</v>
      </c>
      <c r="H303" s="285">
        <f t="shared" si="4"/>
        <v>149.98185117967333</v>
      </c>
      <c r="I303" s="286"/>
      <c r="J303" s="286"/>
      <c r="K303" s="286"/>
      <c r="L303" s="286"/>
      <c r="M303" s="286"/>
      <c r="N303" s="286"/>
      <c r="O303" s="286"/>
      <c r="Q303" s="290"/>
    </row>
    <row r="304" spans="2:17" x14ac:dyDescent="0.2">
      <c r="B304" s="282" t="s">
        <v>647</v>
      </c>
      <c r="C304" s="282">
        <v>7</v>
      </c>
      <c r="D304" s="282" t="s">
        <v>973</v>
      </c>
      <c r="E304" s="283">
        <v>2006</v>
      </c>
      <c r="F304" s="284">
        <v>30.43</v>
      </c>
      <c r="G304" s="285">
        <v>4528</v>
      </c>
      <c r="H304" s="285">
        <f t="shared" si="4"/>
        <v>148.80052579691093</v>
      </c>
      <c r="I304" s="286"/>
      <c r="J304" s="286"/>
      <c r="K304" s="286"/>
      <c r="L304" s="286"/>
      <c r="M304" s="286"/>
      <c r="N304" s="286"/>
      <c r="O304" s="286"/>
      <c r="Q304" s="290"/>
    </row>
    <row r="305" spans="2:17" x14ac:dyDescent="0.2">
      <c r="B305" s="282" t="s">
        <v>647</v>
      </c>
      <c r="C305" s="282">
        <v>7</v>
      </c>
      <c r="D305" s="282" t="s">
        <v>974</v>
      </c>
      <c r="E305" s="283">
        <v>2007</v>
      </c>
      <c r="F305" s="284">
        <v>33.08</v>
      </c>
      <c r="G305" s="285">
        <v>4530</v>
      </c>
      <c r="H305" s="285">
        <f t="shared" si="4"/>
        <v>136.94074969770256</v>
      </c>
      <c r="I305" s="286"/>
      <c r="J305" s="286"/>
      <c r="K305" s="286"/>
      <c r="L305" s="286"/>
      <c r="M305" s="286"/>
      <c r="N305" s="286"/>
      <c r="O305" s="286"/>
      <c r="Q305" s="290">
        <f t="shared" ref="Q305:Q308" si="6">L305/F305</f>
        <v>0</v>
      </c>
    </row>
    <row r="306" spans="2:17" x14ac:dyDescent="0.2">
      <c r="B306" s="282" t="s">
        <v>647</v>
      </c>
      <c r="C306" s="282">
        <v>7</v>
      </c>
      <c r="D306" s="282" t="s">
        <v>975</v>
      </c>
      <c r="E306" s="283">
        <v>2007</v>
      </c>
      <c r="F306" s="284">
        <v>27.31</v>
      </c>
      <c r="G306" s="285">
        <v>3532</v>
      </c>
      <c r="H306" s="285">
        <f t="shared" si="4"/>
        <v>129.32991578176492</v>
      </c>
      <c r="I306" s="286"/>
      <c r="J306" s="286"/>
      <c r="K306" s="286"/>
      <c r="L306" s="286"/>
      <c r="M306" s="286"/>
      <c r="N306" s="286"/>
      <c r="O306" s="286"/>
      <c r="Q306" s="290">
        <f t="shared" si="6"/>
        <v>0</v>
      </c>
    </row>
    <row r="307" spans="2:17" x14ac:dyDescent="0.2">
      <c r="B307" s="282" t="s">
        <v>647</v>
      </c>
      <c r="C307" s="282">
        <v>7</v>
      </c>
      <c r="D307" s="282" t="s">
        <v>976</v>
      </c>
      <c r="E307" s="283">
        <v>2007</v>
      </c>
      <c r="F307" s="284">
        <v>16.59</v>
      </c>
      <c r="G307" s="285">
        <v>2167</v>
      </c>
      <c r="H307" s="285">
        <f t="shared" si="4"/>
        <v>130.62085593731163</v>
      </c>
      <c r="I307" s="286"/>
      <c r="J307" s="286"/>
      <c r="K307" s="286"/>
      <c r="L307" s="286"/>
      <c r="M307" s="286"/>
      <c r="N307" s="286"/>
      <c r="O307" s="286"/>
      <c r="Q307" s="290">
        <f t="shared" si="6"/>
        <v>0</v>
      </c>
    </row>
    <row r="308" spans="2:17" x14ac:dyDescent="0.2">
      <c r="B308" s="282" t="s">
        <v>647</v>
      </c>
      <c r="C308" s="282">
        <v>7</v>
      </c>
      <c r="D308" s="282" t="s">
        <v>977</v>
      </c>
      <c r="E308" s="283">
        <v>2007</v>
      </c>
      <c r="F308" s="284">
        <v>11.69</v>
      </c>
      <c r="G308" s="285">
        <v>1590</v>
      </c>
      <c r="H308" s="285">
        <f t="shared" si="4"/>
        <v>136.01368691189052</v>
      </c>
      <c r="I308" s="286"/>
      <c r="J308" s="286"/>
      <c r="K308" s="286"/>
      <c r="L308" s="286"/>
      <c r="M308" s="286"/>
      <c r="N308" s="286"/>
      <c r="O308" s="286"/>
      <c r="Q308" s="290">
        <f t="shared" si="6"/>
        <v>0</v>
      </c>
    </row>
    <row r="309" spans="2:17" x14ac:dyDescent="0.2">
      <c r="B309" s="282" t="s">
        <v>647</v>
      </c>
      <c r="C309" s="282">
        <v>7</v>
      </c>
      <c r="D309" s="282" t="s">
        <v>978</v>
      </c>
      <c r="E309" s="283">
        <v>2007</v>
      </c>
      <c r="F309" s="284">
        <v>30.74</v>
      </c>
      <c r="G309" s="285">
        <v>4396</v>
      </c>
      <c r="H309" s="285">
        <f t="shared" si="4"/>
        <v>143.00585556278466</v>
      </c>
      <c r="I309" s="286"/>
      <c r="J309" s="286"/>
      <c r="K309" s="286"/>
      <c r="L309" s="286"/>
      <c r="M309" s="286"/>
      <c r="N309" s="286"/>
      <c r="O309" s="286"/>
      <c r="Q309" s="290"/>
    </row>
    <row r="310" spans="2:17" x14ac:dyDescent="0.2">
      <c r="B310" s="282" t="s">
        <v>647</v>
      </c>
      <c r="C310" s="282">
        <v>7</v>
      </c>
      <c r="D310" s="282" t="s">
        <v>979</v>
      </c>
      <c r="E310" s="283">
        <v>2007</v>
      </c>
      <c r="F310" s="284">
        <v>30.37</v>
      </c>
      <c r="G310" s="285">
        <v>4243</v>
      </c>
      <c r="H310" s="285">
        <f t="shared" si="4"/>
        <v>139.71024036878498</v>
      </c>
      <c r="I310" s="286"/>
      <c r="J310" s="286"/>
      <c r="K310" s="286"/>
      <c r="L310" s="286"/>
      <c r="M310" s="286"/>
      <c r="N310" s="286"/>
      <c r="O310" s="286"/>
      <c r="Q310" s="290"/>
    </row>
    <row r="311" spans="2:17" x14ac:dyDescent="0.2">
      <c r="B311" s="282" t="s">
        <v>647</v>
      </c>
      <c r="C311" s="282">
        <v>7</v>
      </c>
      <c r="D311" s="282" t="s">
        <v>980</v>
      </c>
      <c r="E311" s="283">
        <v>2007</v>
      </c>
      <c r="F311" s="284">
        <v>30.54</v>
      </c>
      <c r="G311" s="285">
        <v>4405</v>
      </c>
      <c r="H311" s="285">
        <f t="shared" si="4"/>
        <v>144.23706614276358</v>
      </c>
      <c r="I311" s="286"/>
      <c r="J311" s="286"/>
      <c r="K311" s="286"/>
      <c r="L311" s="286"/>
      <c r="M311" s="286"/>
      <c r="N311" s="286"/>
      <c r="O311" s="286"/>
      <c r="Q311" s="290"/>
    </row>
    <row r="312" spans="2:17" x14ac:dyDescent="0.2">
      <c r="B312" s="282" t="s">
        <v>647</v>
      </c>
      <c r="C312" s="282">
        <v>7</v>
      </c>
      <c r="D312" s="282" t="s">
        <v>981</v>
      </c>
      <c r="E312" s="283">
        <v>2007</v>
      </c>
      <c r="F312" s="284">
        <v>30.42</v>
      </c>
      <c r="G312" s="285">
        <v>4556</v>
      </c>
      <c r="H312" s="285">
        <f t="shared" si="4"/>
        <v>149.76988823142668</v>
      </c>
      <c r="I312" s="286"/>
      <c r="J312" s="286"/>
      <c r="K312" s="286"/>
      <c r="L312" s="286"/>
      <c r="M312" s="286"/>
      <c r="N312" s="286"/>
      <c r="O312" s="286"/>
      <c r="Q312" s="290"/>
    </row>
    <row r="313" spans="2:17" x14ac:dyDescent="0.2">
      <c r="B313" s="282" t="s">
        <v>647</v>
      </c>
      <c r="C313" s="282">
        <v>7</v>
      </c>
      <c r="D313" s="282" t="s">
        <v>982</v>
      </c>
      <c r="E313" s="283">
        <v>2008</v>
      </c>
      <c r="F313" s="284">
        <v>17.760000000000002</v>
      </c>
      <c r="G313" s="285">
        <v>2490</v>
      </c>
      <c r="H313" s="285">
        <f t="shared" si="4"/>
        <v>140.20270270270268</v>
      </c>
      <c r="I313" s="286"/>
      <c r="J313" s="286"/>
      <c r="K313" s="286"/>
      <c r="L313" s="286"/>
      <c r="M313" s="286"/>
      <c r="N313" s="286"/>
      <c r="O313" s="286"/>
      <c r="Q313" s="290">
        <f t="shared" ref="Q313:Q315" si="7">L313/F313</f>
        <v>0</v>
      </c>
    </row>
    <row r="314" spans="2:17" x14ac:dyDescent="0.2">
      <c r="B314" s="282" t="s">
        <v>647</v>
      </c>
      <c r="C314" s="282">
        <v>7</v>
      </c>
      <c r="D314" s="282" t="s">
        <v>983</v>
      </c>
      <c r="E314" s="283">
        <v>2008</v>
      </c>
      <c r="F314" s="284">
        <v>19.309999999999999</v>
      </c>
      <c r="G314" s="285">
        <v>2772</v>
      </c>
      <c r="H314" s="285">
        <f t="shared" si="4"/>
        <v>143.55256343863283</v>
      </c>
      <c r="I314" s="286"/>
      <c r="J314" s="286"/>
      <c r="K314" s="286"/>
      <c r="L314" s="286"/>
      <c r="M314" s="286"/>
      <c r="N314" s="286"/>
      <c r="O314" s="286"/>
      <c r="Q314" s="290">
        <f t="shared" si="7"/>
        <v>0</v>
      </c>
    </row>
    <row r="315" spans="2:17" x14ac:dyDescent="0.2">
      <c r="B315" s="282" t="s">
        <v>647</v>
      </c>
      <c r="C315" s="282">
        <v>7</v>
      </c>
      <c r="D315" s="282" t="s">
        <v>984</v>
      </c>
      <c r="E315" s="283">
        <v>2008</v>
      </c>
      <c r="F315" s="284">
        <v>7</v>
      </c>
      <c r="G315" s="285">
        <v>985</v>
      </c>
      <c r="H315" s="285">
        <f t="shared" si="4"/>
        <v>140.71428571428572</v>
      </c>
      <c r="I315" s="286"/>
      <c r="J315" s="286"/>
      <c r="K315" s="286"/>
      <c r="L315" s="286"/>
      <c r="M315" s="286"/>
      <c r="N315" s="286"/>
      <c r="O315" s="286"/>
      <c r="Q315" s="290">
        <f t="shared" si="7"/>
        <v>0</v>
      </c>
    </row>
    <row r="316" spans="2:17" x14ac:dyDescent="0.2">
      <c r="B316" s="282" t="s">
        <v>647</v>
      </c>
      <c r="C316" s="282">
        <v>7</v>
      </c>
      <c r="D316" s="282" t="s">
        <v>985</v>
      </c>
      <c r="E316" s="283">
        <v>2008</v>
      </c>
      <c r="F316" s="284">
        <v>30.33</v>
      </c>
      <c r="G316" s="285">
        <v>4181</v>
      </c>
      <c r="H316" s="285">
        <f t="shared" si="4"/>
        <v>137.85031322123311</v>
      </c>
      <c r="I316" s="286"/>
      <c r="J316" s="286"/>
      <c r="K316" s="286"/>
      <c r="L316" s="286"/>
      <c r="M316" s="286"/>
      <c r="N316" s="286"/>
      <c r="O316" s="286"/>
    </row>
    <row r="317" spans="2:17" x14ac:dyDescent="0.2">
      <c r="B317" s="282" t="s">
        <v>647</v>
      </c>
      <c r="C317" s="282">
        <v>7</v>
      </c>
      <c r="D317" s="282" t="s">
        <v>986</v>
      </c>
      <c r="E317" s="283">
        <v>2008</v>
      </c>
      <c r="F317" s="284">
        <v>28.82</v>
      </c>
      <c r="G317" s="285">
        <v>4234</v>
      </c>
      <c r="H317" s="285">
        <f t="shared" si="4"/>
        <v>146.91186675919499</v>
      </c>
      <c r="I317" s="286"/>
      <c r="J317" s="286"/>
      <c r="K317" s="286"/>
      <c r="L317" s="286"/>
      <c r="M317" s="286"/>
      <c r="N317" s="286"/>
      <c r="O317" s="286"/>
    </row>
    <row r="318" spans="2:17" x14ac:dyDescent="0.2">
      <c r="B318" s="282" t="s">
        <v>647</v>
      </c>
      <c r="C318" s="282">
        <v>7</v>
      </c>
      <c r="D318" s="282" t="s">
        <v>987</v>
      </c>
      <c r="E318" s="283">
        <v>2008</v>
      </c>
      <c r="F318" s="284">
        <v>28.65</v>
      </c>
      <c r="G318" s="285">
        <v>4245</v>
      </c>
      <c r="H318" s="285">
        <f t="shared" si="4"/>
        <v>148.16753926701571</v>
      </c>
      <c r="I318" s="286"/>
      <c r="J318" s="286"/>
      <c r="K318" s="286"/>
      <c r="L318" s="286"/>
      <c r="M318" s="286"/>
      <c r="N318" s="286"/>
      <c r="O318" s="286"/>
    </row>
    <row r="319" spans="2:17" x14ac:dyDescent="0.2">
      <c r="B319" s="282" t="s">
        <v>647</v>
      </c>
      <c r="C319" s="282">
        <v>7</v>
      </c>
      <c r="D319" s="282" t="s">
        <v>988</v>
      </c>
      <c r="E319" s="283">
        <v>2008</v>
      </c>
      <c r="F319" s="284">
        <v>0.02</v>
      </c>
      <c r="G319" s="285">
        <v>2</v>
      </c>
      <c r="H319" s="285">
        <f t="shared" si="4"/>
        <v>100</v>
      </c>
      <c r="I319" s="286"/>
      <c r="J319" s="286"/>
      <c r="K319" s="286"/>
      <c r="L319" s="286"/>
      <c r="M319" s="286"/>
      <c r="N319" s="286"/>
      <c r="O319" s="286"/>
    </row>
    <row r="320" spans="2:17" x14ac:dyDescent="0.2">
      <c r="B320" s="282" t="s">
        <v>647</v>
      </c>
      <c r="C320" s="282">
        <v>7</v>
      </c>
      <c r="D320" s="282" t="s">
        <v>989</v>
      </c>
      <c r="E320" s="283">
        <v>2008</v>
      </c>
      <c r="F320" s="284">
        <v>2.04</v>
      </c>
      <c r="G320" s="285">
        <v>278</v>
      </c>
      <c r="H320" s="285">
        <f t="shared" si="4"/>
        <v>136.27450980392157</v>
      </c>
      <c r="I320" s="286"/>
      <c r="J320" s="286"/>
      <c r="K320" s="286"/>
      <c r="L320" s="286"/>
      <c r="M320" s="286"/>
      <c r="N320" s="286"/>
      <c r="O320" s="286"/>
    </row>
    <row r="321" spans="2:15" x14ac:dyDescent="0.2">
      <c r="B321" s="282" t="s">
        <v>647</v>
      </c>
      <c r="C321" s="282">
        <v>8</v>
      </c>
      <c r="D321" s="282" t="s">
        <v>990</v>
      </c>
      <c r="E321" s="283">
        <v>2008</v>
      </c>
      <c r="F321" s="284">
        <v>25.5</v>
      </c>
      <c r="G321" s="285">
        <v>3723</v>
      </c>
      <c r="H321" s="285">
        <f t="shared" si="4"/>
        <v>146</v>
      </c>
      <c r="I321" s="286"/>
      <c r="J321" s="286"/>
      <c r="K321" s="286"/>
      <c r="L321" s="286"/>
      <c r="M321" s="286"/>
      <c r="N321" s="286"/>
      <c r="O321" s="286"/>
    </row>
    <row r="322" spans="2:15" x14ac:dyDescent="0.2">
      <c r="B322" s="282" t="s">
        <v>647</v>
      </c>
      <c r="C322" s="282">
        <v>8</v>
      </c>
      <c r="D322" s="282" t="s">
        <v>991</v>
      </c>
      <c r="E322" s="283">
        <v>2008</v>
      </c>
      <c r="F322" s="284">
        <v>8.61</v>
      </c>
      <c r="G322" s="285">
        <v>1164</v>
      </c>
      <c r="H322" s="285">
        <f t="shared" si="4"/>
        <v>135.19163763066203</v>
      </c>
      <c r="I322" s="286"/>
      <c r="J322" s="286"/>
      <c r="K322" s="286"/>
      <c r="L322" s="286"/>
      <c r="M322" s="286"/>
      <c r="N322" s="286"/>
      <c r="O322" s="286"/>
    </row>
    <row r="323" spans="2:15" x14ac:dyDescent="0.2">
      <c r="B323" s="282" t="s">
        <v>647</v>
      </c>
      <c r="C323" s="282">
        <v>8</v>
      </c>
      <c r="D323" s="282" t="s">
        <v>992</v>
      </c>
      <c r="E323" s="283">
        <v>2008</v>
      </c>
      <c r="F323" s="284">
        <v>5.68</v>
      </c>
      <c r="G323" s="285">
        <v>751</v>
      </c>
      <c r="H323" s="285">
        <f t="shared" si="4"/>
        <v>132.21830985915494</v>
      </c>
      <c r="I323" s="286"/>
      <c r="J323" s="286"/>
      <c r="K323" s="286"/>
      <c r="L323" s="286"/>
      <c r="M323" s="286"/>
      <c r="N323" s="286"/>
      <c r="O323" s="286"/>
    </row>
    <row r="324" spans="2:15" x14ac:dyDescent="0.2">
      <c r="B324" s="282" t="s">
        <v>647</v>
      </c>
      <c r="C324" s="282">
        <v>8</v>
      </c>
      <c r="D324" s="282" t="s">
        <v>993</v>
      </c>
      <c r="E324" s="283">
        <v>2008</v>
      </c>
      <c r="F324" s="284">
        <v>9.89</v>
      </c>
      <c r="G324" s="285">
        <v>1474</v>
      </c>
      <c r="H324" s="285">
        <f t="shared" si="4"/>
        <v>149.03943377148633</v>
      </c>
      <c r="I324" s="286"/>
      <c r="J324" s="286"/>
      <c r="K324" s="286"/>
      <c r="L324" s="286"/>
      <c r="M324" s="286"/>
      <c r="N324" s="286"/>
      <c r="O324" s="286"/>
    </row>
    <row r="325" spans="2:15" x14ac:dyDescent="0.2">
      <c r="B325" s="282" t="s">
        <v>647</v>
      </c>
      <c r="C325" s="282">
        <v>8</v>
      </c>
      <c r="D325" s="282" t="s">
        <v>994</v>
      </c>
      <c r="E325" s="283">
        <v>2008</v>
      </c>
      <c r="F325" s="284">
        <v>14.06</v>
      </c>
      <c r="G325" s="285">
        <v>2025</v>
      </c>
      <c r="H325" s="285">
        <f t="shared" si="4"/>
        <v>144.02560455192034</v>
      </c>
      <c r="I325" s="286"/>
      <c r="J325" s="286"/>
      <c r="K325" s="286"/>
      <c r="L325" s="286"/>
      <c r="M325" s="286"/>
      <c r="N325" s="286"/>
      <c r="O325" s="286"/>
    </row>
    <row r="326" spans="2:15" x14ac:dyDescent="0.2">
      <c r="B326" s="282" t="s">
        <v>647</v>
      </c>
      <c r="C326" s="282">
        <v>8</v>
      </c>
      <c r="D326" s="282" t="s">
        <v>995</v>
      </c>
      <c r="E326" s="283">
        <v>2008</v>
      </c>
      <c r="F326" s="284">
        <v>19.22</v>
      </c>
      <c r="G326" s="285">
        <v>2620</v>
      </c>
      <c r="H326" s="285">
        <f t="shared" si="4"/>
        <v>136.31633714880334</v>
      </c>
      <c r="I326" s="286"/>
      <c r="J326" s="286"/>
      <c r="K326" s="286"/>
      <c r="L326" s="286"/>
      <c r="M326" s="286"/>
      <c r="N326" s="286"/>
      <c r="O326" s="286"/>
    </row>
    <row r="327" spans="2:15" x14ac:dyDescent="0.2">
      <c r="B327" s="282" t="s">
        <v>647</v>
      </c>
      <c r="C327" s="282">
        <v>8</v>
      </c>
      <c r="D327" s="282" t="s">
        <v>996</v>
      </c>
      <c r="E327" s="283">
        <v>2008</v>
      </c>
      <c r="F327" s="284">
        <v>21.27</v>
      </c>
      <c r="G327" s="285">
        <v>3055</v>
      </c>
      <c r="H327" s="285">
        <f t="shared" si="4"/>
        <v>143.62952515279736</v>
      </c>
      <c r="I327" s="286"/>
      <c r="J327" s="286"/>
      <c r="K327" s="286"/>
      <c r="L327" s="286"/>
      <c r="M327" s="286"/>
      <c r="N327" s="286"/>
      <c r="O327" s="286"/>
    </row>
    <row r="328" spans="2:15" x14ac:dyDescent="0.2">
      <c r="B328" s="282" t="s">
        <v>647</v>
      </c>
      <c r="C328" s="282">
        <v>8</v>
      </c>
      <c r="D328" s="282" t="s">
        <v>997</v>
      </c>
      <c r="E328" s="283">
        <v>2008</v>
      </c>
      <c r="F328" s="284">
        <v>23.08</v>
      </c>
      <c r="G328" s="285">
        <v>3201</v>
      </c>
      <c r="H328" s="285">
        <f t="shared" ref="H328:H364" si="8">IFERROR(G328/F328,0)</f>
        <v>138.69150779896015</v>
      </c>
      <c r="I328" s="286"/>
      <c r="J328" s="286"/>
      <c r="K328" s="286"/>
      <c r="L328" s="286"/>
      <c r="M328" s="286"/>
      <c r="N328" s="286"/>
      <c r="O328" s="286"/>
    </row>
    <row r="329" spans="2:15" x14ac:dyDescent="0.2">
      <c r="B329" s="282" t="s">
        <v>647</v>
      </c>
      <c r="C329" s="282">
        <v>8</v>
      </c>
      <c r="D329" s="282" t="s">
        <v>998</v>
      </c>
      <c r="E329" s="283">
        <v>2008</v>
      </c>
      <c r="F329" s="284">
        <v>31.01</v>
      </c>
      <c r="G329" s="285">
        <v>4245</v>
      </c>
      <c r="H329" s="285">
        <f t="shared" si="8"/>
        <v>136.89132537891001</v>
      </c>
      <c r="I329" s="286"/>
      <c r="J329" s="286"/>
      <c r="K329" s="286"/>
      <c r="L329" s="286"/>
      <c r="M329" s="286"/>
      <c r="N329" s="286"/>
      <c r="O329" s="286"/>
    </row>
    <row r="330" spans="2:15" x14ac:dyDescent="0.2">
      <c r="B330" s="282" t="s">
        <v>647</v>
      </c>
      <c r="C330" s="282">
        <v>8</v>
      </c>
      <c r="D330" s="282" t="s">
        <v>999</v>
      </c>
      <c r="E330" s="283">
        <v>2008</v>
      </c>
      <c r="F330" s="284">
        <v>29.5</v>
      </c>
      <c r="G330" s="285">
        <v>4103</v>
      </c>
      <c r="H330" s="285">
        <f t="shared" si="8"/>
        <v>139.08474576271186</v>
      </c>
      <c r="I330" s="286"/>
      <c r="J330" s="286"/>
      <c r="K330" s="286"/>
      <c r="L330" s="286"/>
      <c r="M330" s="286"/>
      <c r="N330" s="286"/>
      <c r="O330" s="286"/>
    </row>
    <row r="331" spans="2:15" x14ac:dyDescent="0.2">
      <c r="B331" s="282" t="s">
        <v>647</v>
      </c>
      <c r="C331" s="282">
        <v>8</v>
      </c>
      <c r="D331" s="282" t="s">
        <v>1000</v>
      </c>
      <c r="E331" s="283">
        <v>2008</v>
      </c>
      <c r="F331" s="284">
        <v>31.87</v>
      </c>
      <c r="G331" s="285">
        <v>4749</v>
      </c>
      <c r="H331" s="285">
        <f t="shared" si="8"/>
        <v>149.01160966426104</v>
      </c>
      <c r="I331" s="286"/>
      <c r="J331" s="286"/>
      <c r="K331" s="286"/>
      <c r="L331" s="286"/>
      <c r="M331" s="286"/>
      <c r="N331" s="286"/>
      <c r="O331" s="286"/>
    </row>
    <row r="332" spans="2:15" x14ac:dyDescent="0.2">
      <c r="B332" s="282" t="s">
        <v>647</v>
      </c>
      <c r="C332" s="282">
        <v>8</v>
      </c>
      <c r="D332" s="282" t="s">
        <v>1001</v>
      </c>
      <c r="E332" s="283">
        <v>2008</v>
      </c>
      <c r="F332" s="284">
        <v>27.52</v>
      </c>
      <c r="G332" s="285">
        <v>4090</v>
      </c>
      <c r="H332" s="285">
        <f t="shared" si="8"/>
        <v>148.61918604651163</v>
      </c>
      <c r="I332" s="286"/>
      <c r="J332" s="286"/>
      <c r="K332" s="286"/>
      <c r="L332" s="286"/>
      <c r="M332" s="286"/>
      <c r="N332" s="286"/>
      <c r="O332" s="286"/>
    </row>
    <row r="333" spans="2:15" x14ac:dyDescent="0.2">
      <c r="B333" s="282" t="s">
        <v>647</v>
      </c>
      <c r="C333" s="282">
        <v>8</v>
      </c>
      <c r="D333" s="282" t="s">
        <v>1002</v>
      </c>
      <c r="E333" s="283">
        <v>2008</v>
      </c>
      <c r="F333" s="284">
        <v>31.66</v>
      </c>
      <c r="G333" s="285">
        <v>4594</v>
      </c>
      <c r="H333" s="285">
        <f t="shared" si="8"/>
        <v>145.10423246999369</v>
      </c>
      <c r="I333" s="286"/>
      <c r="J333" s="286"/>
      <c r="K333" s="286"/>
      <c r="L333" s="286"/>
      <c r="M333" s="286"/>
      <c r="N333" s="286"/>
      <c r="O333" s="286"/>
    </row>
    <row r="334" spans="2:15" x14ac:dyDescent="0.2">
      <c r="B334" s="282" t="s">
        <v>647</v>
      </c>
      <c r="C334" s="282">
        <v>8</v>
      </c>
      <c r="D334" s="282" t="s">
        <v>1003</v>
      </c>
      <c r="E334" s="283">
        <v>2008</v>
      </c>
      <c r="F334" s="284">
        <v>27.45</v>
      </c>
      <c r="G334" s="285">
        <v>4090</v>
      </c>
      <c r="H334" s="285">
        <f t="shared" si="8"/>
        <v>148.99817850637524</v>
      </c>
      <c r="I334" s="286"/>
      <c r="J334" s="286"/>
      <c r="K334" s="286"/>
      <c r="L334" s="286"/>
      <c r="M334" s="286"/>
      <c r="N334" s="286"/>
      <c r="O334" s="286"/>
    </row>
    <row r="335" spans="2:15" x14ac:dyDescent="0.2">
      <c r="B335" s="282" t="s">
        <v>647</v>
      </c>
      <c r="C335" s="282">
        <v>8</v>
      </c>
      <c r="D335" s="282" t="s">
        <v>1004</v>
      </c>
      <c r="E335" s="283">
        <v>2008</v>
      </c>
      <c r="F335" s="284">
        <v>29.49</v>
      </c>
      <c r="G335" s="285">
        <v>4365</v>
      </c>
      <c r="H335" s="285">
        <f t="shared" si="8"/>
        <v>148.01627670396746</v>
      </c>
      <c r="I335" s="286"/>
      <c r="J335" s="286"/>
      <c r="K335" s="286"/>
      <c r="L335" s="286"/>
      <c r="M335" s="286"/>
      <c r="N335" s="286"/>
      <c r="O335" s="286"/>
    </row>
    <row r="336" spans="2:15" x14ac:dyDescent="0.2">
      <c r="B336" s="282" t="s">
        <v>647</v>
      </c>
      <c r="C336" s="282">
        <v>8</v>
      </c>
      <c r="D336" s="282" t="s">
        <v>1005</v>
      </c>
      <c r="E336" s="283">
        <v>2008</v>
      </c>
      <c r="F336" s="284">
        <v>28.93</v>
      </c>
      <c r="G336" s="285">
        <v>4343</v>
      </c>
      <c r="H336" s="285">
        <f t="shared" si="8"/>
        <v>150.12098167991704</v>
      </c>
      <c r="I336" s="286"/>
      <c r="J336" s="286"/>
      <c r="K336" s="286"/>
      <c r="L336" s="286"/>
      <c r="M336" s="286"/>
      <c r="N336" s="286"/>
      <c r="O336" s="286"/>
    </row>
    <row r="337" spans="2:15" x14ac:dyDescent="0.2">
      <c r="B337" s="282" t="s">
        <v>647</v>
      </c>
      <c r="C337" s="282">
        <v>8</v>
      </c>
      <c r="D337" s="282" t="s">
        <v>1006</v>
      </c>
      <c r="E337" s="283">
        <v>2008</v>
      </c>
      <c r="F337" s="284">
        <v>28.51</v>
      </c>
      <c r="G337" s="285">
        <v>4162</v>
      </c>
      <c r="H337" s="285">
        <f t="shared" si="8"/>
        <v>145.9838653104174</v>
      </c>
      <c r="I337" s="286"/>
      <c r="J337" s="286"/>
      <c r="K337" s="286"/>
      <c r="L337" s="286"/>
      <c r="M337" s="286"/>
      <c r="N337" s="286"/>
      <c r="O337" s="286"/>
    </row>
    <row r="338" spans="2:15" x14ac:dyDescent="0.2">
      <c r="B338" s="282" t="s">
        <v>647</v>
      </c>
      <c r="C338" s="282">
        <v>8</v>
      </c>
      <c r="D338" s="282" t="s">
        <v>1007</v>
      </c>
      <c r="E338" s="283">
        <v>2008</v>
      </c>
      <c r="F338" s="284">
        <v>30.06</v>
      </c>
      <c r="G338" s="285">
        <v>4359</v>
      </c>
      <c r="H338" s="285">
        <f t="shared" si="8"/>
        <v>145.00998003992018</v>
      </c>
      <c r="I338" s="286"/>
      <c r="J338" s="286"/>
      <c r="K338" s="286"/>
      <c r="L338" s="286"/>
      <c r="M338" s="286"/>
      <c r="N338" s="286"/>
      <c r="O338" s="286"/>
    </row>
    <row r="339" spans="2:15" x14ac:dyDescent="0.2">
      <c r="B339" s="282" t="s">
        <v>647</v>
      </c>
      <c r="C339" s="282">
        <v>8</v>
      </c>
      <c r="D339" s="282" t="s">
        <v>1008</v>
      </c>
      <c r="E339" s="283">
        <v>2008</v>
      </c>
      <c r="F339" s="284">
        <v>27.18</v>
      </c>
      <c r="G339" s="285">
        <v>4033</v>
      </c>
      <c r="H339" s="285">
        <f t="shared" si="8"/>
        <v>148.38116261957322</v>
      </c>
      <c r="I339" s="286"/>
      <c r="J339" s="286"/>
      <c r="K339" s="286"/>
      <c r="L339" s="286"/>
      <c r="M339" s="286"/>
      <c r="N339" s="286"/>
      <c r="O339" s="286"/>
    </row>
    <row r="340" spans="2:15" x14ac:dyDescent="0.2">
      <c r="B340" s="282" t="s">
        <v>647</v>
      </c>
      <c r="C340" s="282">
        <v>8</v>
      </c>
      <c r="D340" s="282" t="s">
        <v>1009</v>
      </c>
      <c r="E340" s="283">
        <v>2008</v>
      </c>
      <c r="F340" s="284">
        <v>27.82</v>
      </c>
      <c r="G340" s="285">
        <v>4053</v>
      </c>
      <c r="H340" s="285">
        <f t="shared" si="8"/>
        <v>145.68655643421999</v>
      </c>
      <c r="I340" s="286"/>
      <c r="J340" s="286"/>
      <c r="K340" s="286"/>
      <c r="L340" s="286"/>
      <c r="M340" s="286"/>
      <c r="N340" s="286"/>
      <c r="O340" s="286"/>
    </row>
    <row r="341" spans="2:15" x14ac:dyDescent="0.2">
      <c r="B341" s="282" t="s">
        <v>647</v>
      </c>
      <c r="C341" s="282">
        <v>8</v>
      </c>
      <c r="D341" s="282" t="s">
        <v>1010</v>
      </c>
      <c r="E341" s="283">
        <v>2008</v>
      </c>
      <c r="F341" s="284">
        <v>27.92</v>
      </c>
      <c r="G341" s="285">
        <v>4161</v>
      </c>
      <c r="H341" s="285">
        <f t="shared" si="8"/>
        <v>149.03295128939828</v>
      </c>
      <c r="I341" s="286"/>
      <c r="J341" s="286"/>
      <c r="K341" s="286"/>
      <c r="L341" s="286"/>
      <c r="M341" s="286"/>
      <c r="N341" s="286"/>
      <c r="O341" s="286"/>
    </row>
    <row r="342" spans="2:15" x14ac:dyDescent="0.2">
      <c r="B342" s="282" t="s">
        <v>647</v>
      </c>
      <c r="C342" s="282">
        <v>8</v>
      </c>
      <c r="D342" s="282" t="s">
        <v>1011</v>
      </c>
      <c r="E342" s="283">
        <v>2008</v>
      </c>
      <c r="F342" s="284">
        <v>29.26</v>
      </c>
      <c r="G342" s="285">
        <v>4337</v>
      </c>
      <c r="H342" s="285">
        <f t="shared" si="8"/>
        <v>148.22282980177715</v>
      </c>
      <c r="I342" s="286"/>
      <c r="J342" s="286"/>
      <c r="K342" s="286"/>
      <c r="L342" s="286"/>
      <c r="M342" s="286"/>
      <c r="N342" s="286"/>
      <c r="O342" s="286"/>
    </row>
    <row r="343" spans="2:15" x14ac:dyDescent="0.2">
      <c r="B343" s="282" t="s">
        <v>647</v>
      </c>
      <c r="C343" s="282">
        <v>8</v>
      </c>
      <c r="D343" s="282" t="s">
        <v>1012</v>
      </c>
      <c r="E343" s="283">
        <v>2008</v>
      </c>
      <c r="F343" s="284">
        <v>23.08</v>
      </c>
      <c r="G343" s="285">
        <v>2780</v>
      </c>
      <c r="H343" s="285">
        <f t="shared" si="8"/>
        <v>120.45060658578858</v>
      </c>
      <c r="I343" s="286"/>
      <c r="J343" s="286"/>
      <c r="K343" s="286"/>
      <c r="L343" s="286"/>
      <c r="M343" s="286"/>
      <c r="N343" s="286"/>
      <c r="O343" s="286"/>
    </row>
    <row r="344" spans="2:15" x14ac:dyDescent="0.2">
      <c r="B344" s="282" t="s">
        <v>647</v>
      </c>
      <c r="C344" s="282">
        <v>8</v>
      </c>
      <c r="D344" s="282" t="s">
        <v>1013</v>
      </c>
      <c r="E344" s="283">
        <v>2008</v>
      </c>
      <c r="F344" s="284">
        <v>5.53</v>
      </c>
      <c r="G344" s="285">
        <v>802</v>
      </c>
      <c r="H344" s="285">
        <f t="shared" si="8"/>
        <v>145.02712477396022</v>
      </c>
      <c r="I344" s="286"/>
      <c r="J344" s="286"/>
      <c r="K344" s="286"/>
      <c r="L344" s="286"/>
      <c r="M344" s="286"/>
      <c r="N344" s="286"/>
      <c r="O344" s="286"/>
    </row>
    <row r="345" spans="2:15" x14ac:dyDescent="0.2">
      <c r="B345" s="282" t="s">
        <v>647</v>
      </c>
      <c r="C345" s="282">
        <v>8</v>
      </c>
      <c r="D345" s="282" t="s">
        <v>1014</v>
      </c>
      <c r="E345" s="283">
        <v>2008</v>
      </c>
      <c r="F345" s="284">
        <v>22.13</v>
      </c>
      <c r="G345" s="285">
        <v>3275</v>
      </c>
      <c r="H345" s="285">
        <f t="shared" si="8"/>
        <v>147.98915499322189</v>
      </c>
      <c r="I345" s="286"/>
      <c r="J345" s="286"/>
      <c r="K345" s="286"/>
      <c r="L345" s="286"/>
      <c r="M345" s="286"/>
      <c r="N345" s="286"/>
      <c r="O345" s="286"/>
    </row>
    <row r="346" spans="2:15" x14ac:dyDescent="0.2">
      <c r="B346" s="282" t="s">
        <v>647</v>
      </c>
      <c r="C346" s="282">
        <v>8</v>
      </c>
      <c r="D346" s="282" t="s">
        <v>1015</v>
      </c>
      <c r="E346" s="283">
        <v>2008</v>
      </c>
      <c r="F346" s="284">
        <v>32</v>
      </c>
      <c r="G346" s="285">
        <v>4792</v>
      </c>
      <c r="H346" s="285">
        <f t="shared" si="8"/>
        <v>149.75</v>
      </c>
      <c r="I346" s="286"/>
      <c r="J346" s="286"/>
      <c r="K346" s="286"/>
      <c r="L346" s="286"/>
      <c r="M346" s="286"/>
      <c r="N346" s="286"/>
      <c r="O346" s="286"/>
    </row>
    <row r="347" spans="2:15" x14ac:dyDescent="0.2">
      <c r="B347" s="282" t="s">
        <v>647</v>
      </c>
      <c r="C347" s="282">
        <v>8</v>
      </c>
      <c r="D347" s="282" t="s">
        <v>1016</v>
      </c>
      <c r="E347" s="283">
        <v>2008</v>
      </c>
      <c r="F347" s="284">
        <v>25.34</v>
      </c>
      <c r="G347" s="285">
        <v>3801</v>
      </c>
      <c r="H347" s="285">
        <f t="shared" si="8"/>
        <v>150</v>
      </c>
      <c r="I347" s="286"/>
      <c r="J347" s="286"/>
      <c r="K347" s="286"/>
      <c r="L347" s="286"/>
      <c r="M347" s="286"/>
      <c r="N347" s="286"/>
      <c r="O347" s="286"/>
    </row>
    <row r="348" spans="2:15" x14ac:dyDescent="0.2">
      <c r="B348" s="282" t="s">
        <v>647</v>
      </c>
      <c r="C348" s="282">
        <v>8</v>
      </c>
      <c r="D348" s="282" t="s">
        <v>1017</v>
      </c>
      <c r="E348" s="283">
        <v>2008</v>
      </c>
      <c r="F348" s="284">
        <v>26.16</v>
      </c>
      <c r="G348" s="285">
        <v>3976</v>
      </c>
      <c r="H348" s="285">
        <f t="shared" si="8"/>
        <v>151.98776758409787</v>
      </c>
      <c r="I348" s="286"/>
      <c r="J348" s="286"/>
      <c r="K348" s="286"/>
      <c r="L348" s="286"/>
      <c r="M348" s="286"/>
      <c r="N348" s="286"/>
      <c r="O348" s="286"/>
    </row>
    <row r="349" spans="2:15" x14ac:dyDescent="0.2">
      <c r="B349" s="282" t="s">
        <v>647</v>
      </c>
      <c r="C349" s="282">
        <v>8</v>
      </c>
      <c r="D349" s="282" t="s">
        <v>1018</v>
      </c>
      <c r="E349" s="283">
        <v>2008</v>
      </c>
      <c r="F349" s="284">
        <v>30.72</v>
      </c>
      <c r="G349" s="285">
        <v>4573</v>
      </c>
      <c r="H349" s="285">
        <f t="shared" si="8"/>
        <v>148.86067708333334</v>
      </c>
      <c r="I349" s="286"/>
      <c r="J349" s="286"/>
      <c r="K349" s="286"/>
      <c r="L349" s="286"/>
      <c r="M349" s="286"/>
      <c r="N349" s="286"/>
      <c r="O349" s="286"/>
    </row>
    <row r="350" spans="2:15" x14ac:dyDescent="0.2">
      <c r="B350" s="282" t="s">
        <v>647</v>
      </c>
      <c r="C350" s="282">
        <v>8</v>
      </c>
      <c r="D350" s="282" t="s">
        <v>1019</v>
      </c>
      <c r="E350" s="283">
        <v>2008</v>
      </c>
      <c r="F350" s="284">
        <v>26.35</v>
      </c>
      <c r="G350" s="285">
        <v>3900</v>
      </c>
      <c r="H350" s="285">
        <f t="shared" si="8"/>
        <v>148.00759013282732</v>
      </c>
      <c r="I350" s="286"/>
      <c r="J350" s="286"/>
      <c r="K350" s="286"/>
      <c r="L350" s="286"/>
      <c r="M350" s="286"/>
      <c r="N350" s="286"/>
      <c r="O350" s="286"/>
    </row>
    <row r="351" spans="2:15" x14ac:dyDescent="0.2">
      <c r="B351" s="282" t="s">
        <v>647</v>
      </c>
      <c r="C351" s="282">
        <v>8</v>
      </c>
      <c r="D351" s="282" t="s">
        <v>1020</v>
      </c>
      <c r="E351" s="283">
        <v>2008</v>
      </c>
      <c r="F351" s="284">
        <v>28.8</v>
      </c>
      <c r="G351" s="285">
        <v>4262</v>
      </c>
      <c r="H351" s="285">
        <f t="shared" si="8"/>
        <v>147.98611111111111</v>
      </c>
      <c r="I351" s="286"/>
      <c r="J351" s="286"/>
      <c r="K351" s="286"/>
      <c r="L351" s="286"/>
      <c r="M351" s="286"/>
      <c r="N351" s="286"/>
      <c r="O351" s="286"/>
    </row>
    <row r="352" spans="2:15" x14ac:dyDescent="0.2">
      <c r="B352" s="282" t="s">
        <v>647</v>
      </c>
      <c r="C352" s="282">
        <v>8</v>
      </c>
      <c r="D352" s="282" t="s">
        <v>1021</v>
      </c>
      <c r="E352" s="283">
        <v>2008</v>
      </c>
      <c r="F352" s="284">
        <v>24.84</v>
      </c>
      <c r="G352" s="285">
        <v>3553</v>
      </c>
      <c r="H352" s="285">
        <f t="shared" si="8"/>
        <v>143.0354267310789</v>
      </c>
      <c r="I352" s="286"/>
      <c r="J352" s="286"/>
      <c r="K352" s="286"/>
      <c r="L352" s="286"/>
      <c r="M352" s="286"/>
      <c r="N352" s="286"/>
      <c r="O352" s="286"/>
    </row>
    <row r="353" spans="2:15" x14ac:dyDescent="0.2">
      <c r="B353" s="282" t="s">
        <v>647</v>
      </c>
      <c r="C353" s="282">
        <v>8</v>
      </c>
      <c r="D353" s="282" t="s">
        <v>1022</v>
      </c>
      <c r="E353" s="283">
        <v>2009</v>
      </c>
      <c r="F353" s="284">
        <v>28.03</v>
      </c>
      <c r="G353" s="285">
        <v>4737</v>
      </c>
      <c r="H353" s="285">
        <f t="shared" si="8"/>
        <v>168.9975026757046</v>
      </c>
      <c r="I353" s="286"/>
      <c r="J353" s="286"/>
      <c r="K353" s="286"/>
      <c r="L353" s="286"/>
      <c r="M353" s="286"/>
      <c r="N353" s="286"/>
      <c r="O353" s="286"/>
    </row>
    <row r="354" spans="2:15" x14ac:dyDescent="0.2">
      <c r="B354" s="282" t="s">
        <v>647</v>
      </c>
      <c r="C354" s="282">
        <v>8</v>
      </c>
      <c r="D354" s="282" t="s">
        <v>1023</v>
      </c>
      <c r="E354" s="283">
        <v>2009</v>
      </c>
      <c r="F354" s="284">
        <v>3.67</v>
      </c>
      <c r="G354" s="285">
        <v>456</v>
      </c>
      <c r="H354" s="285">
        <f t="shared" si="8"/>
        <v>124.25068119891009</v>
      </c>
      <c r="I354" s="286"/>
      <c r="J354" s="286"/>
      <c r="K354" s="286"/>
      <c r="L354" s="286"/>
      <c r="M354" s="286"/>
      <c r="N354" s="286"/>
      <c r="O354" s="286"/>
    </row>
    <row r="355" spans="2:15" x14ac:dyDescent="0.2">
      <c r="B355" s="282" t="s">
        <v>647</v>
      </c>
      <c r="C355" s="282">
        <v>8</v>
      </c>
      <c r="D355" s="282" t="s">
        <v>1024</v>
      </c>
      <c r="E355" s="283">
        <v>2009</v>
      </c>
      <c r="F355" s="284">
        <v>7.16</v>
      </c>
      <c r="G355" s="285">
        <v>1048</v>
      </c>
      <c r="H355" s="285">
        <f t="shared" si="8"/>
        <v>146.36871508379889</v>
      </c>
      <c r="I355" s="286"/>
      <c r="J355" s="286"/>
      <c r="K355" s="286"/>
      <c r="L355" s="286"/>
      <c r="M355" s="286"/>
      <c r="N355" s="286"/>
      <c r="O355" s="286"/>
    </row>
    <row r="356" spans="2:15" x14ac:dyDescent="0.2">
      <c r="B356" s="282" t="s">
        <v>647</v>
      </c>
      <c r="C356" s="282">
        <v>8</v>
      </c>
      <c r="D356" s="282" t="s">
        <v>1025</v>
      </c>
      <c r="E356" s="283">
        <v>2009</v>
      </c>
      <c r="F356" s="284">
        <v>16.920000000000002</v>
      </c>
      <c r="G356" s="285">
        <v>2355</v>
      </c>
      <c r="H356" s="285">
        <f t="shared" si="8"/>
        <v>139.18439716312056</v>
      </c>
      <c r="I356" s="286"/>
      <c r="J356" s="286"/>
      <c r="K356" s="286"/>
      <c r="L356" s="286"/>
      <c r="M356" s="286"/>
      <c r="N356" s="286"/>
      <c r="O356" s="286"/>
    </row>
    <row r="357" spans="2:15" x14ac:dyDescent="0.2">
      <c r="B357" s="282" t="s">
        <v>647</v>
      </c>
      <c r="C357" s="282">
        <v>8</v>
      </c>
      <c r="D357" s="282" t="s">
        <v>1026</v>
      </c>
      <c r="E357" s="283">
        <v>2009</v>
      </c>
      <c r="F357" s="284">
        <v>21.22</v>
      </c>
      <c r="G357" s="285">
        <v>3106</v>
      </c>
      <c r="H357" s="285">
        <f t="shared" si="8"/>
        <v>146.37134778510838</v>
      </c>
      <c r="I357" s="286"/>
      <c r="J357" s="286"/>
      <c r="K357" s="286"/>
      <c r="L357" s="286"/>
      <c r="M357" s="286"/>
      <c r="N357" s="286"/>
      <c r="O357" s="286"/>
    </row>
    <row r="358" spans="2:15" x14ac:dyDescent="0.2">
      <c r="B358" s="282" t="s">
        <v>647</v>
      </c>
      <c r="C358" s="282">
        <v>8</v>
      </c>
      <c r="D358" s="282" t="s">
        <v>1027</v>
      </c>
      <c r="E358" s="283">
        <v>2009</v>
      </c>
      <c r="F358" s="284">
        <v>2.41</v>
      </c>
      <c r="G358" s="285">
        <v>347</v>
      </c>
      <c r="H358" s="285">
        <f t="shared" si="8"/>
        <v>143.98340248962654</v>
      </c>
      <c r="I358" s="286"/>
      <c r="J358" s="286"/>
      <c r="K358" s="286"/>
      <c r="L358" s="286"/>
      <c r="M358" s="286"/>
      <c r="N358" s="286"/>
      <c r="O358" s="286"/>
    </row>
    <row r="359" spans="2:15" x14ac:dyDescent="0.2">
      <c r="B359" s="282" t="s">
        <v>647</v>
      </c>
      <c r="C359" s="282">
        <v>8</v>
      </c>
      <c r="D359" s="282" t="s">
        <v>1028</v>
      </c>
      <c r="E359" s="283">
        <v>2009</v>
      </c>
      <c r="F359" s="284">
        <v>8.07</v>
      </c>
      <c r="G359" s="285">
        <v>1039</v>
      </c>
      <c r="H359" s="285">
        <f t="shared" si="8"/>
        <v>128.74845105328376</v>
      </c>
      <c r="I359" s="286"/>
      <c r="J359" s="286"/>
      <c r="K359" s="286"/>
      <c r="L359" s="286"/>
      <c r="M359" s="286"/>
      <c r="N359" s="286"/>
      <c r="O359" s="286"/>
    </row>
    <row r="360" spans="2:15" x14ac:dyDescent="0.2">
      <c r="B360" s="282" t="s">
        <v>647</v>
      </c>
      <c r="C360" s="282">
        <v>8</v>
      </c>
      <c r="D360" s="282" t="s">
        <v>1029</v>
      </c>
      <c r="E360" s="283">
        <v>2009</v>
      </c>
      <c r="F360" s="284">
        <v>9.09</v>
      </c>
      <c r="G360" s="285">
        <v>1323</v>
      </c>
      <c r="H360" s="285">
        <f t="shared" si="8"/>
        <v>145.54455445544554</v>
      </c>
      <c r="I360" s="286"/>
      <c r="J360" s="286"/>
      <c r="K360" s="286"/>
      <c r="L360" s="286"/>
      <c r="M360" s="286"/>
      <c r="N360" s="286"/>
      <c r="O360" s="286"/>
    </row>
    <row r="361" spans="2:15" x14ac:dyDescent="0.2">
      <c r="B361" s="282" t="s">
        <v>647</v>
      </c>
      <c r="C361" s="282">
        <v>8</v>
      </c>
      <c r="D361" s="282" t="s">
        <v>1030</v>
      </c>
      <c r="E361" s="283">
        <v>2009</v>
      </c>
      <c r="F361" s="284">
        <v>12.61</v>
      </c>
      <c r="G361" s="285">
        <v>1803</v>
      </c>
      <c r="H361" s="285">
        <f t="shared" si="8"/>
        <v>142.98176050753372</v>
      </c>
      <c r="I361" s="286"/>
      <c r="J361" s="286"/>
      <c r="K361" s="286"/>
      <c r="L361" s="286"/>
      <c r="M361" s="286"/>
      <c r="N361" s="286"/>
      <c r="O361" s="286"/>
    </row>
    <row r="362" spans="2:15" x14ac:dyDescent="0.2">
      <c r="B362" s="282" t="s">
        <v>647</v>
      </c>
      <c r="C362" s="282">
        <v>8</v>
      </c>
      <c r="D362" s="282" t="s">
        <v>1031</v>
      </c>
      <c r="E362" s="283">
        <v>2009</v>
      </c>
      <c r="F362" s="284">
        <v>22.12</v>
      </c>
      <c r="G362" s="285">
        <v>3162</v>
      </c>
      <c r="H362" s="285">
        <f t="shared" si="8"/>
        <v>142.94755877034356</v>
      </c>
      <c r="I362" s="286"/>
      <c r="J362" s="286"/>
      <c r="K362" s="286"/>
      <c r="L362" s="286"/>
      <c r="M362" s="286"/>
      <c r="N362" s="286"/>
      <c r="O362" s="286"/>
    </row>
    <row r="363" spans="2:15" x14ac:dyDescent="0.2">
      <c r="B363" s="282" t="s">
        <v>647</v>
      </c>
      <c r="C363" s="282">
        <v>8</v>
      </c>
      <c r="D363" s="282" t="s">
        <v>1032</v>
      </c>
      <c r="E363" s="283">
        <v>2010</v>
      </c>
      <c r="F363" s="284">
        <v>22</v>
      </c>
      <c r="G363" s="285">
        <v>3097</v>
      </c>
      <c r="H363" s="285">
        <f t="shared" si="8"/>
        <v>140.77272727272728</v>
      </c>
      <c r="I363" s="286"/>
      <c r="J363" s="286"/>
      <c r="K363" s="286"/>
      <c r="L363" s="286"/>
      <c r="M363" s="286"/>
      <c r="N363" s="286"/>
      <c r="O363" s="286"/>
    </row>
    <row r="364" spans="2:15" x14ac:dyDescent="0.2">
      <c r="B364" s="282" t="s">
        <v>647</v>
      </c>
      <c r="C364" s="282">
        <v>8</v>
      </c>
      <c r="D364" s="282" t="s">
        <v>1033</v>
      </c>
      <c r="E364" s="283">
        <v>2010</v>
      </c>
      <c r="F364" s="284">
        <v>25.55</v>
      </c>
      <c r="G364" s="285">
        <v>3392</v>
      </c>
      <c r="H364" s="285">
        <f t="shared" si="8"/>
        <v>132.75929549902153</v>
      </c>
      <c r="I364" s="286"/>
      <c r="J364" s="286"/>
      <c r="K364" s="286"/>
      <c r="L364" s="286"/>
      <c r="M364" s="286"/>
      <c r="N364" s="286"/>
      <c r="O364" s="286"/>
    </row>
    <row r="365" spans="2:15" x14ac:dyDescent="0.2">
      <c r="B365" s="291"/>
      <c r="C365" s="291"/>
      <c r="D365" s="291"/>
      <c r="E365" s="291"/>
      <c r="F365" s="292"/>
      <c r="G365" s="293"/>
      <c r="H365" s="293"/>
      <c r="I365" s="294"/>
      <c r="J365" s="294"/>
      <c r="K365" s="294"/>
      <c r="L365" s="294"/>
      <c r="M365" s="294"/>
      <c r="N365" s="294"/>
    </row>
    <row r="366" spans="2:15" x14ac:dyDescent="0.2">
      <c r="B366" s="295" t="s">
        <v>562</v>
      </c>
      <c r="C366" s="296">
        <v>1</v>
      </c>
      <c r="D366" s="297"/>
      <c r="E366" s="297"/>
      <c r="F366" s="298">
        <f t="shared" ref="F366:G373" si="9">IFERROR(SUMIF($C$8:$C$364,$C366,F$8:F$364),0)</f>
        <v>967.8599999999999</v>
      </c>
      <c r="G366" s="299">
        <f t="shared" si="9"/>
        <v>130044</v>
      </c>
      <c r="H366" s="299">
        <f t="shared" ref="H366:H374" si="10">IFERROR(G366/F366,0)</f>
        <v>134.36240778625009</v>
      </c>
      <c r="I366" s="299">
        <f t="shared" ref="I366:I373" si="11">IFERROR(SUMIF($C$8:$C$364,$C366,I$8:I$364),0)</f>
        <v>0</v>
      </c>
      <c r="J366" s="299"/>
      <c r="K366" s="299"/>
      <c r="L366" s="299">
        <f t="shared" ref="L366:L373" si="12">IFERROR(SUMIF($C$8:$C$364,$C366,L$8:L$364),0)</f>
        <v>0</v>
      </c>
      <c r="M366" s="299"/>
      <c r="N366" s="299"/>
      <c r="O366" s="299"/>
    </row>
    <row r="367" spans="2:15" x14ac:dyDescent="0.2">
      <c r="B367" s="295" t="s">
        <v>562</v>
      </c>
      <c r="C367" s="296">
        <v>2</v>
      </c>
      <c r="D367" s="297"/>
      <c r="E367" s="297"/>
      <c r="F367" s="298">
        <f t="shared" si="9"/>
        <v>981.11999999999989</v>
      </c>
      <c r="G367" s="299">
        <f t="shared" si="9"/>
        <v>131987</v>
      </c>
      <c r="H367" s="299">
        <f t="shared" si="10"/>
        <v>134.52686725375082</v>
      </c>
      <c r="I367" s="299">
        <f t="shared" si="11"/>
        <v>0</v>
      </c>
      <c r="J367" s="299"/>
      <c r="K367" s="299"/>
      <c r="L367" s="299">
        <f t="shared" si="12"/>
        <v>0</v>
      </c>
      <c r="M367" s="299"/>
      <c r="N367" s="299"/>
      <c r="O367" s="299"/>
    </row>
    <row r="368" spans="2:15" x14ac:dyDescent="0.2">
      <c r="B368" s="295" t="s">
        <v>562</v>
      </c>
      <c r="C368" s="296">
        <v>3</v>
      </c>
      <c r="D368" s="297"/>
      <c r="E368" s="297"/>
      <c r="F368" s="298">
        <f t="shared" si="9"/>
        <v>864.96</v>
      </c>
      <c r="G368" s="299">
        <f t="shared" si="9"/>
        <v>110636</v>
      </c>
      <c r="H368" s="299">
        <f t="shared" si="10"/>
        <v>127.90880503144653</v>
      </c>
      <c r="I368" s="299">
        <f t="shared" si="11"/>
        <v>0</v>
      </c>
      <c r="J368" s="299"/>
      <c r="K368" s="299"/>
      <c r="L368" s="299">
        <f t="shared" si="12"/>
        <v>0</v>
      </c>
      <c r="M368" s="299"/>
      <c r="N368" s="299"/>
      <c r="O368" s="299"/>
    </row>
    <row r="369" spans="2:15" x14ac:dyDescent="0.2">
      <c r="B369" s="295" t="s">
        <v>562</v>
      </c>
      <c r="C369" s="296">
        <v>4</v>
      </c>
      <c r="D369" s="297"/>
      <c r="E369" s="297"/>
      <c r="F369" s="298">
        <f t="shared" si="9"/>
        <v>1026.2000000000003</v>
      </c>
      <c r="G369" s="299">
        <f t="shared" si="9"/>
        <v>137968</v>
      </c>
      <c r="H369" s="299">
        <f t="shared" si="10"/>
        <v>134.44552718768267</v>
      </c>
      <c r="I369" s="299">
        <f t="shared" si="11"/>
        <v>0</v>
      </c>
      <c r="J369" s="299"/>
      <c r="K369" s="299"/>
      <c r="L369" s="299">
        <f t="shared" si="12"/>
        <v>0</v>
      </c>
      <c r="M369" s="299"/>
      <c r="N369" s="299"/>
      <c r="O369" s="299"/>
    </row>
    <row r="370" spans="2:15" x14ac:dyDescent="0.2">
      <c r="B370" s="295" t="s">
        <v>562</v>
      </c>
      <c r="C370" s="296">
        <v>5</v>
      </c>
      <c r="D370" s="297"/>
      <c r="E370" s="297"/>
      <c r="F370" s="298">
        <f t="shared" si="9"/>
        <v>984.09999999999991</v>
      </c>
      <c r="G370" s="299">
        <f t="shared" si="9"/>
        <v>127316</v>
      </c>
      <c r="H370" s="299">
        <f t="shared" si="10"/>
        <v>129.37303119601668</v>
      </c>
      <c r="I370" s="299">
        <f t="shared" si="11"/>
        <v>0</v>
      </c>
      <c r="J370" s="299"/>
      <c r="K370" s="299"/>
      <c r="L370" s="299">
        <f t="shared" si="12"/>
        <v>0</v>
      </c>
      <c r="M370" s="299"/>
      <c r="N370" s="299"/>
      <c r="O370" s="299"/>
    </row>
    <row r="371" spans="2:15" x14ac:dyDescent="0.2">
      <c r="B371" s="295" t="s">
        <v>562</v>
      </c>
      <c r="C371" s="296">
        <v>6</v>
      </c>
      <c r="D371" s="297"/>
      <c r="E371" s="297"/>
      <c r="F371" s="298">
        <f t="shared" si="9"/>
        <v>767.74472389771984</v>
      </c>
      <c r="G371" s="299">
        <f t="shared" si="9"/>
        <v>102518</v>
      </c>
      <c r="H371" s="299">
        <f t="shared" si="10"/>
        <v>133.5313637579066</v>
      </c>
      <c r="I371" s="299">
        <f t="shared" si="11"/>
        <v>0</v>
      </c>
      <c r="J371" s="299"/>
      <c r="K371" s="299"/>
      <c r="L371" s="299">
        <f t="shared" si="12"/>
        <v>0</v>
      </c>
      <c r="M371" s="299"/>
      <c r="N371" s="299"/>
      <c r="O371" s="299"/>
    </row>
    <row r="372" spans="2:15" x14ac:dyDescent="0.2">
      <c r="B372" s="295" t="s">
        <v>562</v>
      </c>
      <c r="C372" s="296">
        <v>7</v>
      </c>
      <c r="D372" s="297"/>
      <c r="E372" s="297"/>
      <c r="F372" s="298">
        <f t="shared" si="9"/>
        <v>999.13999999999987</v>
      </c>
      <c r="G372" s="299">
        <f t="shared" si="9"/>
        <v>138988</v>
      </c>
      <c r="H372" s="299">
        <f t="shared" si="10"/>
        <v>139.10763256400506</v>
      </c>
      <c r="I372" s="299">
        <f t="shared" si="11"/>
        <v>0</v>
      </c>
      <c r="J372" s="299"/>
      <c r="K372" s="299"/>
      <c r="L372" s="299">
        <f t="shared" si="12"/>
        <v>0</v>
      </c>
      <c r="M372" s="299"/>
      <c r="N372" s="299"/>
      <c r="O372" s="299"/>
    </row>
    <row r="373" spans="2:15" x14ac:dyDescent="0.2">
      <c r="B373" s="295" t="s">
        <v>562</v>
      </c>
      <c r="C373" s="296">
        <v>8</v>
      </c>
      <c r="D373" s="297"/>
      <c r="E373" s="297"/>
      <c r="F373" s="298">
        <f t="shared" si="9"/>
        <v>959.29</v>
      </c>
      <c r="G373" s="299">
        <f t="shared" si="9"/>
        <v>139276</v>
      </c>
      <c r="H373" s="299">
        <f t="shared" si="10"/>
        <v>145.18654421499235</v>
      </c>
      <c r="I373" s="299">
        <f t="shared" si="11"/>
        <v>0</v>
      </c>
      <c r="J373" s="299"/>
      <c r="K373" s="299"/>
      <c r="L373" s="299">
        <f t="shared" si="12"/>
        <v>0</v>
      </c>
      <c r="M373" s="299"/>
      <c r="N373" s="299"/>
      <c r="O373" s="299"/>
    </row>
    <row r="374" spans="2:15" x14ac:dyDescent="0.2">
      <c r="B374" s="295"/>
      <c r="C374" s="295" t="s">
        <v>577</v>
      </c>
      <c r="D374" s="300"/>
      <c r="E374" s="300"/>
      <c r="F374" s="301">
        <f t="shared" ref="F374:I374" si="13">SUM(F366:F373)</f>
        <v>7550.4147238977193</v>
      </c>
      <c r="G374" s="302">
        <f t="shared" si="13"/>
        <v>1018733</v>
      </c>
      <c r="H374" s="302">
        <f t="shared" si="10"/>
        <v>134.92411175450025</v>
      </c>
      <c r="I374" s="302">
        <f t="shared" si="13"/>
        <v>0</v>
      </c>
      <c r="J374" s="302"/>
      <c r="K374" s="302"/>
      <c r="L374" s="302">
        <f>SUM(L366:L373)</f>
        <v>0</v>
      </c>
      <c r="M374" s="302"/>
      <c r="N374" s="302"/>
      <c r="O374" s="302"/>
    </row>
    <row r="375" spans="2:15" x14ac:dyDescent="0.2">
      <c r="C375" s="303"/>
    </row>
    <row r="376" spans="2:15" x14ac:dyDescent="0.2">
      <c r="C376" s="303" t="s">
        <v>651</v>
      </c>
    </row>
    <row r="377" spans="2:15" x14ac:dyDescent="0.2">
      <c r="C377" s="303" t="s">
        <v>652</v>
      </c>
    </row>
    <row r="378" spans="2:15" x14ac:dyDescent="0.2">
      <c r="C378" s="303" t="s">
        <v>653</v>
      </c>
      <c r="D378" s="275" t="s">
        <v>654</v>
      </c>
    </row>
    <row r="379" spans="2:15" x14ac:dyDescent="0.2">
      <c r="C379" s="303" t="s">
        <v>399</v>
      </c>
      <c r="D379" s="275" t="s">
        <v>655</v>
      </c>
    </row>
    <row r="380" spans="2:15" x14ac:dyDescent="0.2">
      <c r="C380" s="303" t="s">
        <v>400</v>
      </c>
      <c r="D380" s="275" t="s">
        <v>656</v>
      </c>
    </row>
    <row r="381" spans="2:15" x14ac:dyDescent="0.2">
      <c r="C381" s="303" t="s">
        <v>401</v>
      </c>
      <c r="D381" s="275" t="s">
        <v>657</v>
      </c>
    </row>
    <row r="382" spans="2:15" x14ac:dyDescent="0.2">
      <c r="C382" s="303"/>
    </row>
    <row r="383" spans="2:15" x14ac:dyDescent="0.2">
      <c r="C383" s="303"/>
    </row>
    <row r="384" spans="2:15" x14ac:dyDescent="0.2">
      <c r="C384" s="303"/>
    </row>
    <row r="385" spans="3:3" x14ac:dyDescent="0.2">
      <c r="C385" s="303"/>
    </row>
    <row r="386" spans="3:3" x14ac:dyDescent="0.2">
      <c r="C386" s="303"/>
    </row>
    <row r="387" spans="3:3" x14ac:dyDescent="0.2">
      <c r="C387" s="303"/>
    </row>
    <row r="388" spans="3:3" x14ac:dyDescent="0.2">
      <c r="C388" s="303"/>
    </row>
    <row r="389" spans="3:3" x14ac:dyDescent="0.2">
      <c r="C389" s="303"/>
    </row>
    <row r="390" spans="3:3" x14ac:dyDescent="0.2">
      <c r="C390" s="303"/>
    </row>
    <row r="391" spans="3:3" x14ac:dyDescent="0.2">
      <c r="C391" s="303"/>
    </row>
    <row r="392" spans="3:3" x14ac:dyDescent="0.2">
      <c r="C392" s="303"/>
    </row>
    <row r="393" spans="3:3" x14ac:dyDescent="0.2">
      <c r="C393" s="303"/>
    </row>
    <row r="394" spans="3:3" x14ac:dyDescent="0.2">
      <c r="C394" s="303"/>
    </row>
    <row r="395" spans="3:3" x14ac:dyDescent="0.2">
      <c r="C395" s="303"/>
    </row>
    <row r="396" spans="3:3" x14ac:dyDescent="0.2">
      <c r="C396" s="303"/>
    </row>
    <row r="397" spans="3:3" x14ac:dyDescent="0.2">
      <c r="C397" s="303"/>
    </row>
    <row r="398" spans="3:3" x14ac:dyDescent="0.2">
      <c r="C398" s="303"/>
    </row>
    <row r="399" spans="3:3" x14ac:dyDescent="0.2">
      <c r="C399" s="303"/>
    </row>
    <row r="400" spans="3:3" x14ac:dyDescent="0.2">
      <c r="C400" s="303"/>
    </row>
    <row r="401" spans="3:3" x14ac:dyDescent="0.2">
      <c r="C401" s="303"/>
    </row>
    <row r="402" spans="3:3" x14ac:dyDescent="0.2">
      <c r="C402" s="303"/>
    </row>
    <row r="403" spans="3:3" x14ac:dyDescent="0.2">
      <c r="C403" s="303"/>
    </row>
    <row r="404" spans="3:3" x14ac:dyDescent="0.2">
      <c r="C404" s="303"/>
    </row>
    <row r="405" spans="3:3" x14ac:dyDescent="0.2">
      <c r="C405" s="303"/>
    </row>
    <row r="406" spans="3:3" x14ac:dyDescent="0.2">
      <c r="C406" s="303"/>
    </row>
    <row r="407" spans="3:3" x14ac:dyDescent="0.2">
      <c r="C407" s="303"/>
    </row>
    <row r="408" spans="3:3" x14ac:dyDescent="0.2">
      <c r="C408" s="303"/>
    </row>
    <row r="409" spans="3:3" x14ac:dyDescent="0.2">
      <c r="C409" s="303"/>
    </row>
    <row r="410" spans="3:3" x14ac:dyDescent="0.2">
      <c r="C410" s="303"/>
    </row>
    <row r="411" spans="3:3" x14ac:dyDescent="0.2">
      <c r="C411" s="303"/>
    </row>
    <row r="412" spans="3:3" x14ac:dyDescent="0.2">
      <c r="C412" s="303"/>
    </row>
    <row r="413" spans="3:3" x14ac:dyDescent="0.2">
      <c r="C413" s="303"/>
    </row>
    <row r="414" spans="3:3" x14ac:dyDescent="0.2">
      <c r="C414" s="303"/>
    </row>
    <row r="415" spans="3:3" x14ac:dyDescent="0.2">
      <c r="C415" s="303"/>
    </row>
    <row r="416" spans="3:3" x14ac:dyDescent="0.2">
      <c r="C416" s="303"/>
    </row>
    <row r="417" spans="3:3" x14ac:dyDescent="0.2">
      <c r="C417" s="303"/>
    </row>
    <row r="418" spans="3:3" x14ac:dyDescent="0.2">
      <c r="C418" s="303"/>
    </row>
    <row r="419" spans="3:3" x14ac:dyDescent="0.2">
      <c r="C419" s="303"/>
    </row>
    <row r="420" spans="3:3" x14ac:dyDescent="0.2">
      <c r="C420" s="303"/>
    </row>
    <row r="421" spans="3:3" x14ac:dyDescent="0.2">
      <c r="C421" s="303"/>
    </row>
    <row r="422" spans="3:3" x14ac:dyDescent="0.2">
      <c r="C422" s="303"/>
    </row>
    <row r="423" spans="3:3" x14ac:dyDescent="0.2">
      <c r="C423" s="303"/>
    </row>
    <row r="424" spans="3:3" x14ac:dyDescent="0.2">
      <c r="C424" s="303"/>
    </row>
    <row r="425" spans="3:3" x14ac:dyDescent="0.2">
      <c r="C425" s="303"/>
    </row>
    <row r="426" spans="3:3" x14ac:dyDescent="0.2">
      <c r="C426" s="303"/>
    </row>
    <row r="427" spans="3:3" x14ac:dyDescent="0.2">
      <c r="C427" s="303"/>
    </row>
    <row r="428" spans="3:3" x14ac:dyDescent="0.2">
      <c r="C428" s="303"/>
    </row>
    <row r="429" spans="3:3" x14ac:dyDescent="0.2">
      <c r="C429" s="303"/>
    </row>
    <row r="430" spans="3:3" x14ac:dyDescent="0.2">
      <c r="C430" s="303"/>
    </row>
    <row r="431" spans="3:3" x14ac:dyDescent="0.2">
      <c r="C431" s="303"/>
    </row>
    <row r="432" spans="3:3" x14ac:dyDescent="0.2">
      <c r="C432" s="303"/>
    </row>
    <row r="433" spans="3:3" x14ac:dyDescent="0.2">
      <c r="C433" s="303"/>
    </row>
    <row r="434" spans="3:3" x14ac:dyDescent="0.2">
      <c r="C434" s="303"/>
    </row>
    <row r="435" spans="3:3" x14ac:dyDescent="0.2">
      <c r="C435" s="303"/>
    </row>
    <row r="436" spans="3:3" x14ac:dyDescent="0.2">
      <c r="C436" s="303"/>
    </row>
    <row r="437" spans="3:3" x14ac:dyDescent="0.2">
      <c r="C437" s="303"/>
    </row>
    <row r="438" spans="3:3" x14ac:dyDescent="0.2">
      <c r="C438" s="303"/>
    </row>
    <row r="439" spans="3:3" x14ac:dyDescent="0.2">
      <c r="C439" s="303"/>
    </row>
    <row r="440" spans="3:3" x14ac:dyDescent="0.2">
      <c r="C440" s="303"/>
    </row>
    <row r="441" spans="3:3" x14ac:dyDescent="0.2">
      <c r="C441" s="303"/>
    </row>
    <row r="442" spans="3:3" x14ac:dyDescent="0.2">
      <c r="C442" s="303"/>
    </row>
    <row r="443" spans="3:3" x14ac:dyDescent="0.2">
      <c r="C443" s="303"/>
    </row>
    <row r="444" spans="3:3" x14ac:dyDescent="0.2">
      <c r="C444" s="303"/>
    </row>
    <row r="445" spans="3:3" x14ac:dyDescent="0.2">
      <c r="C445" s="303"/>
    </row>
    <row r="446" spans="3:3" x14ac:dyDescent="0.2">
      <c r="C446" s="303"/>
    </row>
    <row r="447" spans="3:3" x14ac:dyDescent="0.2">
      <c r="C447" s="303"/>
    </row>
    <row r="448" spans="3:3" x14ac:dyDescent="0.2">
      <c r="C448" s="303"/>
    </row>
    <row r="449" spans="3:3" x14ac:dyDescent="0.2">
      <c r="C449" s="303"/>
    </row>
    <row r="450" spans="3:3" x14ac:dyDescent="0.2">
      <c r="C450" s="303"/>
    </row>
    <row r="451" spans="3:3" x14ac:dyDescent="0.2">
      <c r="C451" s="303"/>
    </row>
    <row r="452" spans="3:3" x14ac:dyDescent="0.2">
      <c r="C452" s="303"/>
    </row>
    <row r="453" spans="3:3" x14ac:dyDescent="0.2">
      <c r="C453" s="303"/>
    </row>
    <row r="454" spans="3:3" x14ac:dyDescent="0.2">
      <c r="C454" s="303"/>
    </row>
    <row r="455" spans="3:3" x14ac:dyDescent="0.2">
      <c r="C455" s="303"/>
    </row>
    <row r="456" spans="3:3" x14ac:dyDescent="0.2">
      <c r="C456" s="303"/>
    </row>
    <row r="457" spans="3:3" x14ac:dyDescent="0.2">
      <c r="C457" s="303"/>
    </row>
    <row r="458" spans="3:3" x14ac:dyDescent="0.2">
      <c r="C458" s="303"/>
    </row>
    <row r="459" spans="3:3" x14ac:dyDescent="0.2">
      <c r="C459" s="303"/>
    </row>
    <row r="460" spans="3:3" x14ac:dyDescent="0.2">
      <c r="C460" s="303"/>
    </row>
    <row r="461" spans="3:3" x14ac:dyDescent="0.2">
      <c r="C461" s="303"/>
    </row>
    <row r="462" spans="3:3" x14ac:dyDescent="0.2">
      <c r="C462" s="303"/>
    </row>
    <row r="463" spans="3:3" x14ac:dyDescent="0.2">
      <c r="C463" s="303"/>
    </row>
    <row r="464" spans="3:3" x14ac:dyDescent="0.2">
      <c r="C464" s="303"/>
    </row>
    <row r="465" spans="3:3" x14ac:dyDescent="0.2">
      <c r="C465" s="303"/>
    </row>
    <row r="466" spans="3:3" x14ac:dyDescent="0.2">
      <c r="C466" s="303"/>
    </row>
    <row r="467" spans="3:3" x14ac:dyDescent="0.2">
      <c r="C467" s="303"/>
    </row>
    <row r="468" spans="3:3" x14ac:dyDescent="0.2">
      <c r="C468" s="303"/>
    </row>
    <row r="469" spans="3:3" x14ac:dyDescent="0.2">
      <c r="C469" s="303"/>
    </row>
    <row r="470" spans="3:3" x14ac:dyDescent="0.2">
      <c r="C470" s="303"/>
    </row>
    <row r="471" spans="3:3" x14ac:dyDescent="0.2">
      <c r="C471" s="303"/>
    </row>
    <row r="472" spans="3:3" x14ac:dyDescent="0.2">
      <c r="C472" s="303"/>
    </row>
    <row r="473" spans="3:3" x14ac:dyDescent="0.2">
      <c r="C473" s="303"/>
    </row>
    <row r="474" spans="3:3" x14ac:dyDescent="0.2">
      <c r="C474" s="303"/>
    </row>
    <row r="475" spans="3:3" x14ac:dyDescent="0.2">
      <c r="C475" s="303"/>
    </row>
    <row r="476" spans="3:3" x14ac:dyDescent="0.2">
      <c r="C476" s="303"/>
    </row>
    <row r="477" spans="3:3" x14ac:dyDescent="0.2">
      <c r="C477" s="303"/>
    </row>
    <row r="478" spans="3:3" x14ac:dyDescent="0.2">
      <c r="C478" s="303"/>
    </row>
    <row r="479" spans="3:3" x14ac:dyDescent="0.2">
      <c r="C479" s="303"/>
    </row>
    <row r="480" spans="3:3" x14ac:dyDescent="0.2">
      <c r="C480" s="303"/>
    </row>
    <row r="481" spans="3:3" x14ac:dyDescent="0.2">
      <c r="C481" s="303"/>
    </row>
    <row r="482" spans="3:3" x14ac:dyDescent="0.2">
      <c r="C482" s="303"/>
    </row>
    <row r="483" spans="3:3" x14ac:dyDescent="0.2">
      <c r="C483" s="303"/>
    </row>
    <row r="484" spans="3:3" x14ac:dyDescent="0.2">
      <c r="C484" s="303"/>
    </row>
    <row r="485" spans="3:3" x14ac:dyDescent="0.2">
      <c r="C485" s="303"/>
    </row>
    <row r="486" spans="3:3" x14ac:dyDescent="0.2">
      <c r="C486" s="303"/>
    </row>
    <row r="487" spans="3:3" x14ac:dyDescent="0.2">
      <c r="C487" s="303"/>
    </row>
    <row r="488" spans="3:3" x14ac:dyDescent="0.2">
      <c r="C488" s="303"/>
    </row>
    <row r="489" spans="3:3" x14ac:dyDescent="0.2">
      <c r="C489" s="303"/>
    </row>
    <row r="490" spans="3:3" x14ac:dyDescent="0.2">
      <c r="C490" s="303"/>
    </row>
    <row r="491" spans="3:3" x14ac:dyDescent="0.2">
      <c r="C491" s="303"/>
    </row>
    <row r="492" spans="3:3" x14ac:dyDescent="0.2">
      <c r="C492" s="303"/>
    </row>
    <row r="493" spans="3:3" x14ac:dyDescent="0.2">
      <c r="C493" s="303"/>
    </row>
    <row r="494" spans="3:3" x14ac:dyDescent="0.2">
      <c r="C494" s="303"/>
    </row>
    <row r="495" spans="3:3" x14ac:dyDescent="0.2">
      <c r="C495" s="303"/>
    </row>
    <row r="496" spans="3:3" x14ac:dyDescent="0.2">
      <c r="C496" s="303"/>
    </row>
    <row r="497" spans="3:3" x14ac:dyDescent="0.2">
      <c r="C497" s="303"/>
    </row>
    <row r="498" spans="3:3" x14ac:dyDescent="0.2">
      <c r="C498" s="303"/>
    </row>
    <row r="499" spans="3:3" x14ac:dyDescent="0.2">
      <c r="C499" s="303"/>
    </row>
    <row r="500" spans="3:3" x14ac:dyDescent="0.2">
      <c r="C500" s="303"/>
    </row>
    <row r="501" spans="3:3" x14ac:dyDescent="0.2">
      <c r="C501" s="303"/>
    </row>
    <row r="502" spans="3:3" x14ac:dyDescent="0.2">
      <c r="C502" s="303"/>
    </row>
    <row r="503" spans="3:3" x14ac:dyDescent="0.2">
      <c r="C503" s="303"/>
    </row>
    <row r="504" spans="3:3" x14ac:dyDescent="0.2">
      <c r="C504" s="303"/>
    </row>
    <row r="505" spans="3:3" x14ac:dyDescent="0.2">
      <c r="C505" s="303"/>
    </row>
    <row r="506" spans="3:3" x14ac:dyDescent="0.2">
      <c r="C506" s="303"/>
    </row>
    <row r="507" spans="3:3" x14ac:dyDescent="0.2">
      <c r="C507" s="303"/>
    </row>
    <row r="508" spans="3:3" x14ac:dyDescent="0.2">
      <c r="C508" s="303"/>
    </row>
    <row r="509" spans="3:3" x14ac:dyDescent="0.2">
      <c r="C509" s="303"/>
    </row>
    <row r="510" spans="3:3" x14ac:dyDescent="0.2">
      <c r="C510" s="303"/>
    </row>
    <row r="511" spans="3:3" x14ac:dyDescent="0.2">
      <c r="C511" s="303"/>
    </row>
    <row r="512" spans="3:3" x14ac:dyDescent="0.2">
      <c r="C512" s="303"/>
    </row>
    <row r="513" spans="3:3" x14ac:dyDescent="0.2">
      <c r="C513" s="303"/>
    </row>
    <row r="514" spans="3:3" x14ac:dyDescent="0.2">
      <c r="C514" s="303"/>
    </row>
    <row r="515" spans="3:3" x14ac:dyDescent="0.2">
      <c r="C515" s="303"/>
    </row>
    <row r="516" spans="3:3" x14ac:dyDescent="0.2">
      <c r="C516" s="303"/>
    </row>
    <row r="517" spans="3:3" x14ac:dyDescent="0.2">
      <c r="C517" s="303"/>
    </row>
    <row r="518" spans="3:3" x14ac:dyDescent="0.2">
      <c r="C518" s="303"/>
    </row>
    <row r="519" spans="3:3" x14ac:dyDescent="0.2">
      <c r="C519" s="303"/>
    </row>
    <row r="520" spans="3:3" x14ac:dyDescent="0.2">
      <c r="C520" s="303"/>
    </row>
    <row r="521" spans="3:3" x14ac:dyDescent="0.2">
      <c r="C521" s="303"/>
    </row>
    <row r="522" spans="3:3" x14ac:dyDescent="0.2">
      <c r="C522" s="303"/>
    </row>
    <row r="523" spans="3:3" x14ac:dyDescent="0.2">
      <c r="C523" s="303"/>
    </row>
    <row r="524" spans="3:3" x14ac:dyDescent="0.2">
      <c r="C524" s="303"/>
    </row>
    <row r="525" spans="3:3" x14ac:dyDescent="0.2">
      <c r="C525" s="303"/>
    </row>
    <row r="526" spans="3:3" x14ac:dyDescent="0.2">
      <c r="C526" s="303"/>
    </row>
    <row r="527" spans="3:3" x14ac:dyDescent="0.2">
      <c r="C527" s="303"/>
    </row>
    <row r="528" spans="3:3" x14ac:dyDescent="0.2">
      <c r="C528" s="303"/>
    </row>
    <row r="529" spans="3:3" x14ac:dyDescent="0.2">
      <c r="C529" s="303"/>
    </row>
    <row r="530" spans="3:3" x14ac:dyDescent="0.2">
      <c r="C530" s="303"/>
    </row>
    <row r="531" spans="3:3" x14ac:dyDescent="0.2">
      <c r="C531" s="303"/>
    </row>
    <row r="532" spans="3:3" x14ac:dyDescent="0.2">
      <c r="C532" s="303"/>
    </row>
    <row r="533" spans="3:3" x14ac:dyDescent="0.2">
      <c r="C533" s="303"/>
    </row>
    <row r="534" spans="3:3" x14ac:dyDescent="0.2">
      <c r="C534" s="303"/>
    </row>
    <row r="535" spans="3:3" x14ac:dyDescent="0.2">
      <c r="C535" s="303"/>
    </row>
    <row r="536" spans="3:3" x14ac:dyDescent="0.2">
      <c r="C536" s="303"/>
    </row>
    <row r="537" spans="3:3" x14ac:dyDescent="0.2">
      <c r="C537" s="303"/>
    </row>
    <row r="538" spans="3:3" x14ac:dyDescent="0.2">
      <c r="C538" s="303"/>
    </row>
    <row r="539" spans="3:3" x14ac:dyDescent="0.2">
      <c r="C539" s="303"/>
    </row>
    <row r="540" spans="3:3" x14ac:dyDescent="0.2">
      <c r="C540" s="303"/>
    </row>
    <row r="541" spans="3:3" x14ac:dyDescent="0.2">
      <c r="C541" s="303"/>
    </row>
    <row r="542" spans="3:3" x14ac:dyDescent="0.2">
      <c r="C542" s="303"/>
    </row>
    <row r="543" spans="3:3" x14ac:dyDescent="0.2">
      <c r="C543" s="303"/>
    </row>
    <row r="544" spans="3:3" x14ac:dyDescent="0.2">
      <c r="C544" s="303"/>
    </row>
    <row r="545" spans="3:3" x14ac:dyDescent="0.2">
      <c r="C545" s="303"/>
    </row>
    <row r="546" spans="3:3" x14ac:dyDescent="0.2">
      <c r="C546" s="303"/>
    </row>
    <row r="547" spans="3:3" x14ac:dyDescent="0.2">
      <c r="C547" s="303"/>
    </row>
    <row r="548" spans="3:3" x14ac:dyDescent="0.2">
      <c r="C548" s="303"/>
    </row>
    <row r="549" spans="3:3" x14ac:dyDescent="0.2">
      <c r="C549" s="303"/>
    </row>
    <row r="550" spans="3:3" x14ac:dyDescent="0.2">
      <c r="C550" s="303"/>
    </row>
    <row r="551" spans="3:3" x14ac:dyDescent="0.2">
      <c r="C551" s="303"/>
    </row>
    <row r="552" spans="3:3" x14ac:dyDescent="0.2">
      <c r="C552" s="303"/>
    </row>
    <row r="553" spans="3:3" x14ac:dyDescent="0.2">
      <c r="C553" s="303"/>
    </row>
    <row r="554" spans="3:3" x14ac:dyDescent="0.2">
      <c r="C554" s="303"/>
    </row>
    <row r="555" spans="3:3" x14ac:dyDescent="0.2">
      <c r="C555" s="303"/>
    </row>
    <row r="556" spans="3:3" x14ac:dyDescent="0.2">
      <c r="C556" s="303"/>
    </row>
    <row r="557" spans="3:3" x14ac:dyDescent="0.2">
      <c r="C557" s="303"/>
    </row>
    <row r="558" spans="3:3" x14ac:dyDescent="0.2">
      <c r="C558" s="303"/>
    </row>
    <row r="559" spans="3:3" x14ac:dyDescent="0.2">
      <c r="C559" s="303"/>
    </row>
    <row r="560" spans="3:3" x14ac:dyDescent="0.2">
      <c r="C560" s="303"/>
    </row>
    <row r="561" spans="3:3" x14ac:dyDescent="0.2">
      <c r="C561" s="303"/>
    </row>
    <row r="562" spans="3:3" x14ac:dyDescent="0.2">
      <c r="C562" s="303"/>
    </row>
    <row r="563" spans="3:3" x14ac:dyDescent="0.2">
      <c r="C563" s="303"/>
    </row>
    <row r="564" spans="3:3" x14ac:dyDescent="0.2">
      <c r="C564" s="303"/>
    </row>
    <row r="565" spans="3:3" x14ac:dyDescent="0.2">
      <c r="C565" s="303"/>
    </row>
    <row r="566" spans="3:3" x14ac:dyDescent="0.2">
      <c r="C566" s="303"/>
    </row>
    <row r="567" spans="3:3" x14ac:dyDescent="0.2">
      <c r="C567" s="303"/>
    </row>
    <row r="568" spans="3:3" x14ac:dyDescent="0.2">
      <c r="C568" s="303"/>
    </row>
    <row r="569" spans="3:3" x14ac:dyDescent="0.2">
      <c r="C569" s="303"/>
    </row>
    <row r="570" spans="3:3" x14ac:dyDescent="0.2">
      <c r="C570" s="303"/>
    </row>
    <row r="571" spans="3:3" x14ac:dyDescent="0.2">
      <c r="C571" s="303"/>
    </row>
    <row r="572" spans="3:3" x14ac:dyDescent="0.2">
      <c r="C572" s="303"/>
    </row>
    <row r="573" spans="3:3" x14ac:dyDescent="0.2">
      <c r="C573" s="303"/>
    </row>
    <row r="574" spans="3:3" x14ac:dyDescent="0.2">
      <c r="C574" s="303"/>
    </row>
    <row r="575" spans="3:3" x14ac:dyDescent="0.2">
      <c r="C575" s="303"/>
    </row>
    <row r="576" spans="3:3" x14ac:dyDescent="0.2">
      <c r="C576" s="303"/>
    </row>
    <row r="577" spans="3:3" x14ac:dyDescent="0.2">
      <c r="C577" s="303"/>
    </row>
    <row r="578" spans="3:3" x14ac:dyDescent="0.2">
      <c r="C578" s="303"/>
    </row>
    <row r="579" spans="3:3" x14ac:dyDescent="0.2">
      <c r="C579" s="303"/>
    </row>
    <row r="580" spans="3:3" x14ac:dyDescent="0.2">
      <c r="C580" s="303"/>
    </row>
    <row r="581" spans="3:3" x14ac:dyDescent="0.2">
      <c r="C581" s="303"/>
    </row>
    <row r="582" spans="3:3" x14ac:dyDescent="0.2">
      <c r="C582" s="303"/>
    </row>
    <row r="583" spans="3:3" x14ac:dyDescent="0.2">
      <c r="C583" s="303"/>
    </row>
    <row r="584" spans="3:3" x14ac:dyDescent="0.2">
      <c r="C584" s="303"/>
    </row>
    <row r="585" spans="3:3" x14ac:dyDescent="0.2">
      <c r="C585" s="303"/>
    </row>
    <row r="586" spans="3:3" x14ac:dyDescent="0.2">
      <c r="C586" s="303"/>
    </row>
    <row r="587" spans="3:3" x14ac:dyDescent="0.2">
      <c r="C587" s="303"/>
    </row>
    <row r="588" spans="3:3" x14ac:dyDescent="0.2">
      <c r="C588" s="303"/>
    </row>
    <row r="589" spans="3:3" x14ac:dyDescent="0.2">
      <c r="C589" s="303"/>
    </row>
    <row r="590" spans="3:3" x14ac:dyDescent="0.2">
      <c r="C590" s="303"/>
    </row>
    <row r="591" spans="3:3" x14ac:dyDescent="0.2">
      <c r="C591" s="303"/>
    </row>
    <row r="592" spans="3:3" x14ac:dyDescent="0.2">
      <c r="C592" s="303"/>
    </row>
    <row r="593" spans="3:3" x14ac:dyDescent="0.2">
      <c r="C593" s="303"/>
    </row>
    <row r="594" spans="3:3" x14ac:dyDescent="0.2">
      <c r="C594" s="303"/>
    </row>
    <row r="595" spans="3:3" x14ac:dyDescent="0.2">
      <c r="C595" s="303"/>
    </row>
    <row r="596" spans="3:3" x14ac:dyDescent="0.2">
      <c r="C596" s="303"/>
    </row>
    <row r="597" spans="3:3" x14ac:dyDescent="0.2">
      <c r="C597" s="303"/>
    </row>
    <row r="598" spans="3:3" x14ac:dyDescent="0.2">
      <c r="C598" s="303"/>
    </row>
    <row r="599" spans="3:3" x14ac:dyDescent="0.2">
      <c r="C599" s="303"/>
    </row>
    <row r="600" spans="3:3" x14ac:dyDescent="0.2">
      <c r="C600" s="303"/>
    </row>
    <row r="601" spans="3:3" x14ac:dyDescent="0.2">
      <c r="C601" s="303"/>
    </row>
    <row r="602" spans="3:3" x14ac:dyDescent="0.2">
      <c r="C602" s="303"/>
    </row>
    <row r="603" spans="3:3" x14ac:dyDescent="0.2">
      <c r="C603" s="303"/>
    </row>
    <row r="604" spans="3:3" x14ac:dyDescent="0.2">
      <c r="C604" s="303"/>
    </row>
    <row r="605" spans="3:3" x14ac:dyDescent="0.2">
      <c r="C605" s="303"/>
    </row>
    <row r="606" spans="3:3" x14ac:dyDescent="0.2">
      <c r="C606" s="303"/>
    </row>
    <row r="607" spans="3:3" x14ac:dyDescent="0.2">
      <c r="C607" s="303"/>
    </row>
    <row r="608" spans="3:3" x14ac:dyDescent="0.2">
      <c r="C608" s="303"/>
    </row>
    <row r="609" spans="3:3" x14ac:dyDescent="0.2">
      <c r="C609" s="303"/>
    </row>
    <row r="610" spans="3:3" x14ac:dyDescent="0.2">
      <c r="C610" s="303"/>
    </row>
    <row r="611" spans="3:3" x14ac:dyDescent="0.2">
      <c r="C611" s="303"/>
    </row>
    <row r="612" spans="3:3" x14ac:dyDescent="0.2">
      <c r="C612" s="303"/>
    </row>
    <row r="613" spans="3:3" x14ac:dyDescent="0.2">
      <c r="C613" s="303"/>
    </row>
    <row r="614" spans="3:3" x14ac:dyDescent="0.2">
      <c r="C614" s="303"/>
    </row>
    <row r="615" spans="3:3" x14ac:dyDescent="0.2">
      <c r="C615" s="303"/>
    </row>
    <row r="616" spans="3:3" x14ac:dyDescent="0.2">
      <c r="C616" s="303"/>
    </row>
    <row r="617" spans="3:3" x14ac:dyDescent="0.2">
      <c r="C617" s="303"/>
    </row>
    <row r="618" spans="3:3" x14ac:dyDescent="0.2">
      <c r="C618" s="303"/>
    </row>
    <row r="619" spans="3:3" x14ac:dyDescent="0.2">
      <c r="C619" s="303"/>
    </row>
    <row r="620" spans="3:3" x14ac:dyDescent="0.2">
      <c r="C620" s="303"/>
    </row>
    <row r="621" spans="3:3" x14ac:dyDescent="0.2">
      <c r="C621" s="303"/>
    </row>
    <row r="622" spans="3:3" x14ac:dyDescent="0.2">
      <c r="C622" s="303"/>
    </row>
    <row r="623" spans="3:3" x14ac:dyDescent="0.2">
      <c r="C623" s="303"/>
    </row>
    <row r="624" spans="3:3" x14ac:dyDescent="0.2">
      <c r="C624" s="303"/>
    </row>
    <row r="625" spans="3:3" x14ac:dyDescent="0.2">
      <c r="C625" s="303"/>
    </row>
    <row r="626" spans="3:3" x14ac:dyDescent="0.2">
      <c r="C626" s="303"/>
    </row>
    <row r="627" spans="3:3" x14ac:dyDescent="0.2">
      <c r="C627" s="303"/>
    </row>
    <row r="628" spans="3:3" x14ac:dyDescent="0.2">
      <c r="C628" s="303"/>
    </row>
    <row r="629" spans="3:3" x14ac:dyDescent="0.2">
      <c r="C629" s="303"/>
    </row>
    <row r="630" spans="3:3" x14ac:dyDescent="0.2">
      <c r="C630" s="303"/>
    </row>
    <row r="631" spans="3:3" x14ac:dyDescent="0.2">
      <c r="C631" s="303"/>
    </row>
    <row r="632" spans="3:3" x14ac:dyDescent="0.2">
      <c r="C632" s="303"/>
    </row>
    <row r="633" spans="3:3" x14ac:dyDescent="0.2">
      <c r="C633" s="303"/>
    </row>
    <row r="634" spans="3:3" x14ac:dyDescent="0.2">
      <c r="C634" s="303"/>
    </row>
    <row r="635" spans="3:3" x14ac:dyDescent="0.2">
      <c r="C635" s="303"/>
    </row>
    <row r="636" spans="3:3" x14ac:dyDescent="0.2">
      <c r="C636" s="303"/>
    </row>
    <row r="637" spans="3:3" x14ac:dyDescent="0.2">
      <c r="C637" s="303"/>
    </row>
    <row r="638" spans="3:3" x14ac:dyDescent="0.2">
      <c r="C638" s="303"/>
    </row>
    <row r="639" spans="3:3" x14ac:dyDescent="0.2">
      <c r="C639" s="303"/>
    </row>
    <row r="640" spans="3:3" x14ac:dyDescent="0.2">
      <c r="C640" s="303"/>
    </row>
    <row r="641" spans="3:3" x14ac:dyDescent="0.2">
      <c r="C641" s="303"/>
    </row>
    <row r="642" spans="3:3" x14ac:dyDescent="0.2">
      <c r="C642" s="303"/>
    </row>
    <row r="643" spans="3:3" x14ac:dyDescent="0.2">
      <c r="C643" s="303"/>
    </row>
    <row r="644" spans="3:3" x14ac:dyDescent="0.2">
      <c r="C644" s="303"/>
    </row>
    <row r="645" spans="3:3" x14ac:dyDescent="0.2">
      <c r="C645" s="303"/>
    </row>
    <row r="646" spans="3:3" x14ac:dyDescent="0.2">
      <c r="C646" s="303"/>
    </row>
    <row r="647" spans="3:3" x14ac:dyDescent="0.2">
      <c r="C647" s="303"/>
    </row>
    <row r="648" spans="3:3" x14ac:dyDescent="0.2">
      <c r="C648" s="303"/>
    </row>
    <row r="649" spans="3:3" x14ac:dyDescent="0.2">
      <c r="C649" s="303"/>
    </row>
    <row r="650" spans="3:3" x14ac:dyDescent="0.2">
      <c r="C650" s="303"/>
    </row>
    <row r="651" spans="3:3" x14ac:dyDescent="0.2">
      <c r="C651" s="303"/>
    </row>
    <row r="652" spans="3:3" x14ac:dyDescent="0.2">
      <c r="C652" s="303"/>
    </row>
    <row r="653" spans="3:3" x14ac:dyDescent="0.2">
      <c r="C653" s="303"/>
    </row>
    <row r="654" spans="3:3" x14ac:dyDescent="0.2">
      <c r="C654" s="303"/>
    </row>
    <row r="655" spans="3:3" x14ac:dyDescent="0.2">
      <c r="C655" s="303"/>
    </row>
    <row r="656" spans="3:3" x14ac:dyDescent="0.2">
      <c r="C656" s="303"/>
    </row>
    <row r="657" spans="3:3" x14ac:dyDescent="0.2">
      <c r="C657" s="303"/>
    </row>
    <row r="658" spans="3:3" x14ac:dyDescent="0.2">
      <c r="C658" s="303"/>
    </row>
    <row r="659" spans="3:3" x14ac:dyDescent="0.2">
      <c r="C659" s="303"/>
    </row>
    <row r="660" spans="3:3" x14ac:dyDescent="0.2">
      <c r="C660" s="303"/>
    </row>
    <row r="661" spans="3:3" x14ac:dyDescent="0.2">
      <c r="C661" s="303"/>
    </row>
    <row r="662" spans="3:3" x14ac:dyDescent="0.2">
      <c r="C662" s="303"/>
    </row>
    <row r="663" spans="3:3" x14ac:dyDescent="0.2">
      <c r="C663" s="303"/>
    </row>
    <row r="664" spans="3:3" x14ac:dyDescent="0.2">
      <c r="C664" s="303"/>
    </row>
    <row r="665" spans="3:3" x14ac:dyDescent="0.2">
      <c r="C665" s="303"/>
    </row>
    <row r="666" spans="3:3" x14ac:dyDescent="0.2">
      <c r="C666" s="303"/>
    </row>
    <row r="667" spans="3:3" x14ac:dyDescent="0.2">
      <c r="C667" s="303"/>
    </row>
    <row r="668" spans="3:3" x14ac:dyDescent="0.2">
      <c r="C668" s="303"/>
    </row>
    <row r="669" spans="3:3" x14ac:dyDescent="0.2">
      <c r="C669" s="303"/>
    </row>
    <row r="670" spans="3:3" x14ac:dyDescent="0.2">
      <c r="C670" s="303"/>
    </row>
    <row r="671" spans="3:3" x14ac:dyDescent="0.2">
      <c r="C671" s="303"/>
    </row>
    <row r="672" spans="3:3" x14ac:dyDescent="0.2">
      <c r="C672" s="303"/>
    </row>
    <row r="673" spans="3:3" x14ac:dyDescent="0.2">
      <c r="C673" s="303"/>
    </row>
    <row r="674" spans="3:3" x14ac:dyDescent="0.2">
      <c r="C674" s="303"/>
    </row>
    <row r="675" spans="3:3" x14ac:dyDescent="0.2">
      <c r="C675" s="303"/>
    </row>
    <row r="676" spans="3:3" x14ac:dyDescent="0.2">
      <c r="C676" s="303"/>
    </row>
    <row r="677" spans="3:3" x14ac:dyDescent="0.2">
      <c r="C677" s="303"/>
    </row>
    <row r="678" spans="3:3" x14ac:dyDescent="0.2">
      <c r="C678" s="303"/>
    </row>
    <row r="679" spans="3:3" x14ac:dyDescent="0.2">
      <c r="C679" s="303"/>
    </row>
    <row r="680" spans="3:3" x14ac:dyDescent="0.2">
      <c r="C680" s="303"/>
    </row>
    <row r="681" spans="3:3" x14ac:dyDescent="0.2">
      <c r="C681" s="303"/>
    </row>
    <row r="682" spans="3:3" x14ac:dyDescent="0.2">
      <c r="C682" s="303"/>
    </row>
    <row r="683" spans="3:3" x14ac:dyDescent="0.2">
      <c r="C683" s="303"/>
    </row>
    <row r="684" spans="3:3" x14ac:dyDescent="0.2">
      <c r="C684" s="303"/>
    </row>
    <row r="685" spans="3:3" x14ac:dyDescent="0.2">
      <c r="C685" s="303"/>
    </row>
    <row r="686" spans="3:3" x14ac:dyDescent="0.2">
      <c r="C686" s="303"/>
    </row>
    <row r="687" spans="3:3" x14ac:dyDescent="0.2">
      <c r="C687" s="303"/>
    </row>
    <row r="688" spans="3:3" x14ac:dyDescent="0.2">
      <c r="C688" s="303"/>
    </row>
    <row r="689" spans="3:3" x14ac:dyDescent="0.2">
      <c r="C689" s="303"/>
    </row>
    <row r="690" spans="3:3" x14ac:dyDescent="0.2">
      <c r="C690" s="303"/>
    </row>
    <row r="691" spans="3:3" x14ac:dyDescent="0.2">
      <c r="C691" s="303"/>
    </row>
    <row r="692" spans="3:3" x14ac:dyDescent="0.2">
      <c r="C692" s="303"/>
    </row>
    <row r="693" spans="3:3" x14ac:dyDescent="0.2">
      <c r="C693" s="303"/>
    </row>
    <row r="694" spans="3:3" x14ac:dyDescent="0.2">
      <c r="C694" s="303"/>
    </row>
    <row r="695" spans="3:3" x14ac:dyDescent="0.2">
      <c r="C695" s="303"/>
    </row>
    <row r="696" spans="3:3" x14ac:dyDescent="0.2">
      <c r="C696" s="303"/>
    </row>
    <row r="697" spans="3:3" x14ac:dyDescent="0.2">
      <c r="C697" s="303"/>
    </row>
    <row r="698" spans="3:3" x14ac:dyDescent="0.2">
      <c r="C698" s="303"/>
    </row>
    <row r="699" spans="3:3" x14ac:dyDescent="0.2">
      <c r="C699" s="303"/>
    </row>
    <row r="700" spans="3:3" x14ac:dyDescent="0.2">
      <c r="C700" s="303"/>
    </row>
    <row r="701" spans="3:3" x14ac:dyDescent="0.2">
      <c r="C701" s="303"/>
    </row>
    <row r="702" spans="3:3" x14ac:dyDescent="0.2">
      <c r="C702" s="303"/>
    </row>
    <row r="703" spans="3:3" x14ac:dyDescent="0.2">
      <c r="C703" s="303"/>
    </row>
    <row r="704" spans="3:3" x14ac:dyDescent="0.2">
      <c r="C704" s="303"/>
    </row>
    <row r="705" spans="3:3" x14ac:dyDescent="0.2">
      <c r="C705" s="303"/>
    </row>
    <row r="706" spans="3:3" x14ac:dyDescent="0.2">
      <c r="C706" s="303"/>
    </row>
    <row r="707" spans="3:3" x14ac:dyDescent="0.2">
      <c r="C707" s="303"/>
    </row>
    <row r="708" spans="3:3" x14ac:dyDescent="0.2">
      <c r="C708" s="303"/>
    </row>
    <row r="709" spans="3:3" x14ac:dyDescent="0.2">
      <c r="C709" s="303"/>
    </row>
    <row r="710" spans="3:3" x14ac:dyDescent="0.2">
      <c r="C710" s="303"/>
    </row>
    <row r="711" spans="3:3" x14ac:dyDescent="0.2">
      <c r="C711" s="303"/>
    </row>
    <row r="712" spans="3:3" x14ac:dyDescent="0.2">
      <c r="C712" s="303"/>
    </row>
    <row r="713" spans="3:3" x14ac:dyDescent="0.2">
      <c r="C713" s="303"/>
    </row>
    <row r="714" spans="3:3" x14ac:dyDescent="0.2">
      <c r="C714" s="303"/>
    </row>
    <row r="715" spans="3:3" x14ac:dyDescent="0.2">
      <c r="C715" s="303"/>
    </row>
    <row r="716" spans="3:3" x14ac:dyDescent="0.2">
      <c r="C716" s="303"/>
    </row>
    <row r="717" spans="3:3" x14ac:dyDescent="0.2">
      <c r="C717" s="303"/>
    </row>
    <row r="718" spans="3:3" x14ac:dyDescent="0.2">
      <c r="C718" s="303"/>
    </row>
    <row r="719" spans="3:3" x14ac:dyDescent="0.2">
      <c r="C719" s="303"/>
    </row>
    <row r="720" spans="3:3" x14ac:dyDescent="0.2">
      <c r="C720" s="303"/>
    </row>
    <row r="721" spans="3:3" x14ac:dyDescent="0.2">
      <c r="C721" s="303"/>
    </row>
    <row r="722" spans="3:3" x14ac:dyDescent="0.2">
      <c r="C722" s="303"/>
    </row>
  </sheetData>
  <mergeCells count="13">
    <mergeCell ref="D1:F1"/>
    <mergeCell ref="B4:B6"/>
    <mergeCell ref="C4:C6"/>
    <mergeCell ref="D4:D6"/>
    <mergeCell ref="E4:E6"/>
    <mergeCell ref="F4:F6"/>
    <mergeCell ref="G4:G6"/>
    <mergeCell ref="H4:H6"/>
    <mergeCell ref="I4:O4"/>
    <mergeCell ref="I5:I6"/>
    <mergeCell ref="J5:J6"/>
    <mergeCell ref="K5:N5"/>
    <mergeCell ref="O5:O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V433"/>
  <sheetViews>
    <sheetView tabSelected="1" zoomScale="85" zoomScaleNormal="85" workbookViewId="0">
      <pane xSplit="10" ySplit="9" topLeftCell="K10" activePane="bottomRight" state="frozen"/>
      <selection activeCell="AD391" sqref="AD391:AD430"/>
      <selection pane="topRight" activeCell="AD391" sqref="AD391:AD430"/>
      <selection pane="bottomLeft" activeCell="AD391" sqref="AD391:AD430"/>
      <selection pane="bottomRight" activeCell="AB54" sqref="AB54"/>
    </sheetView>
  </sheetViews>
  <sheetFormatPr baseColWidth="10" defaultColWidth="8.83203125" defaultRowHeight="15" x14ac:dyDescent="0.2"/>
  <cols>
    <col min="4" max="4" width="9.5" bestFit="1" customWidth="1"/>
    <col min="5" max="5" width="9.5" customWidth="1"/>
    <col min="6" max="9" width="9.1640625" customWidth="1"/>
    <col min="10" max="10" width="11.83203125" customWidth="1"/>
    <col min="11" max="11" width="9.1640625" customWidth="1"/>
    <col min="260" max="260" width="9.5" bestFit="1" customWidth="1"/>
    <col min="261" max="261" width="9.5" customWidth="1"/>
    <col min="262" max="265" width="9.1640625" customWidth="1"/>
    <col min="266" max="266" width="11.83203125" customWidth="1"/>
    <col min="267" max="267" width="9.1640625" customWidth="1"/>
    <col min="516" max="516" width="9.5" bestFit="1" customWidth="1"/>
    <col min="517" max="517" width="9.5" customWidth="1"/>
    <col min="518" max="521" width="9.1640625" customWidth="1"/>
    <col min="522" max="522" width="11.83203125" customWidth="1"/>
    <col min="523" max="523" width="9.1640625" customWidth="1"/>
    <col min="772" max="772" width="9.5" bestFit="1" customWidth="1"/>
    <col min="773" max="773" width="9.5" customWidth="1"/>
    <col min="774" max="777" width="9.1640625" customWidth="1"/>
    <col min="778" max="778" width="11.83203125" customWidth="1"/>
    <col min="779" max="779" width="9.1640625" customWidth="1"/>
    <col min="1028" max="1028" width="9.5" bestFit="1" customWidth="1"/>
    <col min="1029" max="1029" width="9.5" customWidth="1"/>
    <col min="1030" max="1033" width="9.1640625" customWidth="1"/>
    <col min="1034" max="1034" width="11.83203125" customWidth="1"/>
    <col min="1035" max="1035" width="9.1640625" customWidth="1"/>
    <col min="1284" max="1284" width="9.5" bestFit="1" customWidth="1"/>
    <col min="1285" max="1285" width="9.5" customWidth="1"/>
    <col min="1286" max="1289" width="9.1640625" customWidth="1"/>
    <col min="1290" max="1290" width="11.83203125" customWidth="1"/>
    <col min="1291" max="1291" width="9.1640625" customWidth="1"/>
    <col min="1540" max="1540" width="9.5" bestFit="1" customWidth="1"/>
    <col min="1541" max="1541" width="9.5" customWidth="1"/>
    <col min="1542" max="1545" width="9.1640625" customWidth="1"/>
    <col min="1546" max="1546" width="11.83203125" customWidth="1"/>
    <col min="1547" max="1547" width="9.1640625" customWidth="1"/>
    <col min="1796" max="1796" width="9.5" bestFit="1" customWidth="1"/>
    <col min="1797" max="1797" width="9.5" customWidth="1"/>
    <col min="1798" max="1801" width="9.1640625" customWidth="1"/>
    <col min="1802" max="1802" width="11.83203125" customWidth="1"/>
    <col min="1803" max="1803" width="9.1640625" customWidth="1"/>
    <col min="2052" max="2052" width="9.5" bestFit="1" customWidth="1"/>
    <col min="2053" max="2053" width="9.5" customWidth="1"/>
    <col min="2054" max="2057" width="9.1640625" customWidth="1"/>
    <col min="2058" max="2058" width="11.83203125" customWidth="1"/>
    <col min="2059" max="2059" width="9.1640625" customWidth="1"/>
    <col min="2308" max="2308" width="9.5" bestFit="1" customWidth="1"/>
    <col min="2309" max="2309" width="9.5" customWidth="1"/>
    <col min="2310" max="2313" width="9.1640625" customWidth="1"/>
    <col min="2314" max="2314" width="11.83203125" customWidth="1"/>
    <col min="2315" max="2315" width="9.1640625" customWidth="1"/>
    <col min="2564" max="2564" width="9.5" bestFit="1" customWidth="1"/>
    <col min="2565" max="2565" width="9.5" customWidth="1"/>
    <col min="2566" max="2569" width="9.1640625" customWidth="1"/>
    <col min="2570" max="2570" width="11.83203125" customWidth="1"/>
    <col min="2571" max="2571" width="9.1640625" customWidth="1"/>
    <col min="2820" max="2820" width="9.5" bestFit="1" customWidth="1"/>
    <col min="2821" max="2821" width="9.5" customWidth="1"/>
    <col min="2822" max="2825" width="9.1640625" customWidth="1"/>
    <col min="2826" max="2826" width="11.83203125" customWidth="1"/>
    <col min="2827" max="2827" width="9.1640625" customWidth="1"/>
    <col min="3076" max="3076" width="9.5" bestFit="1" customWidth="1"/>
    <col min="3077" max="3077" width="9.5" customWidth="1"/>
    <col min="3078" max="3081" width="9.1640625" customWidth="1"/>
    <col min="3082" max="3082" width="11.83203125" customWidth="1"/>
    <col min="3083" max="3083" width="9.1640625" customWidth="1"/>
    <col min="3332" max="3332" width="9.5" bestFit="1" customWidth="1"/>
    <col min="3333" max="3333" width="9.5" customWidth="1"/>
    <col min="3334" max="3337" width="9.1640625" customWidth="1"/>
    <col min="3338" max="3338" width="11.83203125" customWidth="1"/>
    <col min="3339" max="3339" width="9.1640625" customWidth="1"/>
    <col min="3588" max="3588" width="9.5" bestFit="1" customWidth="1"/>
    <col min="3589" max="3589" width="9.5" customWidth="1"/>
    <col min="3590" max="3593" width="9.1640625" customWidth="1"/>
    <col min="3594" max="3594" width="11.83203125" customWidth="1"/>
    <col min="3595" max="3595" width="9.1640625" customWidth="1"/>
    <col min="3844" max="3844" width="9.5" bestFit="1" customWidth="1"/>
    <col min="3845" max="3845" width="9.5" customWidth="1"/>
    <col min="3846" max="3849" width="9.1640625" customWidth="1"/>
    <col min="3850" max="3850" width="11.83203125" customWidth="1"/>
    <col min="3851" max="3851" width="9.1640625" customWidth="1"/>
    <col min="4100" max="4100" width="9.5" bestFit="1" customWidth="1"/>
    <col min="4101" max="4101" width="9.5" customWidth="1"/>
    <col min="4102" max="4105" width="9.1640625" customWidth="1"/>
    <col min="4106" max="4106" width="11.83203125" customWidth="1"/>
    <col min="4107" max="4107" width="9.1640625" customWidth="1"/>
    <col min="4356" max="4356" width="9.5" bestFit="1" customWidth="1"/>
    <col min="4357" max="4357" width="9.5" customWidth="1"/>
    <col min="4358" max="4361" width="9.1640625" customWidth="1"/>
    <col min="4362" max="4362" width="11.83203125" customWidth="1"/>
    <col min="4363" max="4363" width="9.1640625" customWidth="1"/>
    <col min="4612" max="4612" width="9.5" bestFit="1" customWidth="1"/>
    <col min="4613" max="4613" width="9.5" customWidth="1"/>
    <col min="4614" max="4617" width="9.1640625" customWidth="1"/>
    <col min="4618" max="4618" width="11.83203125" customWidth="1"/>
    <col min="4619" max="4619" width="9.1640625" customWidth="1"/>
    <col min="4868" max="4868" width="9.5" bestFit="1" customWidth="1"/>
    <col min="4869" max="4869" width="9.5" customWidth="1"/>
    <col min="4870" max="4873" width="9.1640625" customWidth="1"/>
    <col min="4874" max="4874" width="11.83203125" customWidth="1"/>
    <col min="4875" max="4875" width="9.1640625" customWidth="1"/>
    <col min="5124" max="5124" width="9.5" bestFit="1" customWidth="1"/>
    <col min="5125" max="5125" width="9.5" customWidth="1"/>
    <col min="5126" max="5129" width="9.1640625" customWidth="1"/>
    <col min="5130" max="5130" width="11.83203125" customWidth="1"/>
    <col min="5131" max="5131" width="9.1640625" customWidth="1"/>
    <col min="5380" max="5380" width="9.5" bestFit="1" customWidth="1"/>
    <col min="5381" max="5381" width="9.5" customWidth="1"/>
    <col min="5382" max="5385" width="9.1640625" customWidth="1"/>
    <col min="5386" max="5386" width="11.83203125" customWidth="1"/>
    <col min="5387" max="5387" width="9.1640625" customWidth="1"/>
    <col min="5636" max="5636" width="9.5" bestFit="1" customWidth="1"/>
    <col min="5637" max="5637" width="9.5" customWidth="1"/>
    <col min="5638" max="5641" width="9.1640625" customWidth="1"/>
    <col min="5642" max="5642" width="11.83203125" customWidth="1"/>
    <col min="5643" max="5643" width="9.1640625" customWidth="1"/>
    <col min="5892" max="5892" width="9.5" bestFit="1" customWidth="1"/>
    <col min="5893" max="5893" width="9.5" customWidth="1"/>
    <col min="5894" max="5897" width="9.1640625" customWidth="1"/>
    <col min="5898" max="5898" width="11.83203125" customWidth="1"/>
    <col min="5899" max="5899" width="9.1640625" customWidth="1"/>
    <col min="6148" max="6148" width="9.5" bestFit="1" customWidth="1"/>
    <col min="6149" max="6149" width="9.5" customWidth="1"/>
    <col min="6150" max="6153" width="9.1640625" customWidth="1"/>
    <col min="6154" max="6154" width="11.83203125" customWidth="1"/>
    <col min="6155" max="6155" width="9.1640625" customWidth="1"/>
    <col min="6404" max="6404" width="9.5" bestFit="1" customWidth="1"/>
    <col min="6405" max="6405" width="9.5" customWidth="1"/>
    <col min="6406" max="6409" width="9.1640625" customWidth="1"/>
    <col min="6410" max="6410" width="11.83203125" customWidth="1"/>
    <col min="6411" max="6411" width="9.1640625" customWidth="1"/>
    <col min="6660" max="6660" width="9.5" bestFit="1" customWidth="1"/>
    <col min="6661" max="6661" width="9.5" customWidth="1"/>
    <col min="6662" max="6665" width="9.1640625" customWidth="1"/>
    <col min="6666" max="6666" width="11.83203125" customWidth="1"/>
    <col min="6667" max="6667" width="9.1640625" customWidth="1"/>
    <col min="6916" max="6916" width="9.5" bestFit="1" customWidth="1"/>
    <col min="6917" max="6917" width="9.5" customWidth="1"/>
    <col min="6918" max="6921" width="9.1640625" customWidth="1"/>
    <col min="6922" max="6922" width="11.83203125" customWidth="1"/>
    <col min="6923" max="6923" width="9.1640625" customWidth="1"/>
    <col min="7172" max="7172" width="9.5" bestFit="1" customWidth="1"/>
    <col min="7173" max="7173" width="9.5" customWidth="1"/>
    <col min="7174" max="7177" width="9.1640625" customWidth="1"/>
    <col min="7178" max="7178" width="11.83203125" customWidth="1"/>
    <col min="7179" max="7179" width="9.1640625" customWidth="1"/>
    <col min="7428" max="7428" width="9.5" bestFit="1" customWidth="1"/>
    <col min="7429" max="7429" width="9.5" customWidth="1"/>
    <col min="7430" max="7433" width="9.1640625" customWidth="1"/>
    <col min="7434" max="7434" width="11.83203125" customWidth="1"/>
    <col min="7435" max="7435" width="9.1640625" customWidth="1"/>
    <col min="7684" max="7684" width="9.5" bestFit="1" customWidth="1"/>
    <col min="7685" max="7685" width="9.5" customWidth="1"/>
    <col min="7686" max="7689" width="9.1640625" customWidth="1"/>
    <col min="7690" max="7690" width="11.83203125" customWidth="1"/>
    <col min="7691" max="7691" width="9.1640625" customWidth="1"/>
    <col min="7940" max="7940" width="9.5" bestFit="1" customWidth="1"/>
    <col min="7941" max="7941" width="9.5" customWidth="1"/>
    <col min="7942" max="7945" width="9.1640625" customWidth="1"/>
    <col min="7946" max="7946" width="11.83203125" customWidth="1"/>
    <col min="7947" max="7947" width="9.1640625" customWidth="1"/>
    <col min="8196" max="8196" width="9.5" bestFit="1" customWidth="1"/>
    <col min="8197" max="8197" width="9.5" customWidth="1"/>
    <col min="8198" max="8201" width="9.1640625" customWidth="1"/>
    <col min="8202" max="8202" width="11.83203125" customWidth="1"/>
    <col min="8203" max="8203" width="9.1640625" customWidth="1"/>
    <col min="8452" max="8452" width="9.5" bestFit="1" customWidth="1"/>
    <col min="8453" max="8453" width="9.5" customWidth="1"/>
    <col min="8454" max="8457" width="9.1640625" customWidth="1"/>
    <col min="8458" max="8458" width="11.83203125" customWidth="1"/>
    <col min="8459" max="8459" width="9.1640625" customWidth="1"/>
    <col min="8708" max="8708" width="9.5" bestFit="1" customWidth="1"/>
    <col min="8709" max="8709" width="9.5" customWidth="1"/>
    <col min="8710" max="8713" width="9.1640625" customWidth="1"/>
    <col min="8714" max="8714" width="11.83203125" customWidth="1"/>
    <col min="8715" max="8715" width="9.1640625" customWidth="1"/>
    <col min="8964" max="8964" width="9.5" bestFit="1" customWidth="1"/>
    <col min="8965" max="8965" width="9.5" customWidth="1"/>
    <col min="8966" max="8969" width="9.1640625" customWidth="1"/>
    <col min="8970" max="8970" width="11.83203125" customWidth="1"/>
    <col min="8971" max="8971" width="9.1640625" customWidth="1"/>
    <col min="9220" max="9220" width="9.5" bestFit="1" customWidth="1"/>
    <col min="9221" max="9221" width="9.5" customWidth="1"/>
    <col min="9222" max="9225" width="9.1640625" customWidth="1"/>
    <col min="9226" max="9226" width="11.83203125" customWidth="1"/>
    <col min="9227" max="9227" width="9.1640625" customWidth="1"/>
    <col min="9476" max="9476" width="9.5" bestFit="1" customWidth="1"/>
    <col min="9477" max="9477" width="9.5" customWidth="1"/>
    <col min="9478" max="9481" width="9.1640625" customWidth="1"/>
    <col min="9482" max="9482" width="11.83203125" customWidth="1"/>
    <col min="9483" max="9483" width="9.1640625" customWidth="1"/>
    <col min="9732" max="9732" width="9.5" bestFit="1" customWidth="1"/>
    <col min="9733" max="9733" width="9.5" customWidth="1"/>
    <col min="9734" max="9737" width="9.1640625" customWidth="1"/>
    <col min="9738" max="9738" width="11.83203125" customWidth="1"/>
    <col min="9739" max="9739" width="9.1640625" customWidth="1"/>
    <col min="9988" max="9988" width="9.5" bestFit="1" customWidth="1"/>
    <col min="9989" max="9989" width="9.5" customWidth="1"/>
    <col min="9990" max="9993" width="9.1640625" customWidth="1"/>
    <col min="9994" max="9994" width="11.83203125" customWidth="1"/>
    <col min="9995" max="9995" width="9.1640625" customWidth="1"/>
    <col min="10244" max="10244" width="9.5" bestFit="1" customWidth="1"/>
    <col min="10245" max="10245" width="9.5" customWidth="1"/>
    <col min="10246" max="10249" width="9.1640625" customWidth="1"/>
    <col min="10250" max="10250" width="11.83203125" customWidth="1"/>
    <col min="10251" max="10251" width="9.1640625" customWidth="1"/>
    <col min="10500" max="10500" width="9.5" bestFit="1" customWidth="1"/>
    <col min="10501" max="10501" width="9.5" customWidth="1"/>
    <col min="10502" max="10505" width="9.1640625" customWidth="1"/>
    <col min="10506" max="10506" width="11.83203125" customWidth="1"/>
    <col min="10507" max="10507" width="9.1640625" customWidth="1"/>
    <col min="10756" max="10756" width="9.5" bestFit="1" customWidth="1"/>
    <col min="10757" max="10757" width="9.5" customWidth="1"/>
    <col min="10758" max="10761" width="9.1640625" customWidth="1"/>
    <col min="10762" max="10762" width="11.83203125" customWidth="1"/>
    <col min="10763" max="10763" width="9.1640625" customWidth="1"/>
    <col min="11012" max="11012" width="9.5" bestFit="1" customWidth="1"/>
    <col min="11013" max="11013" width="9.5" customWidth="1"/>
    <col min="11014" max="11017" width="9.1640625" customWidth="1"/>
    <col min="11018" max="11018" width="11.83203125" customWidth="1"/>
    <col min="11019" max="11019" width="9.1640625" customWidth="1"/>
    <col min="11268" max="11268" width="9.5" bestFit="1" customWidth="1"/>
    <col min="11269" max="11269" width="9.5" customWidth="1"/>
    <col min="11270" max="11273" width="9.1640625" customWidth="1"/>
    <col min="11274" max="11274" width="11.83203125" customWidth="1"/>
    <col min="11275" max="11275" width="9.1640625" customWidth="1"/>
    <col min="11524" max="11524" width="9.5" bestFit="1" customWidth="1"/>
    <col min="11525" max="11525" width="9.5" customWidth="1"/>
    <col min="11526" max="11529" width="9.1640625" customWidth="1"/>
    <col min="11530" max="11530" width="11.83203125" customWidth="1"/>
    <col min="11531" max="11531" width="9.1640625" customWidth="1"/>
    <col min="11780" max="11780" width="9.5" bestFit="1" customWidth="1"/>
    <col min="11781" max="11781" width="9.5" customWidth="1"/>
    <col min="11782" max="11785" width="9.1640625" customWidth="1"/>
    <col min="11786" max="11786" width="11.83203125" customWidth="1"/>
    <col min="11787" max="11787" width="9.1640625" customWidth="1"/>
    <col min="12036" max="12036" width="9.5" bestFit="1" customWidth="1"/>
    <col min="12037" max="12037" width="9.5" customWidth="1"/>
    <col min="12038" max="12041" width="9.1640625" customWidth="1"/>
    <col min="12042" max="12042" width="11.83203125" customWidth="1"/>
    <col min="12043" max="12043" width="9.1640625" customWidth="1"/>
    <col min="12292" max="12292" width="9.5" bestFit="1" customWidth="1"/>
    <col min="12293" max="12293" width="9.5" customWidth="1"/>
    <col min="12294" max="12297" width="9.1640625" customWidth="1"/>
    <col min="12298" max="12298" width="11.83203125" customWidth="1"/>
    <col min="12299" max="12299" width="9.1640625" customWidth="1"/>
    <col min="12548" max="12548" width="9.5" bestFit="1" customWidth="1"/>
    <col min="12549" max="12549" width="9.5" customWidth="1"/>
    <col min="12550" max="12553" width="9.1640625" customWidth="1"/>
    <col min="12554" max="12554" width="11.83203125" customWidth="1"/>
    <col min="12555" max="12555" width="9.1640625" customWidth="1"/>
    <col min="12804" max="12804" width="9.5" bestFit="1" customWidth="1"/>
    <col min="12805" max="12805" width="9.5" customWidth="1"/>
    <col min="12806" max="12809" width="9.1640625" customWidth="1"/>
    <col min="12810" max="12810" width="11.83203125" customWidth="1"/>
    <col min="12811" max="12811" width="9.1640625" customWidth="1"/>
    <col min="13060" max="13060" width="9.5" bestFit="1" customWidth="1"/>
    <col min="13061" max="13061" width="9.5" customWidth="1"/>
    <col min="13062" max="13065" width="9.1640625" customWidth="1"/>
    <col min="13066" max="13066" width="11.83203125" customWidth="1"/>
    <col min="13067" max="13067" width="9.1640625" customWidth="1"/>
    <col min="13316" max="13316" width="9.5" bestFit="1" customWidth="1"/>
    <col min="13317" max="13317" width="9.5" customWidth="1"/>
    <col min="13318" max="13321" width="9.1640625" customWidth="1"/>
    <col min="13322" max="13322" width="11.83203125" customWidth="1"/>
    <col min="13323" max="13323" width="9.1640625" customWidth="1"/>
    <col min="13572" max="13572" width="9.5" bestFit="1" customWidth="1"/>
    <col min="13573" max="13573" width="9.5" customWidth="1"/>
    <col min="13574" max="13577" width="9.1640625" customWidth="1"/>
    <col min="13578" max="13578" width="11.83203125" customWidth="1"/>
    <col min="13579" max="13579" width="9.1640625" customWidth="1"/>
    <col min="13828" max="13828" width="9.5" bestFit="1" customWidth="1"/>
    <col min="13829" max="13829" width="9.5" customWidth="1"/>
    <col min="13830" max="13833" width="9.1640625" customWidth="1"/>
    <col min="13834" max="13834" width="11.83203125" customWidth="1"/>
    <col min="13835" max="13835" width="9.1640625" customWidth="1"/>
    <col min="14084" max="14084" width="9.5" bestFit="1" customWidth="1"/>
    <col min="14085" max="14085" width="9.5" customWidth="1"/>
    <col min="14086" max="14089" width="9.1640625" customWidth="1"/>
    <col min="14090" max="14090" width="11.83203125" customWidth="1"/>
    <col min="14091" max="14091" width="9.1640625" customWidth="1"/>
    <col min="14340" max="14340" width="9.5" bestFit="1" customWidth="1"/>
    <col min="14341" max="14341" width="9.5" customWidth="1"/>
    <col min="14342" max="14345" width="9.1640625" customWidth="1"/>
    <col min="14346" max="14346" width="11.83203125" customWidth="1"/>
    <col min="14347" max="14347" width="9.1640625" customWidth="1"/>
    <col min="14596" max="14596" width="9.5" bestFit="1" customWidth="1"/>
    <col min="14597" max="14597" width="9.5" customWidth="1"/>
    <col min="14598" max="14601" width="9.1640625" customWidth="1"/>
    <col min="14602" max="14602" width="11.83203125" customWidth="1"/>
    <col min="14603" max="14603" width="9.1640625" customWidth="1"/>
    <col min="14852" max="14852" width="9.5" bestFit="1" customWidth="1"/>
    <col min="14853" max="14853" width="9.5" customWidth="1"/>
    <col min="14854" max="14857" width="9.1640625" customWidth="1"/>
    <col min="14858" max="14858" width="11.83203125" customWidth="1"/>
    <col min="14859" max="14859" width="9.1640625" customWidth="1"/>
    <col min="15108" max="15108" width="9.5" bestFit="1" customWidth="1"/>
    <col min="15109" max="15109" width="9.5" customWidth="1"/>
    <col min="15110" max="15113" width="9.1640625" customWidth="1"/>
    <col min="15114" max="15114" width="11.83203125" customWidth="1"/>
    <col min="15115" max="15115" width="9.1640625" customWidth="1"/>
    <col min="15364" max="15364" width="9.5" bestFit="1" customWidth="1"/>
    <col min="15365" max="15365" width="9.5" customWidth="1"/>
    <col min="15366" max="15369" width="9.1640625" customWidth="1"/>
    <col min="15370" max="15370" width="11.83203125" customWidth="1"/>
    <col min="15371" max="15371" width="9.1640625" customWidth="1"/>
    <col min="15620" max="15620" width="9.5" bestFit="1" customWidth="1"/>
    <col min="15621" max="15621" width="9.5" customWidth="1"/>
    <col min="15622" max="15625" width="9.1640625" customWidth="1"/>
    <col min="15626" max="15626" width="11.83203125" customWidth="1"/>
    <col min="15627" max="15627" width="9.1640625" customWidth="1"/>
    <col min="15876" max="15876" width="9.5" bestFit="1" customWidth="1"/>
    <col min="15877" max="15877" width="9.5" customWidth="1"/>
    <col min="15878" max="15881" width="9.1640625" customWidth="1"/>
    <col min="15882" max="15882" width="11.83203125" customWidth="1"/>
    <col min="15883" max="15883" width="9.1640625" customWidth="1"/>
    <col min="16132" max="16132" width="9.5" bestFit="1" customWidth="1"/>
    <col min="16133" max="16133" width="9.5" customWidth="1"/>
    <col min="16134" max="16137" width="9.1640625" customWidth="1"/>
    <col min="16138" max="16138" width="11.83203125" customWidth="1"/>
    <col min="16139" max="16139" width="9.1640625" customWidth="1"/>
  </cols>
  <sheetData>
    <row r="1" spans="1:47" ht="15" customHeight="1" x14ac:dyDescent="0.2">
      <c r="A1" s="132" t="s">
        <v>456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</row>
    <row r="2" spans="1:47" ht="15" customHeight="1" x14ac:dyDescent="0.2">
      <c r="A2" s="132"/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</row>
    <row r="3" spans="1:47" x14ac:dyDescent="0.2">
      <c r="A3" s="1" t="s">
        <v>1</v>
      </c>
      <c r="B3" s="2" t="s">
        <v>2</v>
      </c>
      <c r="C3" s="2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47" ht="16" thickBo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47" ht="15.75" customHeight="1" thickBot="1" x14ac:dyDescent="0.25">
      <c r="A5" s="133" t="s">
        <v>5</v>
      </c>
      <c r="B5" s="133" t="s">
        <v>6</v>
      </c>
      <c r="C5" s="134" t="s">
        <v>7</v>
      </c>
      <c r="D5" s="133" t="s">
        <v>8</v>
      </c>
      <c r="E5" s="135" t="s">
        <v>9</v>
      </c>
      <c r="F5" s="136" t="s">
        <v>457</v>
      </c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8"/>
    </row>
    <row r="6" spans="1:47" x14ac:dyDescent="0.2">
      <c r="A6" s="139"/>
      <c r="B6" s="139"/>
      <c r="C6" s="140"/>
      <c r="D6" s="139"/>
      <c r="E6" s="140"/>
      <c r="F6" s="141" t="s">
        <v>458</v>
      </c>
      <c r="G6" s="141"/>
      <c r="H6" s="141"/>
      <c r="I6" s="141"/>
      <c r="J6" s="141"/>
      <c r="K6" s="141"/>
      <c r="L6" s="142" t="s">
        <v>11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</row>
    <row r="7" spans="1:47" ht="30" customHeight="1" x14ac:dyDescent="0.2">
      <c r="A7" s="139"/>
      <c r="B7" s="139"/>
      <c r="C7" s="140"/>
      <c r="D7" s="139"/>
      <c r="E7" s="140"/>
      <c r="F7" s="144" t="s">
        <v>459</v>
      </c>
      <c r="G7" s="144" t="s">
        <v>460</v>
      </c>
      <c r="H7" s="144"/>
      <c r="I7" s="144"/>
      <c r="J7" s="144"/>
      <c r="K7" s="144" t="s">
        <v>461</v>
      </c>
      <c r="L7" s="145" t="s">
        <v>13</v>
      </c>
      <c r="M7" s="145"/>
      <c r="N7" s="145"/>
      <c r="O7" s="145"/>
      <c r="P7" s="145"/>
      <c r="Q7" s="145"/>
      <c r="R7" s="145" t="s">
        <v>14</v>
      </c>
      <c r="S7" s="145"/>
      <c r="T7" s="145"/>
      <c r="U7" s="145"/>
      <c r="V7" s="145"/>
      <c r="W7" s="145"/>
      <c r="X7" s="145" t="s">
        <v>15</v>
      </c>
      <c r="Y7" s="145"/>
      <c r="Z7" s="145"/>
      <c r="AA7" s="145"/>
      <c r="AB7" s="145"/>
      <c r="AC7" s="145"/>
      <c r="AD7" s="145" t="s">
        <v>462</v>
      </c>
      <c r="AE7" s="145"/>
      <c r="AF7" s="145"/>
      <c r="AG7" s="145"/>
      <c r="AH7" s="145"/>
      <c r="AI7" s="145"/>
      <c r="AJ7" s="145" t="s">
        <v>603</v>
      </c>
      <c r="AK7" s="145"/>
      <c r="AL7" s="145"/>
      <c r="AM7" s="145"/>
      <c r="AN7" s="145"/>
      <c r="AO7" s="145"/>
      <c r="AP7" s="145" t="s">
        <v>604</v>
      </c>
      <c r="AQ7" s="145"/>
      <c r="AR7" s="145"/>
      <c r="AS7" s="145"/>
      <c r="AT7" s="145"/>
      <c r="AU7" s="145"/>
    </row>
    <row r="8" spans="1:47" s="20" customFormat="1" ht="30" customHeight="1" x14ac:dyDescent="0.2">
      <c r="A8" s="139"/>
      <c r="B8" s="139"/>
      <c r="C8" s="140"/>
      <c r="D8" s="139"/>
      <c r="E8" s="140"/>
      <c r="F8" s="144"/>
      <c r="G8" s="144"/>
      <c r="H8" s="144"/>
      <c r="I8" s="144"/>
      <c r="J8" s="144"/>
      <c r="K8" s="144"/>
      <c r="L8" s="144" t="s">
        <v>459</v>
      </c>
      <c r="M8" s="144" t="s">
        <v>460</v>
      </c>
      <c r="N8" s="144"/>
      <c r="O8" s="144"/>
      <c r="P8" s="144"/>
      <c r="Q8" s="144" t="s">
        <v>463</v>
      </c>
      <c r="R8" s="144" t="s">
        <v>459</v>
      </c>
      <c r="S8" s="144" t="s">
        <v>460</v>
      </c>
      <c r="T8" s="144"/>
      <c r="U8" s="144"/>
      <c r="V8" s="144"/>
      <c r="W8" s="144" t="s">
        <v>463</v>
      </c>
      <c r="X8" s="144" t="s">
        <v>459</v>
      </c>
      <c r="Y8" s="144" t="s">
        <v>460</v>
      </c>
      <c r="Z8" s="144"/>
      <c r="AA8" s="144"/>
      <c r="AB8" s="144"/>
      <c r="AC8" s="144" t="s">
        <v>463</v>
      </c>
      <c r="AD8" s="144" t="s">
        <v>459</v>
      </c>
      <c r="AE8" s="144" t="s">
        <v>460</v>
      </c>
      <c r="AF8" s="144"/>
      <c r="AG8" s="144"/>
      <c r="AH8" s="144"/>
      <c r="AI8" s="144" t="s">
        <v>463</v>
      </c>
      <c r="AJ8" s="144" t="s">
        <v>459</v>
      </c>
      <c r="AK8" s="144" t="s">
        <v>460</v>
      </c>
      <c r="AL8" s="144"/>
      <c r="AM8" s="144"/>
      <c r="AN8" s="144"/>
      <c r="AO8" s="144" t="s">
        <v>463</v>
      </c>
      <c r="AP8" s="144" t="s">
        <v>459</v>
      </c>
      <c r="AQ8" s="144" t="s">
        <v>460</v>
      </c>
      <c r="AR8" s="144"/>
      <c r="AS8" s="144"/>
      <c r="AT8" s="144"/>
      <c r="AU8" s="144" t="s">
        <v>463</v>
      </c>
    </row>
    <row r="9" spans="1:47" ht="48" x14ac:dyDescent="0.2">
      <c r="A9" s="141"/>
      <c r="B9" s="141"/>
      <c r="C9" s="146"/>
      <c r="D9" s="141"/>
      <c r="E9" s="146"/>
      <c r="F9" s="144"/>
      <c r="G9" s="11" t="s">
        <v>464</v>
      </c>
      <c r="H9" s="11" t="s">
        <v>465</v>
      </c>
      <c r="I9" s="11" t="s">
        <v>466</v>
      </c>
      <c r="J9" s="11" t="s">
        <v>467</v>
      </c>
      <c r="K9" s="144"/>
      <c r="L9" s="144"/>
      <c r="M9" s="11" t="s">
        <v>464</v>
      </c>
      <c r="N9" s="11" t="s">
        <v>465</v>
      </c>
      <c r="O9" s="11" t="s">
        <v>466</v>
      </c>
      <c r="P9" s="11" t="s">
        <v>467</v>
      </c>
      <c r="Q9" s="144"/>
      <c r="R9" s="144"/>
      <c r="S9" s="11" t="s">
        <v>464</v>
      </c>
      <c r="T9" s="11" t="s">
        <v>465</v>
      </c>
      <c r="U9" s="11" t="s">
        <v>466</v>
      </c>
      <c r="V9" s="11" t="s">
        <v>467</v>
      </c>
      <c r="W9" s="144"/>
      <c r="X9" s="144"/>
      <c r="Y9" s="11" t="s">
        <v>464</v>
      </c>
      <c r="Z9" s="11" t="s">
        <v>465</v>
      </c>
      <c r="AA9" s="11" t="s">
        <v>466</v>
      </c>
      <c r="AB9" s="11" t="s">
        <v>467</v>
      </c>
      <c r="AC9" s="144"/>
      <c r="AD9" s="144"/>
      <c r="AE9" s="11" t="s">
        <v>464</v>
      </c>
      <c r="AF9" s="11" t="s">
        <v>465</v>
      </c>
      <c r="AG9" s="11" t="s">
        <v>466</v>
      </c>
      <c r="AH9" s="11" t="s">
        <v>467</v>
      </c>
      <c r="AI9" s="144"/>
      <c r="AJ9" s="144"/>
      <c r="AK9" s="11" t="s">
        <v>464</v>
      </c>
      <c r="AL9" s="11" t="s">
        <v>465</v>
      </c>
      <c r="AM9" s="11" t="s">
        <v>466</v>
      </c>
      <c r="AN9" s="11" t="s">
        <v>467</v>
      </c>
      <c r="AO9" s="144"/>
      <c r="AP9" s="144"/>
      <c r="AQ9" s="11" t="s">
        <v>464</v>
      </c>
      <c r="AR9" s="11" t="s">
        <v>465</v>
      </c>
      <c r="AS9" s="11" t="s">
        <v>466</v>
      </c>
      <c r="AT9" s="11" t="s">
        <v>467</v>
      </c>
      <c r="AU9" s="144"/>
    </row>
    <row r="10" spans="1:47" ht="15" customHeight="1" x14ac:dyDescent="0.2">
      <c r="A10" s="12">
        <v>1</v>
      </c>
      <c r="B10" s="12" t="s">
        <v>25</v>
      </c>
      <c r="C10" s="12" t="s">
        <v>26</v>
      </c>
      <c r="D10" s="12">
        <v>20.149999999999999</v>
      </c>
      <c r="E10" s="12">
        <v>1997</v>
      </c>
      <c r="F10" s="15"/>
      <c r="G10" s="15"/>
      <c r="H10" s="15">
        <v>2</v>
      </c>
      <c r="I10" s="15">
        <v>7</v>
      </c>
      <c r="J10" s="15"/>
      <c r="K10" s="15"/>
      <c r="L10" s="21"/>
      <c r="M10" s="21"/>
      <c r="N10" s="21"/>
      <c r="O10" s="21"/>
      <c r="P10" s="21"/>
      <c r="Q10" s="21">
        <f>SUM(M10:P10)</f>
        <v>0</v>
      </c>
      <c r="R10" s="21"/>
      <c r="S10" s="21"/>
      <c r="T10" s="21"/>
      <c r="U10" s="21"/>
      <c r="V10" s="21"/>
      <c r="W10" s="21">
        <f>SUM(S10:V10)</f>
        <v>0</v>
      </c>
      <c r="X10" s="21"/>
      <c r="Y10" s="21"/>
      <c r="Z10" s="21"/>
      <c r="AA10" s="21"/>
      <c r="AB10" s="21"/>
      <c r="AC10" s="21">
        <f>SUM(Y10:AB10)</f>
        <v>0</v>
      </c>
      <c r="AD10" s="21"/>
      <c r="AE10" s="21"/>
      <c r="AF10" s="21"/>
      <c r="AG10" s="21"/>
      <c r="AH10" s="21"/>
      <c r="AI10" s="21">
        <f>SUM(AE10:AH10)</f>
        <v>0</v>
      </c>
      <c r="AK10" s="128">
        <v>2</v>
      </c>
      <c r="AL10">
        <v>1</v>
      </c>
      <c r="AM10">
        <v>0</v>
      </c>
      <c r="AN10">
        <v>0</v>
      </c>
      <c r="AO10" s="21">
        <f>SUM(AK10:AN10)</f>
        <v>3</v>
      </c>
      <c r="AQ10">
        <v>2</v>
      </c>
      <c r="AR10">
        <v>1</v>
      </c>
      <c r="AT10">
        <v>0</v>
      </c>
      <c r="AU10" s="21">
        <f t="shared" ref="AU10:AU73" si="0">SUM(AQ10:AT10)</f>
        <v>3</v>
      </c>
    </row>
    <row r="11" spans="1:47" ht="15" customHeight="1" x14ac:dyDescent="0.2">
      <c r="A11" s="12">
        <v>1</v>
      </c>
      <c r="B11" s="12" t="s">
        <v>27</v>
      </c>
      <c r="C11" s="12" t="s">
        <v>26</v>
      </c>
      <c r="D11" s="12">
        <v>20.65</v>
      </c>
      <c r="E11" s="12">
        <v>1997</v>
      </c>
      <c r="F11" s="15"/>
      <c r="G11" s="15"/>
      <c r="H11" s="15"/>
      <c r="I11" s="15"/>
      <c r="J11" s="15"/>
      <c r="K11" s="15"/>
      <c r="L11" s="21"/>
      <c r="M11" s="21"/>
      <c r="N11" s="21"/>
      <c r="O11" s="21"/>
      <c r="P11" s="21"/>
      <c r="Q11" s="21">
        <f t="shared" ref="Q11:Q74" si="1">SUM(M11:P11)</f>
        <v>0</v>
      </c>
      <c r="R11" s="21"/>
      <c r="S11" s="21"/>
      <c r="T11" s="21"/>
      <c r="U11" s="21"/>
      <c r="V11" s="21"/>
      <c r="W11" s="21">
        <f t="shared" ref="W11:W74" si="2">SUM(S11:V11)</f>
        <v>0</v>
      </c>
      <c r="X11" s="21"/>
      <c r="Y11" s="21"/>
      <c r="Z11" s="21"/>
      <c r="AA11" s="21"/>
      <c r="AB11" s="21"/>
      <c r="AC11" s="21">
        <f t="shared" ref="AC11:AC74" si="3">SUM(Y11:AB11)</f>
        <v>0</v>
      </c>
      <c r="AD11" s="21"/>
      <c r="AE11" s="21"/>
      <c r="AF11" s="21"/>
      <c r="AG11" s="21"/>
      <c r="AH11" s="21"/>
      <c r="AI11" s="21">
        <f t="shared" ref="AI11:AI74" si="4">SUM(AE11:AH11)</f>
        <v>0</v>
      </c>
      <c r="AK11" s="128">
        <v>1</v>
      </c>
      <c r="AL11">
        <v>0</v>
      </c>
      <c r="AM11">
        <v>0</v>
      </c>
      <c r="AN11">
        <v>0</v>
      </c>
      <c r="AO11" s="21">
        <f t="shared" ref="AO11:AO74" si="5">SUM(AK11:AN11)</f>
        <v>1</v>
      </c>
      <c r="AQ11">
        <v>1</v>
      </c>
      <c r="AT11">
        <v>0</v>
      </c>
      <c r="AU11" s="21">
        <f t="shared" si="0"/>
        <v>1</v>
      </c>
    </row>
    <row r="12" spans="1:47" ht="15" customHeight="1" x14ac:dyDescent="0.2">
      <c r="A12" s="12">
        <v>1</v>
      </c>
      <c r="B12" s="12" t="s">
        <v>28</v>
      </c>
      <c r="C12" s="12" t="s">
        <v>26</v>
      </c>
      <c r="D12" s="12">
        <v>23.8</v>
      </c>
      <c r="E12" s="12">
        <v>1997</v>
      </c>
      <c r="F12" s="15"/>
      <c r="G12" s="15"/>
      <c r="H12" s="15"/>
      <c r="I12" s="15"/>
      <c r="J12" s="15"/>
      <c r="K12" s="15"/>
      <c r="L12" s="21"/>
      <c r="M12" s="21"/>
      <c r="N12" s="21"/>
      <c r="O12" s="21"/>
      <c r="P12" s="21"/>
      <c r="Q12" s="21">
        <f t="shared" si="1"/>
        <v>0</v>
      </c>
      <c r="R12" s="21"/>
      <c r="S12" s="21"/>
      <c r="T12" s="21"/>
      <c r="U12" s="21"/>
      <c r="V12" s="21"/>
      <c r="W12" s="21">
        <f t="shared" si="2"/>
        <v>0</v>
      </c>
      <c r="X12" s="21"/>
      <c r="Y12" s="21"/>
      <c r="Z12" s="21"/>
      <c r="AA12" s="21"/>
      <c r="AB12" s="21"/>
      <c r="AC12" s="21">
        <f t="shared" si="3"/>
        <v>0</v>
      </c>
      <c r="AD12" s="21"/>
      <c r="AE12" s="21"/>
      <c r="AF12" s="21"/>
      <c r="AG12" s="21"/>
      <c r="AH12" s="21"/>
      <c r="AI12" s="21">
        <f t="shared" si="4"/>
        <v>0</v>
      </c>
      <c r="AK12" s="128">
        <v>1</v>
      </c>
      <c r="AL12">
        <v>0</v>
      </c>
      <c r="AM12">
        <v>0</v>
      </c>
      <c r="AN12">
        <v>0</v>
      </c>
      <c r="AO12" s="21">
        <f t="shared" si="5"/>
        <v>1</v>
      </c>
      <c r="AQ12">
        <v>1</v>
      </c>
      <c r="AT12">
        <v>0</v>
      </c>
      <c r="AU12" s="21">
        <f t="shared" si="0"/>
        <v>1</v>
      </c>
    </row>
    <row r="13" spans="1:47" x14ac:dyDescent="0.2">
      <c r="A13" s="12">
        <v>1</v>
      </c>
      <c r="B13" s="12" t="s">
        <v>29</v>
      </c>
      <c r="C13" s="12" t="s">
        <v>26</v>
      </c>
      <c r="D13" s="12">
        <v>27.64</v>
      </c>
      <c r="E13" s="12">
        <v>2021</v>
      </c>
      <c r="F13" s="15"/>
      <c r="G13" s="15"/>
      <c r="H13" s="15"/>
      <c r="I13" s="15"/>
      <c r="J13" s="15"/>
      <c r="K13" s="15"/>
      <c r="L13" s="21"/>
      <c r="M13" s="21">
        <v>2</v>
      </c>
      <c r="N13" s="21"/>
      <c r="O13" s="21"/>
      <c r="P13" s="21">
        <v>1</v>
      </c>
      <c r="Q13" s="21">
        <f t="shared" si="1"/>
        <v>3</v>
      </c>
      <c r="R13" s="21"/>
      <c r="S13" s="21">
        <v>2</v>
      </c>
      <c r="T13" s="21">
        <v>0</v>
      </c>
      <c r="U13" s="21">
        <v>0</v>
      </c>
      <c r="V13" s="21">
        <v>1</v>
      </c>
      <c r="W13" s="21">
        <f t="shared" si="2"/>
        <v>3</v>
      </c>
      <c r="X13" s="21"/>
      <c r="Y13" s="21">
        <v>0</v>
      </c>
      <c r="Z13" s="21">
        <v>0</v>
      </c>
      <c r="AA13" s="21">
        <v>0</v>
      </c>
      <c r="AB13" s="21">
        <v>1</v>
      </c>
      <c r="AC13" s="21">
        <f t="shared" si="3"/>
        <v>1</v>
      </c>
      <c r="AD13" s="21"/>
      <c r="AE13" s="21">
        <v>0</v>
      </c>
      <c r="AF13" s="21">
        <v>0</v>
      </c>
      <c r="AG13" s="21">
        <v>0</v>
      </c>
      <c r="AH13" s="21">
        <v>1</v>
      </c>
      <c r="AI13" s="21">
        <f t="shared" si="4"/>
        <v>1</v>
      </c>
      <c r="AK13" s="128">
        <v>1</v>
      </c>
      <c r="AL13">
        <v>0</v>
      </c>
      <c r="AM13">
        <v>0</v>
      </c>
      <c r="AN13">
        <v>0</v>
      </c>
      <c r="AO13" s="21">
        <f t="shared" si="5"/>
        <v>1</v>
      </c>
      <c r="AQ13">
        <v>1</v>
      </c>
      <c r="AT13">
        <v>0</v>
      </c>
      <c r="AU13" s="21">
        <f t="shared" si="0"/>
        <v>1</v>
      </c>
    </row>
    <row r="14" spans="1:47" x14ac:dyDescent="0.2">
      <c r="A14" s="12">
        <v>1</v>
      </c>
      <c r="B14" s="12" t="s">
        <v>30</v>
      </c>
      <c r="C14" s="12" t="s">
        <v>26</v>
      </c>
      <c r="D14" s="12">
        <v>24.01</v>
      </c>
      <c r="E14" s="12">
        <v>2021</v>
      </c>
      <c r="F14" s="15"/>
      <c r="G14" s="15"/>
      <c r="H14" s="15"/>
      <c r="I14" s="15"/>
      <c r="J14" s="15"/>
      <c r="K14" s="15"/>
      <c r="L14" s="21"/>
      <c r="M14" s="21">
        <v>2</v>
      </c>
      <c r="N14" s="21"/>
      <c r="O14" s="21">
        <v>4</v>
      </c>
      <c r="P14" s="21">
        <v>1</v>
      </c>
      <c r="Q14" s="21">
        <f t="shared" si="1"/>
        <v>7</v>
      </c>
      <c r="R14" s="21"/>
      <c r="S14" s="21">
        <v>1</v>
      </c>
      <c r="T14" s="21">
        <v>0</v>
      </c>
      <c r="U14" s="21">
        <v>2</v>
      </c>
      <c r="V14" s="21">
        <v>1</v>
      </c>
      <c r="W14" s="21">
        <f t="shared" si="2"/>
        <v>4</v>
      </c>
      <c r="X14" s="21"/>
      <c r="Y14" s="21">
        <v>0</v>
      </c>
      <c r="Z14" s="21">
        <v>0</v>
      </c>
      <c r="AA14" s="21">
        <v>0</v>
      </c>
      <c r="AB14" s="21">
        <v>1</v>
      </c>
      <c r="AC14" s="21">
        <f t="shared" si="3"/>
        <v>1</v>
      </c>
      <c r="AD14" s="21"/>
      <c r="AE14" s="21">
        <v>0</v>
      </c>
      <c r="AF14" s="21">
        <v>0</v>
      </c>
      <c r="AG14" s="21">
        <v>0</v>
      </c>
      <c r="AH14" s="21">
        <v>1</v>
      </c>
      <c r="AI14" s="21">
        <f t="shared" si="4"/>
        <v>1</v>
      </c>
      <c r="AK14" s="128">
        <v>1</v>
      </c>
      <c r="AL14">
        <v>0</v>
      </c>
      <c r="AM14">
        <v>0</v>
      </c>
      <c r="AN14">
        <v>0</v>
      </c>
      <c r="AO14" s="21">
        <f t="shared" si="5"/>
        <v>1</v>
      </c>
      <c r="AQ14">
        <v>1</v>
      </c>
      <c r="AT14">
        <v>0</v>
      </c>
      <c r="AU14" s="21">
        <f t="shared" si="0"/>
        <v>1</v>
      </c>
    </row>
    <row r="15" spans="1:47" x14ac:dyDescent="0.2">
      <c r="A15" s="12">
        <v>1</v>
      </c>
      <c r="B15" s="12" t="s">
        <v>31</v>
      </c>
      <c r="C15" s="12" t="s">
        <v>26</v>
      </c>
      <c r="D15" s="12">
        <v>24</v>
      </c>
      <c r="E15" s="12">
        <v>2021</v>
      </c>
      <c r="F15" s="15"/>
      <c r="G15" s="15"/>
      <c r="H15" s="15"/>
      <c r="I15" s="15"/>
      <c r="J15" s="15"/>
      <c r="K15" s="15"/>
      <c r="L15" s="21"/>
      <c r="M15" s="21">
        <v>2</v>
      </c>
      <c r="N15" s="21"/>
      <c r="O15" s="21"/>
      <c r="P15" s="21">
        <v>1</v>
      </c>
      <c r="Q15" s="21">
        <f t="shared" si="1"/>
        <v>3</v>
      </c>
      <c r="R15" s="21"/>
      <c r="S15" s="21">
        <v>2</v>
      </c>
      <c r="T15" s="21">
        <v>0</v>
      </c>
      <c r="U15" s="21">
        <v>0</v>
      </c>
      <c r="V15" s="21">
        <v>1</v>
      </c>
      <c r="W15" s="21">
        <f t="shared" si="2"/>
        <v>3</v>
      </c>
      <c r="X15" s="21"/>
      <c r="Y15" s="21">
        <v>0</v>
      </c>
      <c r="Z15" s="21">
        <v>0</v>
      </c>
      <c r="AA15" s="21">
        <v>0</v>
      </c>
      <c r="AB15" s="21">
        <v>1</v>
      </c>
      <c r="AC15" s="21">
        <f t="shared" si="3"/>
        <v>1</v>
      </c>
      <c r="AD15" s="21"/>
      <c r="AE15" s="21">
        <v>0</v>
      </c>
      <c r="AF15" s="21">
        <v>0</v>
      </c>
      <c r="AG15" s="21">
        <v>0</v>
      </c>
      <c r="AH15" s="21">
        <v>1</v>
      </c>
      <c r="AI15" s="21">
        <f t="shared" si="4"/>
        <v>1</v>
      </c>
      <c r="AK15" s="128">
        <v>1</v>
      </c>
      <c r="AL15">
        <v>0</v>
      </c>
      <c r="AM15">
        <v>0</v>
      </c>
      <c r="AN15">
        <v>0</v>
      </c>
      <c r="AO15" s="21">
        <f t="shared" si="5"/>
        <v>1</v>
      </c>
      <c r="AQ15">
        <v>2</v>
      </c>
      <c r="AT15">
        <v>0</v>
      </c>
      <c r="AU15" s="21">
        <f t="shared" si="0"/>
        <v>2</v>
      </c>
    </row>
    <row r="16" spans="1:47" x14ac:dyDescent="0.2">
      <c r="A16" s="12">
        <v>1</v>
      </c>
      <c r="B16" s="12" t="s">
        <v>32</v>
      </c>
      <c r="C16" s="12" t="s">
        <v>26</v>
      </c>
      <c r="D16" s="12">
        <v>24.9</v>
      </c>
      <c r="E16" s="12">
        <v>2021</v>
      </c>
      <c r="F16" s="15"/>
      <c r="G16" s="15"/>
      <c r="H16" s="15"/>
      <c r="I16" s="15"/>
      <c r="J16" s="15"/>
      <c r="K16" s="15"/>
      <c r="L16" s="21"/>
      <c r="M16" s="21">
        <v>2</v>
      </c>
      <c r="N16" s="21"/>
      <c r="O16" s="21"/>
      <c r="P16" s="21">
        <v>1</v>
      </c>
      <c r="Q16" s="21">
        <f t="shared" si="1"/>
        <v>3</v>
      </c>
      <c r="R16" s="21"/>
      <c r="S16" s="21">
        <v>2</v>
      </c>
      <c r="T16" s="21">
        <v>0</v>
      </c>
      <c r="U16" s="21">
        <v>0</v>
      </c>
      <c r="V16" s="21">
        <v>1</v>
      </c>
      <c r="W16" s="21">
        <f t="shared" si="2"/>
        <v>3</v>
      </c>
      <c r="X16" s="21"/>
      <c r="Y16" s="21">
        <v>0</v>
      </c>
      <c r="Z16" s="21">
        <v>0</v>
      </c>
      <c r="AA16" s="21">
        <v>2</v>
      </c>
      <c r="AB16" s="21">
        <v>1</v>
      </c>
      <c r="AC16" s="21">
        <f t="shared" si="3"/>
        <v>3</v>
      </c>
      <c r="AD16" s="21"/>
      <c r="AE16" s="21">
        <v>0</v>
      </c>
      <c r="AF16" s="21">
        <v>0</v>
      </c>
      <c r="AG16" s="21">
        <v>0</v>
      </c>
      <c r="AH16" s="21">
        <v>1</v>
      </c>
      <c r="AI16" s="21">
        <f t="shared" si="4"/>
        <v>1</v>
      </c>
      <c r="AK16" s="128">
        <v>1</v>
      </c>
      <c r="AL16">
        <v>0</v>
      </c>
      <c r="AM16">
        <v>0</v>
      </c>
      <c r="AN16">
        <v>0</v>
      </c>
      <c r="AO16" s="21">
        <f t="shared" si="5"/>
        <v>1</v>
      </c>
      <c r="AQ16">
        <v>1</v>
      </c>
      <c r="AT16">
        <v>0</v>
      </c>
      <c r="AU16" s="21">
        <f t="shared" si="0"/>
        <v>1</v>
      </c>
    </row>
    <row r="17" spans="1:47" x14ac:dyDescent="0.2">
      <c r="A17" s="12">
        <v>1</v>
      </c>
      <c r="B17" s="12" t="s">
        <v>33</v>
      </c>
      <c r="C17" s="12" t="s">
        <v>26</v>
      </c>
      <c r="D17" s="12">
        <v>27.79</v>
      </c>
      <c r="E17" s="12">
        <v>2021</v>
      </c>
      <c r="F17" s="15"/>
      <c r="G17" s="15"/>
      <c r="H17" s="15"/>
      <c r="I17" s="15"/>
      <c r="J17" s="15"/>
      <c r="K17" s="15"/>
      <c r="L17" s="21"/>
      <c r="M17" s="21">
        <v>1</v>
      </c>
      <c r="N17" s="21"/>
      <c r="O17" s="21"/>
      <c r="P17" s="21">
        <v>1</v>
      </c>
      <c r="Q17" s="21">
        <f t="shared" si="1"/>
        <v>2</v>
      </c>
      <c r="R17" s="21"/>
      <c r="S17" s="21">
        <v>1</v>
      </c>
      <c r="T17" s="21">
        <v>0</v>
      </c>
      <c r="U17" s="21">
        <v>0</v>
      </c>
      <c r="V17" s="21">
        <v>1</v>
      </c>
      <c r="W17" s="21">
        <f t="shared" si="2"/>
        <v>2</v>
      </c>
      <c r="X17" s="21"/>
      <c r="Y17" s="21">
        <v>0</v>
      </c>
      <c r="Z17" s="21">
        <v>0</v>
      </c>
      <c r="AA17" s="21">
        <v>0</v>
      </c>
      <c r="AB17" s="21">
        <v>1</v>
      </c>
      <c r="AC17" s="21">
        <f t="shared" si="3"/>
        <v>1</v>
      </c>
      <c r="AD17" s="21"/>
      <c r="AE17" s="21">
        <v>0</v>
      </c>
      <c r="AF17" s="21">
        <v>0</v>
      </c>
      <c r="AG17" s="21">
        <v>0</v>
      </c>
      <c r="AH17" s="21">
        <v>1</v>
      </c>
      <c r="AI17" s="21">
        <f t="shared" si="4"/>
        <v>1</v>
      </c>
      <c r="AK17" s="128">
        <v>1</v>
      </c>
      <c r="AL17">
        <v>1</v>
      </c>
      <c r="AM17">
        <v>0</v>
      </c>
      <c r="AN17">
        <v>0</v>
      </c>
      <c r="AO17" s="21">
        <f t="shared" si="5"/>
        <v>2</v>
      </c>
      <c r="AQ17">
        <v>1</v>
      </c>
      <c r="AT17">
        <v>0</v>
      </c>
      <c r="AU17" s="21">
        <f t="shared" si="0"/>
        <v>1</v>
      </c>
    </row>
    <row r="18" spans="1:47" x14ac:dyDescent="0.2">
      <c r="A18" s="12">
        <v>1</v>
      </c>
      <c r="B18" s="12" t="s">
        <v>34</v>
      </c>
      <c r="C18" s="12" t="s">
        <v>26</v>
      </c>
      <c r="D18" s="12">
        <v>23.54</v>
      </c>
      <c r="E18" s="12">
        <v>2021</v>
      </c>
      <c r="F18" s="15"/>
      <c r="G18" s="15"/>
      <c r="H18" s="15"/>
      <c r="I18" s="15"/>
      <c r="J18" s="15"/>
      <c r="K18" s="15"/>
      <c r="L18" s="21"/>
      <c r="M18" s="21">
        <v>1</v>
      </c>
      <c r="N18" s="21"/>
      <c r="O18" s="21"/>
      <c r="P18" s="21">
        <v>1</v>
      </c>
      <c r="Q18" s="21">
        <f t="shared" si="1"/>
        <v>2</v>
      </c>
      <c r="R18" s="21"/>
      <c r="S18" s="21">
        <v>1</v>
      </c>
      <c r="T18" s="21">
        <v>0</v>
      </c>
      <c r="U18" s="21">
        <v>0</v>
      </c>
      <c r="V18" s="21">
        <v>1</v>
      </c>
      <c r="W18" s="21">
        <f t="shared" si="2"/>
        <v>2</v>
      </c>
      <c r="X18" s="21"/>
      <c r="Y18" s="21">
        <v>0</v>
      </c>
      <c r="Z18" s="21">
        <v>0</v>
      </c>
      <c r="AA18" s="21">
        <v>0</v>
      </c>
      <c r="AB18" s="21">
        <v>1</v>
      </c>
      <c r="AC18" s="21">
        <f t="shared" si="3"/>
        <v>1</v>
      </c>
      <c r="AD18" s="21"/>
      <c r="AE18" s="21">
        <v>0</v>
      </c>
      <c r="AF18" s="21">
        <v>0</v>
      </c>
      <c r="AG18" s="21">
        <v>0</v>
      </c>
      <c r="AH18" s="21">
        <v>1</v>
      </c>
      <c r="AI18" s="21">
        <f t="shared" si="4"/>
        <v>1</v>
      </c>
      <c r="AK18" s="128">
        <v>1</v>
      </c>
      <c r="AL18">
        <v>0</v>
      </c>
      <c r="AM18">
        <v>0</v>
      </c>
      <c r="AN18">
        <v>0</v>
      </c>
      <c r="AO18" s="21">
        <f t="shared" si="5"/>
        <v>1</v>
      </c>
      <c r="AQ18">
        <v>2</v>
      </c>
      <c r="AS18">
        <v>6</v>
      </c>
      <c r="AT18">
        <v>0</v>
      </c>
      <c r="AU18" s="21">
        <f t="shared" si="0"/>
        <v>8</v>
      </c>
    </row>
    <row r="19" spans="1:47" x14ac:dyDescent="0.2">
      <c r="A19" s="12">
        <v>1</v>
      </c>
      <c r="B19" s="12" t="s">
        <v>35</v>
      </c>
      <c r="C19" s="12" t="s">
        <v>26</v>
      </c>
      <c r="D19" s="12">
        <v>24.41</v>
      </c>
      <c r="E19" s="12">
        <v>2021</v>
      </c>
      <c r="F19" s="15"/>
      <c r="G19" s="15"/>
      <c r="H19" s="15"/>
      <c r="I19" s="15"/>
      <c r="J19" s="15"/>
      <c r="K19" s="15"/>
      <c r="L19" s="21"/>
      <c r="M19" s="21">
        <v>2</v>
      </c>
      <c r="N19" s="21"/>
      <c r="O19" s="21"/>
      <c r="P19" s="21">
        <v>1</v>
      </c>
      <c r="Q19" s="21">
        <f t="shared" si="1"/>
        <v>3</v>
      </c>
      <c r="R19" s="21"/>
      <c r="S19" s="21">
        <v>2</v>
      </c>
      <c r="T19" s="21">
        <v>0</v>
      </c>
      <c r="U19" s="21">
        <v>0</v>
      </c>
      <c r="V19" s="21">
        <v>1</v>
      </c>
      <c r="W19" s="21">
        <f t="shared" si="2"/>
        <v>3</v>
      </c>
      <c r="X19" s="21"/>
      <c r="Y19" s="21">
        <v>2</v>
      </c>
      <c r="Z19" s="21">
        <v>0</v>
      </c>
      <c r="AA19" s="21">
        <v>0</v>
      </c>
      <c r="AB19" s="21">
        <v>1</v>
      </c>
      <c r="AC19" s="21">
        <f t="shared" si="3"/>
        <v>3</v>
      </c>
      <c r="AD19" s="21"/>
      <c r="AE19" s="21">
        <v>0</v>
      </c>
      <c r="AF19" s="21">
        <v>0</v>
      </c>
      <c r="AG19" s="21">
        <v>0</v>
      </c>
      <c r="AH19" s="21">
        <v>1</v>
      </c>
      <c r="AI19" s="21">
        <f t="shared" si="4"/>
        <v>1</v>
      </c>
      <c r="AK19" s="128">
        <v>1</v>
      </c>
      <c r="AL19">
        <v>0</v>
      </c>
      <c r="AM19">
        <v>0</v>
      </c>
      <c r="AN19">
        <v>0</v>
      </c>
      <c r="AO19" s="21">
        <f t="shared" si="5"/>
        <v>1</v>
      </c>
      <c r="AQ19">
        <v>1</v>
      </c>
      <c r="AT19">
        <v>0</v>
      </c>
      <c r="AU19" s="21">
        <f t="shared" si="0"/>
        <v>1</v>
      </c>
    </row>
    <row r="20" spans="1:47" x14ac:dyDescent="0.2">
      <c r="A20" s="12">
        <v>1</v>
      </c>
      <c r="B20" s="12" t="s">
        <v>36</v>
      </c>
      <c r="C20" s="12" t="s">
        <v>26</v>
      </c>
      <c r="D20" s="12">
        <v>24.35</v>
      </c>
      <c r="E20" s="12">
        <v>2021</v>
      </c>
      <c r="F20" s="15"/>
      <c r="G20" s="15"/>
      <c r="H20" s="15"/>
      <c r="I20" s="15"/>
      <c r="J20" s="15"/>
      <c r="K20" s="15"/>
      <c r="L20" s="21"/>
      <c r="M20" s="21">
        <v>1</v>
      </c>
      <c r="N20" s="21"/>
      <c r="O20" s="21"/>
      <c r="P20" s="21">
        <v>1</v>
      </c>
      <c r="Q20" s="21">
        <f t="shared" si="1"/>
        <v>2</v>
      </c>
      <c r="R20" s="21"/>
      <c r="S20" s="21">
        <v>2</v>
      </c>
      <c r="T20" s="21">
        <v>0</v>
      </c>
      <c r="U20" s="21">
        <v>0</v>
      </c>
      <c r="V20" s="21">
        <v>1</v>
      </c>
      <c r="W20" s="21">
        <f t="shared" si="2"/>
        <v>3</v>
      </c>
      <c r="X20" s="21"/>
      <c r="Y20" s="21">
        <v>0</v>
      </c>
      <c r="Z20" s="21">
        <v>0</v>
      </c>
      <c r="AA20" s="21">
        <v>0</v>
      </c>
      <c r="AB20" s="21">
        <v>1</v>
      </c>
      <c r="AC20" s="21">
        <f t="shared" si="3"/>
        <v>1</v>
      </c>
      <c r="AD20" s="21"/>
      <c r="AE20" s="21">
        <v>0</v>
      </c>
      <c r="AF20" s="21">
        <v>0</v>
      </c>
      <c r="AG20" s="21">
        <v>0</v>
      </c>
      <c r="AH20" s="21">
        <v>1</v>
      </c>
      <c r="AI20" s="21">
        <f t="shared" si="4"/>
        <v>1</v>
      </c>
      <c r="AK20" s="128">
        <v>1</v>
      </c>
      <c r="AL20">
        <v>0</v>
      </c>
      <c r="AM20">
        <v>0</v>
      </c>
      <c r="AN20">
        <v>0</v>
      </c>
      <c r="AO20" s="21">
        <f t="shared" si="5"/>
        <v>1</v>
      </c>
      <c r="AQ20">
        <v>0</v>
      </c>
      <c r="AR20">
        <v>1</v>
      </c>
      <c r="AT20">
        <v>0</v>
      </c>
      <c r="AU20" s="21">
        <f t="shared" si="0"/>
        <v>1</v>
      </c>
    </row>
    <row r="21" spans="1:47" ht="15" customHeight="1" x14ac:dyDescent="0.2">
      <c r="A21" s="12">
        <v>1</v>
      </c>
      <c r="B21" s="12" t="s">
        <v>37</v>
      </c>
      <c r="C21" s="12" t="s">
        <v>26</v>
      </c>
      <c r="D21" s="12">
        <v>23.38</v>
      </c>
      <c r="E21" s="12">
        <v>2024</v>
      </c>
      <c r="F21" s="15"/>
      <c r="G21" s="15"/>
      <c r="H21" s="15"/>
      <c r="I21" s="15"/>
      <c r="J21" s="15"/>
      <c r="K21" s="15"/>
      <c r="L21" s="21"/>
      <c r="M21" s="21"/>
      <c r="N21" s="21"/>
      <c r="O21" s="21"/>
      <c r="P21" s="21"/>
      <c r="Q21" s="21">
        <f t="shared" si="1"/>
        <v>0</v>
      </c>
      <c r="R21" s="21"/>
      <c r="S21" s="21"/>
      <c r="T21" s="21"/>
      <c r="U21" s="21"/>
      <c r="V21" s="21"/>
      <c r="W21" s="21">
        <f t="shared" si="2"/>
        <v>0</v>
      </c>
      <c r="X21" s="21"/>
      <c r="Y21" s="21"/>
      <c r="Z21" s="21"/>
      <c r="AA21" s="21"/>
      <c r="AB21" s="21"/>
      <c r="AC21" s="21">
        <f t="shared" si="3"/>
        <v>0</v>
      </c>
      <c r="AD21" s="21"/>
      <c r="AE21" s="21">
        <v>0</v>
      </c>
      <c r="AF21" s="21">
        <v>0</v>
      </c>
      <c r="AG21" s="21">
        <v>0</v>
      </c>
      <c r="AH21" s="21">
        <v>1</v>
      </c>
      <c r="AI21" s="21">
        <f t="shared" si="4"/>
        <v>1</v>
      </c>
      <c r="AK21" s="128">
        <v>1</v>
      </c>
      <c r="AL21">
        <v>0</v>
      </c>
      <c r="AM21">
        <v>0</v>
      </c>
      <c r="AN21">
        <v>0</v>
      </c>
      <c r="AO21" s="21">
        <f t="shared" si="5"/>
        <v>1</v>
      </c>
      <c r="AQ21">
        <v>2</v>
      </c>
      <c r="AT21">
        <v>0</v>
      </c>
      <c r="AU21" s="21">
        <f t="shared" si="0"/>
        <v>2</v>
      </c>
    </row>
    <row r="22" spans="1:47" ht="15" customHeight="1" x14ac:dyDescent="0.2">
      <c r="A22" s="12">
        <v>1</v>
      </c>
      <c r="B22" s="12" t="s">
        <v>38</v>
      </c>
      <c r="C22" s="12" t="s">
        <v>26</v>
      </c>
      <c r="D22" s="12">
        <v>34.19</v>
      </c>
      <c r="E22" s="12">
        <v>2024</v>
      </c>
      <c r="F22" s="15"/>
      <c r="G22" s="15"/>
      <c r="H22" s="15"/>
      <c r="I22" s="15"/>
      <c r="J22" s="15"/>
      <c r="K22" s="15"/>
      <c r="L22" s="21"/>
      <c r="M22" s="21"/>
      <c r="N22" s="21"/>
      <c r="O22" s="21"/>
      <c r="P22" s="21"/>
      <c r="Q22" s="21">
        <f t="shared" si="1"/>
        <v>0</v>
      </c>
      <c r="R22" s="21"/>
      <c r="S22" s="21"/>
      <c r="T22" s="21"/>
      <c r="U22" s="21"/>
      <c r="V22" s="21"/>
      <c r="W22" s="21">
        <f t="shared" si="2"/>
        <v>0</v>
      </c>
      <c r="X22" s="21"/>
      <c r="Y22" s="21"/>
      <c r="Z22" s="21"/>
      <c r="AA22" s="21"/>
      <c r="AB22" s="21"/>
      <c r="AC22" s="21">
        <f t="shared" si="3"/>
        <v>0</v>
      </c>
      <c r="AD22" s="21"/>
      <c r="AE22" s="21">
        <v>0</v>
      </c>
      <c r="AF22" s="21">
        <v>0</v>
      </c>
      <c r="AG22" s="21">
        <v>0</v>
      </c>
      <c r="AH22" s="21">
        <v>1</v>
      </c>
      <c r="AI22" s="21">
        <f t="shared" si="4"/>
        <v>1</v>
      </c>
      <c r="AK22" s="128">
        <v>2</v>
      </c>
      <c r="AL22">
        <v>0</v>
      </c>
      <c r="AM22">
        <v>0</v>
      </c>
      <c r="AN22">
        <v>0</v>
      </c>
      <c r="AO22" s="21">
        <f t="shared" si="5"/>
        <v>2</v>
      </c>
      <c r="AQ22">
        <v>1</v>
      </c>
      <c r="AR22">
        <v>0</v>
      </c>
      <c r="AS22">
        <v>0</v>
      </c>
      <c r="AT22">
        <v>0</v>
      </c>
      <c r="AU22" s="21">
        <f t="shared" si="0"/>
        <v>1</v>
      </c>
    </row>
    <row r="23" spans="1:47" ht="15" customHeight="1" x14ac:dyDescent="0.2">
      <c r="A23" s="12">
        <v>1</v>
      </c>
      <c r="B23" s="12" t="s">
        <v>39</v>
      </c>
      <c r="C23" s="12" t="s">
        <v>26</v>
      </c>
      <c r="D23" s="12">
        <v>23.26</v>
      </c>
      <c r="E23" s="12">
        <v>2024</v>
      </c>
      <c r="F23" s="15"/>
      <c r="G23" s="15"/>
      <c r="H23" s="15"/>
      <c r="I23" s="15"/>
      <c r="J23" s="15"/>
      <c r="K23" s="15"/>
      <c r="L23" s="21"/>
      <c r="M23" s="21"/>
      <c r="N23" s="21"/>
      <c r="O23" s="21"/>
      <c r="P23" s="21"/>
      <c r="Q23" s="21">
        <f t="shared" si="1"/>
        <v>0</v>
      </c>
      <c r="R23" s="21"/>
      <c r="S23" s="21"/>
      <c r="T23" s="21"/>
      <c r="U23" s="21"/>
      <c r="V23" s="21"/>
      <c r="W23" s="21">
        <f t="shared" si="2"/>
        <v>0</v>
      </c>
      <c r="X23" s="21"/>
      <c r="Y23" s="21"/>
      <c r="Z23" s="21"/>
      <c r="AA23" s="21"/>
      <c r="AB23" s="21"/>
      <c r="AC23" s="21">
        <f t="shared" si="3"/>
        <v>0</v>
      </c>
      <c r="AD23" s="21"/>
      <c r="AE23" s="21">
        <v>2</v>
      </c>
      <c r="AF23" s="21">
        <v>0</v>
      </c>
      <c r="AG23" s="21">
        <v>7</v>
      </c>
      <c r="AH23" s="21"/>
      <c r="AI23" s="21">
        <f t="shared" si="4"/>
        <v>9</v>
      </c>
      <c r="AK23" s="128">
        <v>1</v>
      </c>
      <c r="AL23">
        <v>0</v>
      </c>
      <c r="AM23">
        <v>0</v>
      </c>
      <c r="AN23">
        <v>0</v>
      </c>
      <c r="AO23" s="21">
        <f t="shared" si="5"/>
        <v>1</v>
      </c>
      <c r="AQ23">
        <v>1</v>
      </c>
      <c r="AR23">
        <v>0</v>
      </c>
      <c r="AS23">
        <v>0</v>
      </c>
      <c r="AT23">
        <v>0</v>
      </c>
      <c r="AU23" s="21">
        <f t="shared" si="0"/>
        <v>1</v>
      </c>
    </row>
    <row r="24" spans="1:47" ht="15" customHeight="1" x14ac:dyDescent="0.2">
      <c r="A24" s="12">
        <v>1</v>
      </c>
      <c r="B24" s="12" t="s">
        <v>40</v>
      </c>
      <c r="C24" s="12" t="s">
        <v>26</v>
      </c>
      <c r="D24" s="12">
        <v>23.42</v>
      </c>
      <c r="E24" s="12">
        <v>2024</v>
      </c>
      <c r="F24" s="15"/>
      <c r="G24" s="15"/>
      <c r="H24" s="15"/>
      <c r="I24" s="15"/>
      <c r="J24" s="15"/>
      <c r="K24" s="15"/>
      <c r="L24" s="21"/>
      <c r="M24" s="21"/>
      <c r="N24" s="21"/>
      <c r="O24" s="21"/>
      <c r="P24" s="21"/>
      <c r="Q24" s="21">
        <f t="shared" si="1"/>
        <v>0</v>
      </c>
      <c r="R24" s="21"/>
      <c r="S24" s="21"/>
      <c r="T24" s="21"/>
      <c r="U24" s="21"/>
      <c r="V24" s="21"/>
      <c r="W24" s="21">
        <f t="shared" si="2"/>
        <v>0</v>
      </c>
      <c r="X24" s="21"/>
      <c r="Y24" s="21"/>
      <c r="Z24" s="21"/>
      <c r="AA24" s="21"/>
      <c r="AB24" s="21"/>
      <c r="AC24" s="21">
        <f t="shared" si="3"/>
        <v>0</v>
      </c>
      <c r="AD24" s="21"/>
      <c r="AE24" s="21">
        <v>0</v>
      </c>
      <c r="AF24" s="21">
        <v>0</v>
      </c>
      <c r="AG24" s="21">
        <v>0</v>
      </c>
      <c r="AH24" s="21">
        <v>1</v>
      </c>
      <c r="AI24" s="21">
        <f t="shared" si="4"/>
        <v>1</v>
      </c>
      <c r="AK24" s="128">
        <v>1</v>
      </c>
      <c r="AL24">
        <v>0</v>
      </c>
      <c r="AM24">
        <v>0</v>
      </c>
      <c r="AN24">
        <v>0</v>
      </c>
      <c r="AO24" s="21">
        <f t="shared" si="5"/>
        <v>1</v>
      </c>
      <c r="AQ24">
        <v>1</v>
      </c>
      <c r="AR24">
        <v>0</v>
      </c>
      <c r="AS24">
        <v>0</v>
      </c>
      <c r="AT24">
        <v>0</v>
      </c>
      <c r="AU24" s="21">
        <f t="shared" si="0"/>
        <v>1</v>
      </c>
    </row>
    <row r="25" spans="1:47" ht="15" customHeight="1" x14ac:dyDescent="0.2">
      <c r="A25" s="12">
        <v>1</v>
      </c>
      <c r="B25" s="12" t="s">
        <v>41</v>
      </c>
      <c r="C25" s="12" t="s">
        <v>26</v>
      </c>
      <c r="D25" s="12">
        <v>22.27</v>
      </c>
      <c r="E25" s="12">
        <v>2024</v>
      </c>
      <c r="F25" s="15"/>
      <c r="G25" s="15"/>
      <c r="H25" s="15"/>
      <c r="I25" s="15"/>
      <c r="J25" s="15"/>
      <c r="K25" s="15"/>
      <c r="L25" s="21"/>
      <c r="M25" s="21"/>
      <c r="N25" s="21"/>
      <c r="O25" s="21"/>
      <c r="P25" s="21"/>
      <c r="Q25" s="21">
        <f t="shared" si="1"/>
        <v>0</v>
      </c>
      <c r="R25" s="21"/>
      <c r="S25" s="21"/>
      <c r="T25" s="21"/>
      <c r="U25" s="21"/>
      <c r="V25" s="21"/>
      <c r="W25" s="21">
        <f t="shared" si="2"/>
        <v>0</v>
      </c>
      <c r="X25" s="21"/>
      <c r="Y25" s="21"/>
      <c r="Z25" s="21"/>
      <c r="AA25" s="21"/>
      <c r="AB25" s="21"/>
      <c r="AC25" s="21">
        <f t="shared" si="3"/>
        <v>0</v>
      </c>
      <c r="AD25" s="21"/>
      <c r="AE25" s="21">
        <v>0</v>
      </c>
      <c r="AF25" s="21">
        <v>0</v>
      </c>
      <c r="AG25" s="21">
        <v>0</v>
      </c>
      <c r="AH25" s="21">
        <v>1</v>
      </c>
      <c r="AI25" s="21">
        <f t="shared" si="4"/>
        <v>1</v>
      </c>
      <c r="AK25" s="128">
        <v>1</v>
      </c>
      <c r="AL25">
        <v>0</v>
      </c>
      <c r="AM25">
        <v>0</v>
      </c>
      <c r="AN25">
        <v>0</v>
      </c>
      <c r="AO25" s="21">
        <f t="shared" si="5"/>
        <v>1</v>
      </c>
      <c r="AQ25">
        <v>1</v>
      </c>
      <c r="AR25">
        <v>0</v>
      </c>
      <c r="AS25">
        <v>0</v>
      </c>
      <c r="AT25">
        <v>0</v>
      </c>
      <c r="AU25" s="21">
        <f t="shared" si="0"/>
        <v>1</v>
      </c>
    </row>
    <row r="26" spans="1:47" ht="15" customHeight="1" x14ac:dyDescent="0.2">
      <c r="A26" s="12">
        <v>1</v>
      </c>
      <c r="B26" s="12" t="s">
        <v>42</v>
      </c>
      <c r="C26" s="12" t="s">
        <v>26</v>
      </c>
      <c r="D26" s="12">
        <v>12.5</v>
      </c>
      <c r="E26" s="12">
        <v>2024</v>
      </c>
      <c r="F26" s="15"/>
      <c r="G26" s="15"/>
      <c r="H26" s="15"/>
      <c r="I26" s="15"/>
      <c r="J26" s="15"/>
      <c r="K26" s="15"/>
      <c r="L26" s="21"/>
      <c r="M26" s="21"/>
      <c r="N26" s="21"/>
      <c r="O26" s="21"/>
      <c r="P26" s="21"/>
      <c r="Q26" s="21">
        <f t="shared" si="1"/>
        <v>0</v>
      </c>
      <c r="R26" s="21"/>
      <c r="S26" s="21"/>
      <c r="T26" s="21"/>
      <c r="U26" s="21"/>
      <c r="V26" s="21"/>
      <c r="W26" s="21">
        <f t="shared" si="2"/>
        <v>0</v>
      </c>
      <c r="X26" s="21">
        <v>0</v>
      </c>
      <c r="Y26" s="21"/>
      <c r="Z26" s="21"/>
      <c r="AA26" s="21"/>
      <c r="AB26" s="21"/>
      <c r="AC26" s="21">
        <f t="shared" si="3"/>
        <v>0</v>
      </c>
      <c r="AD26" s="21"/>
      <c r="AE26" s="21">
        <v>0</v>
      </c>
      <c r="AF26" s="21">
        <v>0</v>
      </c>
      <c r="AG26" s="21">
        <v>0</v>
      </c>
      <c r="AH26" s="21">
        <v>1</v>
      </c>
      <c r="AI26" s="21">
        <f t="shared" si="4"/>
        <v>1</v>
      </c>
      <c r="AK26" s="128">
        <v>1</v>
      </c>
      <c r="AL26">
        <v>0</v>
      </c>
      <c r="AM26">
        <v>0</v>
      </c>
      <c r="AN26">
        <v>0</v>
      </c>
      <c r="AO26" s="21">
        <f t="shared" si="5"/>
        <v>1</v>
      </c>
      <c r="AQ26">
        <v>2</v>
      </c>
      <c r="AR26">
        <v>1</v>
      </c>
      <c r="AS26">
        <v>0</v>
      </c>
      <c r="AT26">
        <v>0</v>
      </c>
      <c r="AU26" s="21">
        <f t="shared" si="0"/>
        <v>3</v>
      </c>
    </row>
    <row r="27" spans="1:47" ht="15" customHeight="1" x14ac:dyDescent="0.2">
      <c r="A27" s="12">
        <v>1</v>
      </c>
      <c r="B27" s="12" t="s">
        <v>43</v>
      </c>
      <c r="C27" s="12" t="s">
        <v>26</v>
      </c>
      <c r="D27" s="12">
        <v>8.42</v>
      </c>
      <c r="E27" s="12">
        <v>2024</v>
      </c>
      <c r="F27" s="15"/>
      <c r="G27" s="15"/>
      <c r="H27" s="15"/>
      <c r="I27" s="15"/>
      <c r="J27" s="15"/>
      <c r="K27" s="15"/>
      <c r="L27" s="21"/>
      <c r="M27" s="21"/>
      <c r="N27" s="21"/>
      <c r="O27" s="21"/>
      <c r="P27" s="21"/>
      <c r="Q27" s="21">
        <f t="shared" si="1"/>
        <v>0</v>
      </c>
      <c r="R27" s="21"/>
      <c r="S27" s="21"/>
      <c r="T27" s="21"/>
      <c r="U27" s="21"/>
      <c r="V27" s="21"/>
      <c r="W27" s="21">
        <f t="shared" si="2"/>
        <v>0</v>
      </c>
      <c r="X27" s="21"/>
      <c r="Y27" s="21"/>
      <c r="Z27" s="21"/>
      <c r="AA27" s="21"/>
      <c r="AB27" s="21"/>
      <c r="AC27" s="21">
        <f t="shared" si="3"/>
        <v>0</v>
      </c>
      <c r="AD27" s="21"/>
      <c r="AE27" s="21"/>
      <c r="AF27" s="21"/>
      <c r="AG27" s="21"/>
      <c r="AH27" s="21"/>
      <c r="AI27" s="21">
        <f t="shared" si="4"/>
        <v>0</v>
      </c>
      <c r="AK27" s="128">
        <v>0</v>
      </c>
      <c r="AL27">
        <v>0</v>
      </c>
      <c r="AM27">
        <v>0</v>
      </c>
      <c r="AN27">
        <v>0</v>
      </c>
      <c r="AO27" s="21">
        <f t="shared" si="5"/>
        <v>0</v>
      </c>
      <c r="AQ27">
        <v>0</v>
      </c>
      <c r="AR27">
        <v>0</v>
      </c>
      <c r="AS27">
        <v>0</v>
      </c>
      <c r="AT27">
        <v>0</v>
      </c>
      <c r="AU27" s="21">
        <f t="shared" si="0"/>
        <v>0</v>
      </c>
    </row>
    <row r="28" spans="1:47" ht="15" customHeight="1" x14ac:dyDescent="0.2">
      <c r="A28" s="12">
        <v>1</v>
      </c>
      <c r="B28" s="12" t="s">
        <v>44</v>
      </c>
      <c r="C28" s="12" t="s">
        <v>26</v>
      </c>
      <c r="D28" s="12">
        <v>30.48</v>
      </c>
      <c r="E28" s="12">
        <v>2024</v>
      </c>
      <c r="F28" s="15"/>
      <c r="G28" s="15"/>
      <c r="H28" s="15"/>
      <c r="I28" s="15"/>
      <c r="J28" s="15"/>
      <c r="K28" s="15"/>
      <c r="L28" s="21"/>
      <c r="M28" s="21"/>
      <c r="N28" s="21"/>
      <c r="O28" s="21"/>
      <c r="P28" s="21"/>
      <c r="Q28" s="21">
        <f t="shared" si="1"/>
        <v>0</v>
      </c>
      <c r="R28" s="21"/>
      <c r="S28" s="21"/>
      <c r="T28" s="21"/>
      <c r="U28" s="21"/>
      <c r="V28" s="21"/>
      <c r="W28" s="21">
        <f t="shared" si="2"/>
        <v>0</v>
      </c>
      <c r="X28" s="21">
        <v>1</v>
      </c>
      <c r="Y28" s="21"/>
      <c r="Z28" s="21"/>
      <c r="AA28" s="21"/>
      <c r="AB28" s="21"/>
      <c r="AC28" s="21">
        <f t="shared" si="3"/>
        <v>0</v>
      </c>
      <c r="AD28" s="21"/>
      <c r="AE28" s="21">
        <v>0</v>
      </c>
      <c r="AF28" s="21">
        <v>0</v>
      </c>
      <c r="AG28" s="21">
        <v>0</v>
      </c>
      <c r="AH28" s="21">
        <v>1</v>
      </c>
      <c r="AI28" s="21">
        <f t="shared" si="4"/>
        <v>1</v>
      </c>
      <c r="AK28" s="128">
        <v>1</v>
      </c>
      <c r="AL28">
        <v>0</v>
      </c>
      <c r="AM28">
        <v>0</v>
      </c>
      <c r="AN28">
        <v>0</v>
      </c>
      <c r="AO28" s="21">
        <f t="shared" si="5"/>
        <v>1</v>
      </c>
      <c r="AQ28">
        <v>1</v>
      </c>
      <c r="AR28">
        <v>1</v>
      </c>
      <c r="AS28">
        <v>0</v>
      </c>
      <c r="AT28">
        <v>0</v>
      </c>
      <c r="AU28" s="21">
        <f t="shared" si="0"/>
        <v>2</v>
      </c>
    </row>
    <row r="29" spans="1:47" ht="15" customHeight="1" x14ac:dyDescent="0.2">
      <c r="A29" s="12">
        <v>1</v>
      </c>
      <c r="B29" s="12" t="s">
        <v>45</v>
      </c>
      <c r="C29" s="12" t="s">
        <v>26</v>
      </c>
      <c r="D29" s="12">
        <v>23.7</v>
      </c>
      <c r="E29" s="12">
        <v>2024</v>
      </c>
      <c r="F29" s="15"/>
      <c r="G29" s="15"/>
      <c r="H29" s="15"/>
      <c r="I29" s="15"/>
      <c r="J29" s="15"/>
      <c r="K29" s="15"/>
      <c r="L29" s="21"/>
      <c r="M29" s="21"/>
      <c r="N29" s="21"/>
      <c r="O29" s="21"/>
      <c r="P29" s="21"/>
      <c r="Q29" s="21">
        <f t="shared" si="1"/>
        <v>0</v>
      </c>
      <c r="R29" s="21"/>
      <c r="S29" s="21"/>
      <c r="T29" s="21"/>
      <c r="U29" s="21"/>
      <c r="V29" s="21"/>
      <c r="W29" s="21">
        <f t="shared" si="2"/>
        <v>0</v>
      </c>
      <c r="X29" s="21">
        <v>1</v>
      </c>
      <c r="Y29" s="21"/>
      <c r="Z29" s="21"/>
      <c r="AA29" s="21"/>
      <c r="AB29" s="21"/>
      <c r="AC29" s="21">
        <f t="shared" si="3"/>
        <v>0</v>
      </c>
      <c r="AD29" s="21"/>
      <c r="AE29" s="21">
        <v>0</v>
      </c>
      <c r="AF29" s="21">
        <v>0</v>
      </c>
      <c r="AG29" s="21">
        <v>0</v>
      </c>
      <c r="AH29" s="21">
        <v>1</v>
      </c>
      <c r="AI29" s="21">
        <f t="shared" si="4"/>
        <v>1</v>
      </c>
      <c r="AK29" s="128">
        <v>0</v>
      </c>
      <c r="AL29">
        <v>0</v>
      </c>
      <c r="AM29">
        <v>0</v>
      </c>
      <c r="AN29">
        <v>0</v>
      </c>
      <c r="AO29" s="21">
        <f t="shared" si="5"/>
        <v>0</v>
      </c>
      <c r="AQ29">
        <v>0</v>
      </c>
      <c r="AR29">
        <v>0</v>
      </c>
      <c r="AS29">
        <v>0</v>
      </c>
      <c r="AT29">
        <v>0</v>
      </c>
      <c r="AU29" s="21">
        <f t="shared" si="0"/>
        <v>0</v>
      </c>
    </row>
    <row r="30" spans="1:47" ht="15" customHeight="1" x14ac:dyDescent="0.2">
      <c r="A30" s="12">
        <v>1</v>
      </c>
      <c r="B30" s="12" t="s">
        <v>46</v>
      </c>
      <c r="C30" s="12" t="s">
        <v>26</v>
      </c>
      <c r="D30" s="12">
        <v>23.61</v>
      </c>
      <c r="E30" s="12">
        <v>2024</v>
      </c>
      <c r="F30" s="15"/>
      <c r="G30" s="15"/>
      <c r="H30" s="15"/>
      <c r="I30" s="15"/>
      <c r="J30" s="15"/>
      <c r="K30" s="15"/>
      <c r="L30" s="21"/>
      <c r="M30" s="21"/>
      <c r="N30" s="21"/>
      <c r="O30" s="21"/>
      <c r="P30" s="21"/>
      <c r="Q30" s="21">
        <f t="shared" si="1"/>
        <v>0</v>
      </c>
      <c r="R30" s="21"/>
      <c r="S30" s="21"/>
      <c r="T30" s="21"/>
      <c r="U30" s="21"/>
      <c r="V30" s="21"/>
      <c r="W30" s="21">
        <f t="shared" si="2"/>
        <v>0</v>
      </c>
      <c r="X30" s="21">
        <v>1</v>
      </c>
      <c r="Y30" s="21"/>
      <c r="Z30" s="21"/>
      <c r="AA30" s="21"/>
      <c r="AB30" s="21"/>
      <c r="AC30" s="21">
        <f t="shared" si="3"/>
        <v>0</v>
      </c>
      <c r="AD30" s="21"/>
      <c r="AE30" s="21">
        <v>0</v>
      </c>
      <c r="AF30" s="21">
        <v>0</v>
      </c>
      <c r="AG30" s="21">
        <v>0</v>
      </c>
      <c r="AH30" s="21">
        <v>1</v>
      </c>
      <c r="AI30" s="21">
        <f t="shared" si="4"/>
        <v>1</v>
      </c>
      <c r="AK30" s="128">
        <v>0</v>
      </c>
      <c r="AL30">
        <v>0</v>
      </c>
      <c r="AM30">
        <v>0</v>
      </c>
      <c r="AN30">
        <v>0</v>
      </c>
      <c r="AO30" s="21">
        <f t="shared" si="5"/>
        <v>0</v>
      </c>
      <c r="AQ30">
        <v>0</v>
      </c>
      <c r="AR30">
        <v>0</v>
      </c>
      <c r="AS30">
        <v>0</v>
      </c>
      <c r="AT30">
        <v>0</v>
      </c>
      <c r="AU30" s="21">
        <f t="shared" si="0"/>
        <v>0</v>
      </c>
    </row>
    <row r="31" spans="1:47" ht="15" customHeight="1" x14ac:dyDescent="0.2">
      <c r="A31" s="12">
        <v>1</v>
      </c>
      <c r="B31" s="12" t="s">
        <v>47</v>
      </c>
      <c r="C31" s="12" t="s">
        <v>26</v>
      </c>
      <c r="D31" s="12">
        <v>23.48</v>
      </c>
      <c r="E31" s="12">
        <v>2024</v>
      </c>
      <c r="F31" s="15"/>
      <c r="G31" s="15"/>
      <c r="H31" s="15"/>
      <c r="I31" s="15"/>
      <c r="J31" s="15"/>
      <c r="K31" s="15"/>
      <c r="L31" s="21"/>
      <c r="M31" s="21"/>
      <c r="N31" s="21"/>
      <c r="O31" s="21"/>
      <c r="P31" s="21"/>
      <c r="Q31" s="21">
        <f t="shared" si="1"/>
        <v>0</v>
      </c>
      <c r="R31" s="21"/>
      <c r="S31" s="21"/>
      <c r="T31" s="21"/>
      <c r="U31" s="21"/>
      <c r="V31" s="21"/>
      <c r="W31" s="21">
        <f t="shared" si="2"/>
        <v>0</v>
      </c>
      <c r="X31" s="21">
        <v>1</v>
      </c>
      <c r="Y31" s="21"/>
      <c r="Z31" s="21"/>
      <c r="AA31" s="21"/>
      <c r="AB31" s="21"/>
      <c r="AC31" s="21">
        <f t="shared" si="3"/>
        <v>0</v>
      </c>
      <c r="AD31" s="21"/>
      <c r="AE31" s="21">
        <v>0</v>
      </c>
      <c r="AF31" s="21">
        <v>0</v>
      </c>
      <c r="AG31" s="21">
        <v>0</v>
      </c>
      <c r="AH31" s="21">
        <v>1</v>
      </c>
      <c r="AI31" s="21">
        <f t="shared" si="4"/>
        <v>1</v>
      </c>
      <c r="AK31" s="128">
        <v>0</v>
      </c>
      <c r="AL31">
        <v>0</v>
      </c>
      <c r="AM31">
        <v>0</v>
      </c>
      <c r="AN31">
        <v>0</v>
      </c>
      <c r="AO31" s="21">
        <f t="shared" si="5"/>
        <v>0</v>
      </c>
      <c r="AQ31">
        <v>0</v>
      </c>
      <c r="AR31">
        <v>0</v>
      </c>
      <c r="AS31">
        <v>0</v>
      </c>
      <c r="AT31">
        <v>0</v>
      </c>
      <c r="AU31" s="21">
        <f t="shared" si="0"/>
        <v>0</v>
      </c>
    </row>
    <row r="32" spans="1:47" ht="15" customHeight="1" x14ac:dyDescent="0.2">
      <c r="A32" s="12">
        <v>1</v>
      </c>
      <c r="B32" s="12" t="s">
        <v>48</v>
      </c>
      <c r="C32" s="12" t="s">
        <v>26</v>
      </c>
      <c r="D32" s="12">
        <v>5.57</v>
      </c>
      <c r="E32" s="12">
        <v>2026</v>
      </c>
      <c r="F32" s="15"/>
      <c r="G32" s="15"/>
      <c r="H32" s="15"/>
      <c r="I32" s="15"/>
      <c r="J32" s="15"/>
      <c r="K32" s="15"/>
      <c r="L32" s="21"/>
      <c r="M32" s="21"/>
      <c r="N32" s="21"/>
      <c r="O32" s="21"/>
      <c r="P32" s="21"/>
      <c r="Q32" s="21">
        <f t="shared" si="1"/>
        <v>0</v>
      </c>
      <c r="R32" s="21"/>
      <c r="S32" s="21"/>
      <c r="T32" s="21"/>
      <c r="U32" s="21"/>
      <c r="V32" s="21"/>
      <c r="W32" s="21">
        <f t="shared" si="2"/>
        <v>0</v>
      </c>
      <c r="X32" s="21">
        <v>1</v>
      </c>
      <c r="Y32" s="21"/>
      <c r="Z32" s="21"/>
      <c r="AA32" s="21"/>
      <c r="AB32" s="21"/>
      <c r="AC32" s="21">
        <f t="shared" si="3"/>
        <v>0</v>
      </c>
      <c r="AD32" s="21"/>
      <c r="AE32" s="21"/>
      <c r="AF32" s="21"/>
      <c r="AG32" s="21"/>
      <c r="AH32" s="21"/>
      <c r="AI32" s="21">
        <f t="shared" si="4"/>
        <v>0</v>
      </c>
      <c r="AK32" s="128">
        <v>0</v>
      </c>
      <c r="AL32">
        <v>0</v>
      </c>
      <c r="AM32">
        <v>0</v>
      </c>
      <c r="AN32">
        <v>0</v>
      </c>
      <c r="AO32" s="21">
        <f t="shared" si="5"/>
        <v>0</v>
      </c>
      <c r="AQ32">
        <v>0</v>
      </c>
      <c r="AR32">
        <v>0</v>
      </c>
      <c r="AS32">
        <v>0</v>
      </c>
      <c r="AT32">
        <v>0</v>
      </c>
      <c r="AU32" s="21">
        <f t="shared" si="0"/>
        <v>0</v>
      </c>
    </row>
    <row r="33" spans="1:47" ht="15" customHeight="1" x14ac:dyDescent="0.2">
      <c r="A33" s="12">
        <v>1</v>
      </c>
      <c r="B33" s="12" t="s">
        <v>49</v>
      </c>
      <c r="C33" s="12" t="s">
        <v>26</v>
      </c>
      <c r="D33" s="12">
        <v>27.24</v>
      </c>
      <c r="E33" s="12">
        <v>2025</v>
      </c>
      <c r="F33" s="15"/>
      <c r="G33" s="15"/>
      <c r="H33" s="15"/>
      <c r="I33" s="15"/>
      <c r="J33" s="15"/>
      <c r="K33" s="15"/>
      <c r="L33" s="21"/>
      <c r="M33" s="21"/>
      <c r="N33" s="21"/>
      <c r="O33" s="21"/>
      <c r="P33" s="21"/>
      <c r="Q33" s="21">
        <f t="shared" si="1"/>
        <v>0</v>
      </c>
      <c r="R33" s="21"/>
      <c r="S33" s="21"/>
      <c r="T33" s="21"/>
      <c r="U33" s="21"/>
      <c r="V33" s="21"/>
      <c r="W33" s="21">
        <f t="shared" si="2"/>
        <v>0</v>
      </c>
      <c r="X33" s="21">
        <v>1</v>
      </c>
      <c r="Y33" s="21"/>
      <c r="Z33" s="21"/>
      <c r="AA33" s="21"/>
      <c r="AB33" s="21"/>
      <c r="AC33" s="21">
        <f t="shared" si="3"/>
        <v>0</v>
      </c>
      <c r="AD33" s="21"/>
      <c r="AE33" s="21"/>
      <c r="AF33" s="21"/>
      <c r="AG33" s="21"/>
      <c r="AH33" s="21"/>
      <c r="AI33" s="21">
        <f t="shared" si="4"/>
        <v>0</v>
      </c>
      <c r="AK33" s="128">
        <v>0</v>
      </c>
      <c r="AL33">
        <v>0</v>
      </c>
      <c r="AM33">
        <v>0</v>
      </c>
      <c r="AN33">
        <v>0</v>
      </c>
      <c r="AO33" s="21">
        <f t="shared" si="5"/>
        <v>0</v>
      </c>
      <c r="AQ33">
        <v>0</v>
      </c>
      <c r="AR33">
        <v>0</v>
      </c>
      <c r="AS33">
        <v>0</v>
      </c>
      <c r="AT33">
        <v>0</v>
      </c>
      <c r="AU33" s="21">
        <f t="shared" si="0"/>
        <v>0</v>
      </c>
    </row>
    <row r="34" spans="1:47" ht="15" customHeight="1" x14ac:dyDescent="0.2">
      <c r="A34" s="12">
        <v>1</v>
      </c>
      <c r="B34" s="12" t="s">
        <v>50</v>
      </c>
      <c r="C34" s="12" t="s">
        <v>26</v>
      </c>
      <c r="D34" s="12">
        <v>23.19</v>
      </c>
      <c r="E34" s="12">
        <v>2025</v>
      </c>
      <c r="F34" s="15"/>
      <c r="G34" s="15"/>
      <c r="H34" s="15"/>
      <c r="I34" s="15"/>
      <c r="J34" s="15"/>
      <c r="K34" s="15"/>
      <c r="L34" s="21"/>
      <c r="M34" s="21"/>
      <c r="N34" s="21"/>
      <c r="O34" s="21"/>
      <c r="P34" s="21"/>
      <c r="Q34" s="21">
        <f t="shared" si="1"/>
        <v>0</v>
      </c>
      <c r="R34" s="21"/>
      <c r="S34" s="21"/>
      <c r="T34" s="21"/>
      <c r="U34" s="21"/>
      <c r="V34" s="21"/>
      <c r="W34" s="21">
        <f t="shared" si="2"/>
        <v>0</v>
      </c>
      <c r="X34" s="21">
        <v>1</v>
      </c>
      <c r="Y34" s="21"/>
      <c r="Z34" s="21"/>
      <c r="AA34" s="21"/>
      <c r="AB34" s="21"/>
      <c r="AC34" s="21">
        <f t="shared" si="3"/>
        <v>0</v>
      </c>
      <c r="AD34" s="21"/>
      <c r="AE34" s="21"/>
      <c r="AF34" s="21"/>
      <c r="AG34" s="21"/>
      <c r="AH34" s="21"/>
      <c r="AI34" s="21">
        <f t="shared" si="4"/>
        <v>0</v>
      </c>
      <c r="AK34" s="128">
        <v>0</v>
      </c>
      <c r="AL34">
        <v>0</v>
      </c>
      <c r="AM34">
        <v>0</v>
      </c>
      <c r="AN34">
        <v>0</v>
      </c>
      <c r="AO34" s="21">
        <f t="shared" si="5"/>
        <v>0</v>
      </c>
      <c r="AQ34">
        <v>0</v>
      </c>
      <c r="AR34">
        <v>0</v>
      </c>
      <c r="AS34">
        <v>0</v>
      </c>
      <c r="AT34">
        <v>0</v>
      </c>
      <c r="AU34" s="21">
        <f t="shared" si="0"/>
        <v>0</v>
      </c>
    </row>
    <row r="35" spans="1:47" ht="15" customHeight="1" x14ac:dyDescent="0.2">
      <c r="A35" s="12">
        <v>1</v>
      </c>
      <c r="B35" s="12" t="s">
        <v>51</v>
      </c>
      <c r="C35" s="12" t="s">
        <v>26</v>
      </c>
      <c r="D35" s="12">
        <v>11.87</v>
      </c>
      <c r="E35" s="12">
        <v>2025</v>
      </c>
      <c r="F35" s="15"/>
      <c r="G35" s="15"/>
      <c r="H35" s="15"/>
      <c r="I35" s="15"/>
      <c r="J35" s="15"/>
      <c r="K35" s="15"/>
      <c r="L35" s="21"/>
      <c r="M35" s="21"/>
      <c r="N35" s="21"/>
      <c r="O35" s="21"/>
      <c r="P35" s="21"/>
      <c r="Q35" s="21">
        <f t="shared" si="1"/>
        <v>0</v>
      </c>
      <c r="R35" s="21"/>
      <c r="S35" s="21"/>
      <c r="T35" s="21"/>
      <c r="U35" s="21"/>
      <c r="V35" s="21"/>
      <c r="W35" s="21">
        <f t="shared" si="2"/>
        <v>0</v>
      </c>
      <c r="X35" s="21">
        <v>1</v>
      </c>
      <c r="Y35" s="21"/>
      <c r="Z35" s="21"/>
      <c r="AA35" s="21"/>
      <c r="AB35" s="21"/>
      <c r="AC35" s="21">
        <f t="shared" si="3"/>
        <v>0</v>
      </c>
      <c r="AD35" s="21"/>
      <c r="AE35" s="21"/>
      <c r="AF35" s="21"/>
      <c r="AG35" s="21"/>
      <c r="AH35" s="21"/>
      <c r="AI35" s="21">
        <f t="shared" si="4"/>
        <v>0</v>
      </c>
      <c r="AK35" s="128">
        <v>0</v>
      </c>
      <c r="AL35">
        <v>0</v>
      </c>
      <c r="AM35">
        <v>0</v>
      </c>
      <c r="AN35">
        <v>0</v>
      </c>
      <c r="AO35" s="21">
        <f t="shared" si="5"/>
        <v>0</v>
      </c>
      <c r="AQ35">
        <v>0</v>
      </c>
      <c r="AR35">
        <v>0</v>
      </c>
      <c r="AS35">
        <v>0</v>
      </c>
      <c r="AT35">
        <v>0</v>
      </c>
      <c r="AU35" s="21">
        <f t="shared" si="0"/>
        <v>0</v>
      </c>
    </row>
    <row r="36" spans="1:47" ht="15" customHeight="1" x14ac:dyDescent="0.2">
      <c r="A36" s="12">
        <v>1</v>
      </c>
      <c r="B36" s="12" t="s">
        <v>52</v>
      </c>
      <c r="C36" s="12" t="s">
        <v>26</v>
      </c>
      <c r="D36" s="12">
        <v>29.15</v>
      </c>
      <c r="E36" s="12">
        <v>2025</v>
      </c>
      <c r="F36" s="15"/>
      <c r="G36" s="15"/>
      <c r="H36" s="15"/>
      <c r="I36" s="15"/>
      <c r="J36" s="15"/>
      <c r="K36" s="15"/>
      <c r="L36" s="21"/>
      <c r="M36" s="21"/>
      <c r="N36" s="21"/>
      <c r="O36" s="21"/>
      <c r="P36" s="21"/>
      <c r="Q36" s="21">
        <f t="shared" si="1"/>
        <v>0</v>
      </c>
      <c r="R36" s="21"/>
      <c r="S36" s="21"/>
      <c r="T36" s="21"/>
      <c r="U36" s="21"/>
      <c r="V36" s="21"/>
      <c r="W36" s="21">
        <f t="shared" si="2"/>
        <v>0</v>
      </c>
      <c r="X36" s="21">
        <v>1</v>
      </c>
      <c r="Y36" s="21"/>
      <c r="Z36" s="21"/>
      <c r="AA36" s="21"/>
      <c r="AB36" s="21"/>
      <c r="AC36" s="21">
        <f t="shared" si="3"/>
        <v>0</v>
      </c>
      <c r="AD36" s="21"/>
      <c r="AE36" s="21"/>
      <c r="AF36" s="21"/>
      <c r="AG36" s="21"/>
      <c r="AH36" s="21"/>
      <c r="AI36" s="21">
        <f t="shared" si="4"/>
        <v>0</v>
      </c>
      <c r="AK36" s="128">
        <v>0</v>
      </c>
      <c r="AL36">
        <v>0</v>
      </c>
      <c r="AM36">
        <v>0</v>
      </c>
      <c r="AN36">
        <v>0</v>
      </c>
      <c r="AO36" s="21">
        <f t="shared" si="5"/>
        <v>0</v>
      </c>
      <c r="AQ36">
        <v>0</v>
      </c>
      <c r="AR36">
        <v>0</v>
      </c>
      <c r="AS36">
        <v>0</v>
      </c>
      <c r="AT36">
        <v>0</v>
      </c>
      <c r="AU36" s="21">
        <f t="shared" si="0"/>
        <v>0</v>
      </c>
    </row>
    <row r="37" spans="1:47" ht="15" customHeight="1" x14ac:dyDescent="0.2">
      <c r="A37" s="12">
        <v>1</v>
      </c>
      <c r="B37" s="12" t="s">
        <v>53</v>
      </c>
      <c r="C37" s="12" t="s">
        <v>26</v>
      </c>
      <c r="D37" s="12">
        <v>23.47</v>
      </c>
      <c r="E37" s="12">
        <v>2025</v>
      </c>
      <c r="F37" s="15"/>
      <c r="G37" s="15"/>
      <c r="H37" s="15"/>
      <c r="I37" s="15"/>
      <c r="J37" s="15"/>
      <c r="K37" s="15"/>
      <c r="L37" s="21"/>
      <c r="M37" s="21"/>
      <c r="N37" s="21"/>
      <c r="O37" s="21"/>
      <c r="P37" s="21"/>
      <c r="Q37" s="21">
        <f t="shared" si="1"/>
        <v>0</v>
      </c>
      <c r="R37" s="21"/>
      <c r="S37" s="21"/>
      <c r="T37" s="21"/>
      <c r="U37" s="21"/>
      <c r="V37" s="21"/>
      <c r="W37" s="21">
        <f t="shared" si="2"/>
        <v>0</v>
      </c>
      <c r="X37" s="21">
        <v>1</v>
      </c>
      <c r="Y37" s="21"/>
      <c r="Z37" s="21"/>
      <c r="AA37" s="21"/>
      <c r="AB37" s="21"/>
      <c r="AC37" s="21">
        <f t="shared" si="3"/>
        <v>0</v>
      </c>
      <c r="AD37" s="21"/>
      <c r="AE37" s="21"/>
      <c r="AF37" s="21"/>
      <c r="AG37" s="21"/>
      <c r="AH37" s="21"/>
      <c r="AI37" s="21">
        <f t="shared" si="4"/>
        <v>0</v>
      </c>
      <c r="AK37" s="128">
        <v>0</v>
      </c>
      <c r="AL37">
        <v>0</v>
      </c>
      <c r="AM37">
        <v>0</v>
      </c>
      <c r="AN37">
        <v>0</v>
      </c>
      <c r="AO37" s="21">
        <f t="shared" si="5"/>
        <v>0</v>
      </c>
      <c r="AQ37">
        <v>0</v>
      </c>
      <c r="AR37">
        <v>0</v>
      </c>
      <c r="AS37">
        <v>0</v>
      </c>
      <c r="AT37">
        <v>0</v>
      </c>
      <c r="AU37" s="21">
        <f t="shared" si="0"/>
        <v>0</v>
      </c>
    </row>
    <row r="38" spans="1:47" ht="15" customHeight="1" x14ac:dyDescent="0.2">
      <c r="A38" s="12">
        <v>1</v>
      </c>
      <c r="B38" s="12" t="s">
        <v>54</v>
      </c>
      <c r="C38" s="12" t="s">
        <v>26</v>
      </c>
      <c r="D38" s="12">
        <v>25.26</v>
      </c>
      <c r="E38" s="12">
        <v>2025</v>
      </c>
      <c r="F38" s="15"/>
      <c r="G38" s="15"/>
      <c r="H38" s="15"/>
      <c r="I38" s="15"/>
      <c r="J38" s="15"/>
      <c r="K38" s="15"/>
      <c r="L38" s="21"/>
      <c r="M38" s="21"/>
      <c r="N38" s="21"/>
      <c r="O38" s="21"/>
      <c r="P38" s="21"/>
      <c r="Q38" s="21">
        <f t="shared" si="1"/>
        <v>0</v>
      </c>
      <c r="R38" s="21"/>
      <c r="S38" s="21"/>
      <c r="T38" s="21"/>
      <c r="U38" s="21"/>
      <c r="V38" s="21"/>
      <c r="W38" s="21">
        <f t="shared" si="2"/>
        <v>0</v>
      </c>
      <c r="X38" s="21">
        <v>1</v>
      </c>
      <c r="Y38" s="21"/>
      <c r="Z38" s="21"/>
      <c r="AA38" s="21"/>
      <c r="AB38" s="21"/>
      <c r="AC38" s="21">
        <f t="shared" si="3"/>
        <v>0</v>
      </c>
      <c r="AD38" s="21"/>
      <c r="AE38" s="21"/>
      <c r="AF38" s="21"/>
      <c r="AG38" s="21"/>
      <c r="AH38" s="21"/>
      <c r="AI38" s="21">
        <f t="shared" si="4"/>
        <v>0</v>
      </c>
      <c r="AK38" s="128">
        <v>0</v>
      </c>
      <c r="AL38">
        <v>0</v>
      </c>
      <c r="AM38">
        <v>0</v>
      </c>
      <c r="AN38">
        <v>0</v>
      </c>
      <c r="AO38" s="21">
        <f t="shared" si="5"/>
        <v>0</v>
      </c>
      <c r="AQ38">
        <v>0</v>
      </c>
      <c r="AR38">
        <v>0</v>
      </c>
      <c r="AS38">
        <v>0</v>
      </c>
      <c r="AT38">
        <v>0</v>
      </c>
      <c r="AU38" s="21">
        <f t="shared" si="0"/>
        <v>0</v>
      </c>
    </row>
    <row r="39" spans="1:47" ht="15" customHeight="1" x14ac:dyDescent="0.2">
      <c r="A39" s="12">
        <v>1</v>
      </c>
      <c r="B39" s="12" t="s">
        <v>55</v>
      </c>
      <c r="C39" s="12" t="s">
        <v>26</v>
      </c>
      <c r="D39" s="12">
        <v>21.6</v>
      </c>
      <c r="E39" s="12">
        <v>2025</v>
      </c>
      <c r="F39" s="15"/>
      <c r="G39" s="15"/>
      <c r="H39" s="15"/>
      <c r="I39" s="15"/>
      <c r="J39" s="15"/>
      <c r="K39" s="15"/>
      <c r="L39" s="21"/>
      <c r="M39" s="21"/>
      <c r="N39" s="21"/>
      <c r="O39" s="21"/>
      <c r="P39" s="21"/>
      <c r="Q39" s="21">
        <f t="shared" si="1"/>
        <v>0</v>
      </c>
      <c r="R39" s="21"/>
      <c r="S39" s="21"/>
      <c r="T39" s="21"/>
      <c r="U39" s="21"/>
      <c r="V39" s="21"/>
      <c r="W39" s="21">
        <f t="shared" si="2"/>
        <v>0</v>
      </c>
      <c r="X39" s="21"/>
      <c r="Y39" s="21"/>
      <c r="Z39" s="21"/>
      <c r="AA39" s="21"/>
      <c r="AB39" s="21"/>
      <c r="AC39" s="21">
        <f t="shared" si="3"/>
        <v>0</v>
      </c>
      <c r="AD39" s="21"/>
      <c r="AE39" s="21"/>
      <c r="AF39" s="21"/>
      <c r="AG39" s="21"/>
      <c r="AH39" s="21"/>
      <c r="AI39" s="21">
        <f t="shared" si="4"/>
        <v>0</v>
      </c>
      <c r="AK39" s="128">
        <v>0</v>
      </c>
      <c r="AL39">
        <v>0</v>
      </c>
      <c r="AM39">
        <v>0</v>
      </c>
      <c r="AN39">
        <v>0</v>
      </c>
      <c r="AO39" s="21">
        <f t="shared" si="5"/>
        <v>0</v>
      </c>
      <c r="AQ39">
        <v>0</v>
      </c>
      <c r="AR39">
        <v>0</v>
      </c>
      <c r="AS39">
        <v>0</v>
      </c>
      <c r="AT39">
        <v>0</v>
      </c>
      <c r="AU39" s="21">
        <f t="shared" si="0"/>
        <v>0</v>
      </c>
    </row>
    <row r="40" spans="1:47" ht="15" customHeight="1" x14ac:dyDescent="0.2">
      <c r="A40" s="12">
        <v>1</v>
      </c>
      <c r="B40" s="12" t="s">
        <v>56</v>
      </c>
      <c r="C40" s="12" t="s">
        <v>26</v>
      </c>
      <c r="D40" s="12">
        <v>8.25</v>
      </c>
      <c r="E40" s="12">
        <v>2025</v>
      </c>
      <c r="F40" s="15"/>
      <c r="G40" s="15"/>
      <c r="H40" s="15"/>
      <c r="I40" s="15"/>
      <c r="J40" s="15"/>
      <c r="K40" s="15"/>
      <c r="L40" s="21"/>
      <c r="M40" s="21"/>
      <c r="N40" s="21"/>
      <c r="O40" s="21"/>
      <c r="P40" s="21"/>
      <c r="Q40" s="21">
        <f t="shared" si="1"/>
        <v>0</v>
      </c>
      <c r="R40" s="21"/>
      <c r="S40" s="21"/>
      <c r="T40" s="21"/>
      <c r="U40" s="21"/>
      <c r="V40" s="21"/>
      <c r="W40" s="21">
        <f t="shared" si="2"/>
        <v>0</v>
      </c>
      <c r="X40" s="21"/>
      <c r="Y40" s="21"/>
      <c r="Z40" s="21"/>
      <c r="AA40" s="21"/>
      <c r="AB40" s="21"/>
      <c r="AC40" s="21">
        <f t="shared" si="3"/>
        <v>0</v>
      </c>
      <c r="AD40" s="21"/>
      <c r="AE40" s="21"/>
      <c r="AF40" s="21"/>
      <c r="AG40" s="21"/>
      <c r="AH40" s="21"/>
      <c r="AI40" s="21">
        <f t="shared" si="4"/>
        <v>0</v>
      </c>
      <c r="AK40" s="128">
        <v>0</v>
      </c>
      <c r="AL40">
        <v>0</v>
      </c>
      <c r="AM40">
        <v>0</v>
      </c>
      <c r="AN40">
        <v>0</v>
      </c>
      <c r="AO40" s="21">
        <f t="shared" si="5"/>
        <v>0</v>
      </c>
      <c r="AQ40">
        <v>0</v>
      </c>
      <c r="AR40">
        <v>0</v>
      </c>
      <c r="AS40">
        <v>0</v>
      </c>
      <c r="AT40">
        <v>0</v>
      </c>
      <c r="AU40" s="21">
        <f t="shared" si="0"/>
        <v>0</v>
      </c>
    </row>
    <row r="41" spans="1:47" ht="15" customHeight="1" x14ac:dyDescent="0.2">
      <c r="A41" s="12">
        <v>1</v>
      </c>
      <c r="B41" s="12" t="s">
        <v>57</v>
      </c>
      <c r="C41" s="12" t="s">
        <v>26</v>
      </c>
      <c r="D41" s="12">
        <v>30.37</v>
      </c>
      <c r="E41" s="12">
        <v>2025</v>
      </c>
      <c r="F41" s="15"/>
      <c r="G41" s="15"/>
      <c r="H41" s="15"/>
      <c r="I41" s="15"/>
      <c r="J41" s="15"/>
      <c r="K41" s="15"/>
      <c r="L41" s="21"/>
      <c r="M41" s="21"/>
      <c r="N41" s="21"/>
      <c r="O41" s="21"/>
      <c r="P41" s="21"/>
      <c r="Q41" s="21">
        <f t="shared" si="1"/>
        <v>0</v>
      </c>
      <c r="R41" s="21"/>
      <c r="S41" s="21"/>
      <c r="T41" s="21"/>
      <c r="U41" s="21"/>
      <c r="V41" s="21"/>
      <c r="W41" s="21">
        <f t="shared" si="2"/>
        <v>0</v>
      </c>
      <c r="X41" s="21"/>
      <c r="Y41" s="21"/>
      <c r="Z41" s="21"/>
      <c r="AA41" s="21"/>
      <c r="AB41" s="21"/>
      <c r="AC41" s="21">
        <f t="shared" si="3"/>
        <v>0</v>
      </c>
      <c r="AD41" s="21"/>
      <c r="AE41" s="21"/>
      <c r="AF41" s="21"/>
      <c r="AG41" s="21"/>
      <c r="AH41" s="21"/>
      <c r="AI41" s="21">
        <f t="shared" si="4"/>
        <v>0</v>
      </c>
      <c r="AK41" s="128">
        <v>0</v>
      </c>
      <c r="AL41">
        <v>0</v>
      </c>
      <c r="AM41">
        <v>0</v>
      </c>
      <c r="AN41">
        <v>0</v>
      </c>
      <c r="AO41" s="21">
        <f t="shared" si="5"/>
        <v>0</v>
      </c>
      <c r="AQ41">
        <v>0</v>
      </c>
      <c r="AR41">
        <v>0</v>
      </c>
      <c r="AS41">
        <v>0</v>
      </c>
      <c r="AT41">
        <v>0</v>
      </c>
      <c r="AU41" s="21">
        <f t="shared" si="0"/>
        <v>0</v>
      </c>
    </row>
    <row r="42" spans="1:47" ht="15" customHeight="1" x14ac:dyDescent="0.2">
      <c r="A42" s="12">
        <v>1</v>
      </c>
      <c r="B42" s="12" t="s">
        <v>58</v>
      </c>
      <c r="C42" s="12" t="s">
        <v>26</v>
      </c>
      <c r="D42" s="12">
        <v>25.02</v>
      </c>
      <c r="E42" s="12">
        <v>2025</v>
      </c>
      <c r="F42" s="15"/>
      <c r="G42" s="15"/>
      <c r="H42" s="15"/>
      <c r="I42" s="15"/>
      <c r="J42" s="15"/>
      <c r="K42" s="15"/>
      <c r="L42" s="21"/>
      <c r="M42" s="21"/>
      <c r="N42" s="21"/>
      <c r="O42" s="21"/>
      <c r="P42" s="21"/>
      <c r="Q42" s="21">
        <f t="shared" si="1"/>
        <v>0</v>
      </c>
      <c r="R42" s="21"/>
      <c r="S42" s="21"/>
      <c r="T42" s="21"/>
      <c r="U42" s="21"/>
      <c r="V42" s="21"/>
      <c r="W42" s="21">
        <f t="shared" si="2"/>
        <v>0</v>
      </c>
      <c r="X42" s="21"/>
      <c r="Y42" s="21"/>
      <c r="Z42" s="21"/>
      <c r="AA42" s="21"/>
      <c r="AB42" s="21"/>
      <c r="AC42" s="21">
        <f t="shared" si="3"/>
        <v>0</v>
      </c>
      <c r="AD42" s="21"/>
      <c r="AE42" s="21"/>
      <c r="AF42" s="21"/>
      <c r="AG42" s="21"/>
      <c r="AH42" s="21"/>
      <c r="AI42" s="21">
        <f t="shared" si="4"/>
        <v>0</v>
      </c>
      <c r="AK42" s="128">
        <v>0</v>
      </c>
      <c r="AL42">
        <v>0</v>
      </c>
      <c r="AM42">
        <v>0</v>
      </c>
      <c r="AN42">
        <v>0</v>
      </c>
      <c r="AO42" s="21">
        <f t="shared" si="5"/>
        <v>0</v>
      </c>
      <c r="AQ42">
        <v>0</v>
      </c>
      <c r="AR42">
        <v>0</v>
      </c>
      <c r="AS42">
        <v>0</v>
      </c>
      <c r="AT42">
        <v>0</v>
      </c>
      <c r="AU42" s="21">
        <f t="shared" si="0"/>
        <v>0</v>
      </c>
    </row>
    <row r="43" spans="1:47" ht="15" customHeight="1" x14ac:dyDescent="0.2">
      <c r="A43" s="12">
        <v>1</v>
      </c>
      <c r="B43" s="12" t="s">
        <v>59</v>
      </c>
      <c r="C43" s="12" t="s">
        <v>26</v>
      </c>
      <c r="D43" s="12">
        <v>21.24</v>
      </c>
      <c r="E43" s="12">
        <v>2025</v>
      </c>
      <c r="F43" s="15"/>
      <c r="G43" s="15"/>
      <c r="H43" s="15"/>
      <c r="I43" s="15"/>
      <c r="J43" s="15"/>
      <c r="K43" s="15"/>
      <c r="L43" s="21"/>
      <c r="M43" s="21"/>
      <c r="N43" s="21"/>
      <c r="O43" s="21"/>
      <c r="P43" s="21"/>
      <c r="Q43" s="21">
        <f t="shared" si="1"/>
        <v>0</v>
      </c>
      <c r="R43" s="21"/>
      <c r="S43" s="21"/>
      <c r="T43" s="21"/>
      <c r="U43" s="21"/>
      <c r="V43" s="21"/>
      <c r="W43" s="21">
        <f t="shared" si="2"/>
        <v>0</v>
      </c>
      <c r="X43" s="21"/>
      <c r="Y43" s="21"/>
      <c r="Z43" s="21"/>
      <c r="AA43" s="21"/>
      <c r="AB43" s="21"/>
      <c r="AC43" s="21">
        <f t="shared" si="3"/>
        <v>0</v>
      </c>
      <c r="AD43" s="21"/>
      <c r="AE43" s="21"/>
      <c r="AF43" s="21"/>
      <c r="AG43" s="21"/>
      <c r="AH43" s="21"/>
      <c r="AI43" s="21">
        <f t="shared" si="4"/>
        <v>0</v>
      </c>
      <c r="AK43" s="128">
        <v>0</v>
      </c>
      <c r="AL43">
        <v>0</v>
      </c>
      <c r="AM43">
        <v>0</v>
      </c>
      <c r="AN43">
        <v>0</v>
      </c>
      <c r="AO43" s="21">
        <f t="shared" si="5"/>
        <v>0</v>
      </c>
      <c r="AQ43">
        <v>0</v>
      </c>
      <c r="AR43">
        <v>0</v>
      </c>
      <c r="AS43">
        <v>0</v>
      </c>
      <c r="AT43">
        <v>0</v>
      </c>
      <c r="AU43" s="21">
        <f t="shared" si="0"/>
        <v>0</v>
      </c>
    </row>
    <row r="44" spans="1:47" ht="15" customHeight="1" x14ac:dyDescent="0.2">
      <c r="A44" s="12">
        <v>1</v>
      </c>
      <c r="B44" s="12" t="s">
        <v>60</v>
      </c>
      <c r="C44" s="12" t="s">
        <v>26</v>
      </c>
      <c r="D44" s="12">
        <v>22.69</v>
      </c>
      <c r="E44" s="12">
        <v>2025</v>
      </c>
      <c r="F44" s="15"/>
      <c r="G44" s="15"/>
      <c r="H44" s="15"/>
      <c r="I44" s="15"/>
      <c r="J44" s="15"/>
      <c r="K44" s="15"/>
      <c r="L44" s="21"/>
      <c r="M44" s="21"/>
      <c r="N44" s="21"/>
      <c r="O44" s="21"/>
      <c r="P44" s="21"/>
      <c r="Q44" s="21">
        <f t="shared" si="1"/>
        <v>0</v>
      </c>
      <c r="R44" s="21"/>
      <c r="S44" s="21"/>
      <c r="T44" s="21"/>
      <c r="U44" s="21"/>
      <c r="V44" s="21"/>
      <c r="W44" s="21">
        <f t="shared" si="2"/>
        <v>0</v>
      </c>
      <c r="X44" s="21"/>
      <c r="Y44" s="21"/>
      <c r="Z44" s="21"/>
      <c r="AA44" s="21"/>
      <c r="AB44" s="21"/>
      <c r="AC44" s="21">
        <f t="shared" si="3"/>
        <v>0</v>
      </c>
      <c r="AD44" s="21"/>
      <c r="AE44" s="21"/>
      <c r="AF44" s="21"/>
      <c r="AG44" s="21"/>
      <c r="AH44" s="21"/>
      <c r="AI44" s="21">
        <f t="shared" si="4"/>
        <v>0</v>
      </c>
      <c r="AK44" s="128">
        <v>0</v>
      </c>
      <c r="AL44">
        <v>0</v>
      </c>
      <c r="AM44">
        <v>0</v>
      </c>
      <c r="AN44">
        <v>0</v>
      </c>
      <c r="AO44" s="21">
        <f t="shared" si="5"/>
        <v>0</v>
      </c>
      <c r="AQ44">
        <v>0</v>
      </c>
      <c r="AR44">
        <v>0</v>
      </c>
      <c r="AS44">
        <v>0</v>
      </c>
      <c r="AT44">
        <v>0</v>
      </c>
      <c r="AU44" s="21">
        <f t="shared" si="0"/>
        <v>0</v>
      </c>
    </row>
    <row r="45" spans="1:47" ht="15" customHeight="1" x14ac:dyDescent="0.2">
      <c r="A45" s="12">
        <v>1</v>
      </c>
      <c r="B45" s="12" t="s">
        <v>61</v>
      </c>
      <c r="C45" s="12" t="s">
        <v>26</v>
      </c>
      <c r="D45" s="12">
        <v>24.24</v>
      </c>
      <c r="E45" s="12">
        <v>2025</v>
      </c>
      <c r="F45" s="15"/>
      <c r="G45" s="15"/>
      <c r="H45" s="15"/>
      <c r="I45" s="15"/>
      <c r="J45" s="15"/>
      <c r="K45" s="15"/>
      <c r="L45" s="21"/>
      <c r="M45" s="21"/>
      <c r="N45" s="21"/>
      <c r="O45" s="21"/>
      <c r="P45" s="21"/>
      <c r="Q45" s="21">
        <f t="shared" si="1"/>
        <v>0</v>
      </c>
      <c r="R45" s="21"/>
      <c r="S45" s="21"/>
      <c r="T45" s="21"/>
      <c r="U45" s="21"/>
      <c r="V45" s="21"/>
      <c r="W45" s="21">
        <f t="shared" si="2"/>
        <v>0</v>
      </c>
      <c r="X45" s="21"/>
      <c r="Y45" s="21"/>
      <c r="Z45" s="21"/>
      <c r="AA45" s="21"/>
      <c r="AB45" s="21"/>
      <c r="AC45" s="21">
        <f t="shared" si="3"/>
        <v>0</v>
      </c>
      <c r="AD45" s="21"/>
      <c r="AE45" s="21"/>
      <c r="AF45" s="21"/>
      <c r="AG45" s="21"/>
      <c r="AH45" s="21"/>
      <c r="AI45" s="21">
        <f t="shared" si="4"/>
        <v>0</v>
      </c>
      <c r="AK45" s="128">
        <v>0</v>
      </c>
      <c r="AL45">
        <v>0</v>
      </c>
      <c r="AM45">
        <v>0</v>
      </c>
      <c r="AN45">
        <v>0</v>
      </c>
      <c r="AO45" s="21">
        <f t="shared" si="5"/>
        <v>0</v>
      </c>
      <c r="AQ45">
        <v>0</v>
      </c>
      <c r="AR45">
        <v>0</v>
      </c>
      <c r="AS45">
        <v>0</v>
      </c>
      <c r="AT45">
        <v>0</v>
      </c>
      <c r="AU45" s="21">
        <f t="shared" si="0"/>
        <v>0</v>
      </c>
    </row>
    <row r="46" spans="1:47" ht="15" customHeight="1" x14ac:dyDescent="0.2">
      <c r="A46" s="12">
        <v>1</v>
      </c>
      <c r="B46" s="12" t="s">
        <v>62</v>
      </c>
      <c r="C46" s="12" t="s">
        <v>26</v>
      </c>
      <c r="D46" s="12">
        <v>17.47</v>
      </c>
      <c r="E46" s="12">
        <v>2026</v>
      </c>
      <c r="F46" s="15"/>
      <c r="G46" s="15"/>
      <c r="H46" s="15"/>
      <c r="I46" s="15"/>
      <c r="J46" s="15"/>
      <c r="K46" s="15"/>
      <c r="L46" s="21"/>
      <c r="M46" s="21"/>
      <c r="N46" s="21"/>
      <c r="O46" s="21"/>
      <c r="P46" s="21"/>
      <c r="Q46" s="21">
        <f t="shared" si="1"/>
        <v>0</v>
      </c>
      <c r="R46" s="21"/>
      <c r="S46" s="21"/>
      <c r="T46" s="21"/>
      <c r="U46" s="21"/>
      <c r="V46" s="21"/>
      <c r="W46" s="21">
        <f t="shared" si="2"/>
        <v>0</v>
      </c>
      <c r="X46" s="21"/>
      <c r="Y46" s="21"/>
      <c r="Z46" s="21"/>
      <c r="AA46" s="21"/>
      <c r="AB46" s="21"/>
      <c r="AC46" s="21">
        <f t="shared" si="3"/>
        <v>0</v>
      </c>
      <c r="AD46" s="21"/>
      <c r="AE46" s="21"/>
      <c r="AF46" s="21"/>
      <c r="AG46" s="21"/>
      <c r="AH46" s="21"/>
      <c r="AI46" s="21">
        <f t="shared" si="4"/>
        <v>0</v>
      </c>
      <c r="AK46" s="128">
        <v>0</v>
      </c>
      <c r="AL46">
        <v>0</v>
      </c>
      <c r="AM46">
        <v>0</v>
      </c>
      <c r="AN46">
        <v>0</v>
      </c>
      <c r="AO46" s="21">
        <f t="shared" si="5"/>
        <v>0</v>
      </c>
      <c r="AQ46">
        <v>0</v>
      </c>
      <c r="AR46">
        <v>0</v>
      </c>
      <c r="AS46">
        <v>0</v>
      </c>
      <c r="AT46">
        <v>0</v>
      </c>
      <c r="AU46" s="21">
        <f t="shared" si="0"/>
        <v>0</v>
      </c>
    </row>
    <row r="47" spans="1:47" ht="15" customHeight="1" x14ac:dyDescent="0.2">
      <c r="A47" s="12">
        <v>1</v>
      </c>
      <c r="B47" s="12" t="s">
        <v>63</v>
      </c>
      <c r="C47" s="12" t="s">
        <v>26</v>
      </c>
      <c r="D47" s="12">
        <v>48.83</v>
      </c>
      <c r="E47" s="12">
        <v>2026</v>
      </c>
      <c r="F47" s="15"/>
      <c r="G47" s="15"/>
      <c r="H47" s="15"/>
      <c r="I47" s="15"/>
      <c r="J47" s="15"/>
      <c r="K47" s="15"/>
      <c r="L47" s="21"/>
      <c r="M47" s="21"/>
      <c r="N47" s="21"/>
      <c r="O47" s="21"/>
      <c r="P47" s="21"/>
      <c r="Q47" s="21">
        <f t="shared" si="1"/>
        <v>0</v>
      </c>
      <c r="R47" s="21"/>
      <c r="S47" s="21"/>
      <c r="T47" s="21"/>
      <c r="U47" s="21"/>
      <c r="V47" s="21"/>
      <c r="W47" s="21">
        <f t="shared" si="2"/>
        <v>0</v>
      </c>
      <c r="X47" s="21"/>
      <c r="Y47" s="21"/>
      <c r="Z47" s="21"/>
      <c r="AA47" s="21"/>
      <c r="AB47" s="21"/>
      <c r="AC47" s="21">
        <f t="shared" si="3"/>
        <v>0</v>
      </c>
      <c r="AD47" s="21"/>
      <c r="AE47" s="21"/>
      <c r="AF47" s="21"/>
      <c r="AG47" s="21"/>
      <c r="AH47" s="21"/>
      <c r="AI47" s="21">
        <f t="shared" si="4"/>
        <v>0</v>
      </c>
      <c r="AK47" s="128">
        <v>0</v>
      </c>
      <c r="AL47">
        <v>0</v>
      </c>
      <c r="AM47">
        <v>0</v>
      </c>
      <c r="AN47">
        <v>0</v>
      </c>
      <c r="AO47" s="21">
        <f t="shared" si="5"/>
        <v>0</v>
      </c>
      <c r="AQ47">
        <v>0</v>
      </c>
      <c r="AR47">
        <v>0</v>
      </c>
      <c r="AS47">
        <v>0</v>
      </c>
      <c r="AT47">
        <v>0</v>
      </c>
      <c r="AU47" s="21">
        <f t="shared" si="0"/>
        <v>0</v>
      </c>
    </row>
    <row r="48" spans="1:47" ht="15" customHeight="1" x14ac:dyDescent="0.2">
      <c r="A48" s="12">
        <v>1</v>
      </c>
      <c r="B48" s="12" t="s">
        <v>64</v>
      </c>
      <c r="C48" s="12" t="s">
        <v>26</v>
      </c>
      <c r="D48" s="12">
        <v>28.89</v>
      </c>
      <c r="E48" s="12">
        <v>2026</v>
      </c>
      <c r="F48" s="15"/>
      <c r="G48" s="15"/>
      <c r="H48" s="15"/>
      <c r="I48" s="15"/>
      <c r="J48" s="15"/>
      <c r="K48" s="15"/>
      <c r="L48" s="21"/>
      <c r="M48" s="21"/>
      <c r="N48" s="21"/>
      <c r="O48" s="21"/>
      <c r="P48" s="21"/>
      <c r="Q48" s="21">
        <f t="shared" si="1"/>
        <v>0</v>
      </c>
      <c r="R48" s="21"/>
      <c r="S48" s="21"/>
      <c r="T48" s="21"/>
      <c r="U48" s="21"/>
      <c r="V48" s="21"/>
      <c r="W48" s="21">
        <f t="shared" si="2"/>
        <v>0</v>
      </c>
      <c r="X48" s="21"/>
      <c r="Y48" s="21"/>
      <c r="Z48" s="21"/>
      <c r="AA48" s="21"/>
      <c r="AB48" s="21"/>
      <c r="AC48" s="21">
        <f t="shared" si="3"/>
        <v>0</v>
      </c>
      <c r="AD48" s="21"/>
      <c r="AE48" s="21"/>
      <c r="AF48" s="21"/>
      <c r="AG48" s="21"/>
      <c r="AH48" s="21"/>
      <c r="AI48" s="21">
        <f t="shared" si="4"/>
        <v>0</v>
      </c>
      <c r="AK48" s="128">
        <v>0</v>
      </c>
      <c r="AL48">
        <v>0</v>
      </c>
      <c r="AM48">
        <v>0</v>
      </c>
      <c r="AN48">
        <v>0</v>
      </c>
      <c r="AO48" s="21">
        <f t="shared" si="5"/>
        <v>0</v>
      </c>
      <c r="AQ48">
        <v>0</v>
      </c>
      <c r="AR48">
        <v>0</v>
      </c>
      <c r="AS48">
        <v>0</v>
      </c>
      <c r="AT48">
        <v>0</v>
      </c>
      <c r="AU48" s="21">
        <f t="shared" si="0"/>
        <v>0</v>
      </c>
    </row>
    <row r="49" spans="1:48" ht="15" customHeight="1" x14ac:dyDescent="0.2">
      <c r="A49" s="12">
        <v>1</v>
      </c>
      <c r="B49" s="12" t="s">
        <v>65</v>
      </c>
      <c r="C49" s="12" t="s">
        <v>26</v>
      </c>
      <c r="D49" s="12">
        <v>28.34</v>
      </c>
      <c r="E49" s="12">
        <v>2026</v>
      </c>
      <c r="F49" s="15"/>
      <c r="G49" s="15"/>
      <c r="H49" s="15"/>
      <c r="I49" s="15"/>
      <c r="J49" s="15"/>
      <c r="K49" s="15"/>
      <c r="L49" s="21"/>
      <c r="M49" s="21"/>
      <c r="N49" s="21"/>
      <c r="O49" s="21"/>
      <c r="P49" s="21"/>
      <c r="Q49" s="21">
        <f t="shared" si="1"/>
        <v>0</v>
      </c>
      <c r="R49" s="21"/>
      <c r="S49" s="21"/>
      <c r="T49" s="21"/>
      <c r="U49" s="21"/>
      <c r="V49" s="21"/>
      <c r="W49" s="21">
        <f t="shared" si="2"/>
        <v>0</v>
      </c>
      <c r="X49" s="21"/>
      <c r="Y49" s="21"/>
      <c r="Z49" s="21"/>
      <c r="AA49" s="21"/>
      <c r="AB49" s="21"/>
      <c r="AC49" s="21">
        <f t="shared" si="3"/>
        <v>0</v>
      </c>
      <c r="AD49" s="21"/>
      <c r="AE49" s="21"/>
      <c r="AF49" s="21"/>
      <c r="AG49" s="21"/>
      <c r="AH49" s="21"/>
      <c r="AI49" s="21">
        <f t="shared" si="4"/>
        <v>0</v>
      </c>
      <c r="AK49" s="128">
        <v>0</v>
      </c>
      <c r="AL49">
        <v>0</v>
      </c>
      <c r="AM49">
        <v>0</v>
      </c>
      <c r="AN49">
        <v>0</v>
      </c>
      <c r="AO49" s="21">
        <f t="shared" si="5"/>
        <v>0</v>
      </c>
      <c r="AQ49">
        <v>0</v>
      </c>
      <c r="AR49">
        <v>0</v>
      </c>
      <c r="AS49">
        <v>0</v>
      </c>
      <c r="AT49">
        <v>0</v>
      </c>
      <c r="AU49" s="21">
        <f t="shared" si="0"/>
        <v>0</v>
      </c>
    </row>
    <row r="50" spans="1:48" ht="15" customHeight="1" x14ac:dyDescent="0.2">
      <c r="A50" s="12">
        <v>1</v>
      </c>
      <c r="B50" s="12" t="s">
        <v>66</v>
      </c>
      <c r="C50" s="12" t="s">
        <v>26</v>
      </c>
      <c r="D50" s="12">
        <v>24.73</v>
      </c>
      <c r="E50" s="12">
        <v>2026</v>
      </c>
      <c r="F50" s="15"/>
      <c r="G50" s="15"/>
      <c r="H50" s="15"/>
      <c r="I50" s="15"/>
      <c r="J50" s="15"/>
      <c r="K50" s="15"/>
      <c r="L50" s="21"/>
      <c r="M50" s="21"/>
      <c r="N50" s="21"/>
      <c r="O50" s="21"/>
      <c r="P50" s="21"/>
      <c r="Q50" s="21">
        <f t="shared" si="1"/>
        <v>0</v>
      </c>
      <c r="R50" s="21"/>
      <c r="S50" s="21"/>
      <c r="T50" s="21"/>
      <c r="U50" s="21"/>
      <c r="V50" s="21"/>
      <c r="W50" s="21">
        <f t="shared" si="2"/>
        <v>0</v>
      </c>
      <c r="X50" s="21"/>
      <c r="Y50" s="21"/>
      <c r="Z50" s="21"/>
      <c r="AA50" s="21"/>
      <c r="AB50" s="21"/>
      <c r="AC50" s="21">
        <f t="shared" si="3"/>
        <v>0</v>
      </c>
      <c r="AD50" s="21"/>
      <c r="AE50" s="21"/>
      <c r="AF50" s="21"/>
      <c r="AG50" s="21"/>
      <c r="AH50" s="21"/>
      <c r="AI50" s="21">
        <f t="shared" si="4"/>
        <v>0</v>
      </c>
      <c r="AK50" s="128">
        <v>0</v>
      </c>
      <c r="AL50">
        <v>0</v>
      </c>
      <c r="AM50">
        <v>0</v>
      </c>
      <c r="AN50">
        <v>0</v>
      </c>
      <c r="AO50" s="21">
        <f t="shared" si="5"/>
        <v>0</v>
      </c>
      <c r="AQ50">
        <v>0</v>
      </c>
      <c r="AR50">
        <v>0</v>
      </c>
      <c r="AS50">
        <v>0</v>
      </c>
      <c r="AT50">
        <v>0</v>
      </c>
      <c r="AU50" s="21">
        <f t="shared" si="0"/>
        <v>0</v>
      </c>
    </row>
    <row r="51" spans="1:48" ht="15" customHeight="1" x14ac:dyDescent="0.2">
      <c r="A51" s="12">
        <v>1</v>
      </c>
      <c r="B51" s="12" t="s">
        <v>67</v>
      </c>
      <c r="C51" s="12" t="s">
        <v>26</v>
      </c>
      <c r="D51" s="12">
        <v>14.35</v>
      </c>
      <c r="E51" s="12">
        <v>2026</v>
      </c>
      <c r="F51" s="15"/>
      <c r="G51" s="15"/>
      <c r="H51" s="15"/>
      <c r="I51" s="15"/>
      <c r="J51" s="15"/>
      <c r="K51" s="15"/>
      <c r="L51" s="21"/>
      <c r="M51" s="21"/>
      <c r="N51" s="21"/>
      <c r="O51" s="21"/>
      <c r="P51" s="21"/>
      <c r="Q51" s="21">
        <f t="shared" si="1"/>
        <v>0</v>
      </c>
      <c r="R51" s="21"/>
      <c r="S51" s="21"/>
      <c r="T51" s="21"/>
      <c r="U51" s="21"/>
      <c r="V51" s="21"/>
      <c r="W51" s="21">
        <f t="shared" si="2"/>
        <v>0</v>
      </c>
      <c r="X51" s="21"/>
      <c r="Y51" s="21"/>
      <c r="Z51" s="21"/>
      <c r="AA51" s="21"/>
      <c r="AB51" s="21"/>
      <c r="AC51" s="21">
        <f t="shared" si="3"/>
        <v>0</v>
      </c>
      <c r="AD51" s="21"/>
      <c r="AE51" s="21"/>
      <c r="AF51" s="21"/>
      <c r="AG51" s="21"/>
      <c r="AH51" s="21"/>
      <c r="AI51" s="21">
        <f t="shared" si="4"/>
        <v>0</v>
      </c>
      <c r="AK51" s="128">
        <v>0</v>
      </c>
      <c r="AL51">
        <v>0</v>
      </c>
      <c r="AM51">
        <v>0</v>
      </c>
      <c r="AN51">
        <v>0</v>
      </c>
      <c r="AO51" s="21">
        <f t="shared" si="5"/>
        <v>0</v>
      </c>
      <c r="AQ51">
        <v>0</v>
      </c>
      <c r="AR51">
        <v>0</v>
      </c>
      <c r="AS51">
        <v>0</v>
      </c>
      <c r="AT51">
        <v>0</v>
      </c>
      <c r="AU51" s="21">
        <f t="shared" si="0"/>
        <v>0</v>
      </c>
    </row>
    <row r="52" spans="1:48" ht="15" customHeight="1" x14ac:dyDescent="0.2">
      <c r="A52" s="12">
        <v>1</v>
      </c>
      <c r="B52" s="12" t="s">
        <v>68</v>
      </c>
      <c r="C52" s="12" t="s">
        <v>26</v>
      </c>
      <c r="D52" s="12">
        <v>38.29</v>
      </c>
      <c r="E52" s="12">
        <v>2026</v>
      </c>
      <c r="F52" s="15"/>
      <c r="G52" s="15"/>
      <c r="H52" s="15"/>
      <c r="I52" s="15"/>
      <c r="J52" s="15"/>
      <c r="K52" s="15"/>
      <c r="L52" s="21"/>
      <c r="M52" s="21"/>
      <c r="N52" s="21"/>
      <c r="O52" s="21"/>
      <c r="P52" s="21"/>
      <c r="Q52" s="21">
        <f t="shared" si="1"/>
        <v>0</v>
      </c>
      <c r="R52" s="21"/>
      <c r="S52" s="21"/>
      <c r="T52" s="21"/>
      <c r="U52" s="21"/>
      <c r="V52" s="21"/>
      <c r="W52" s="21">
        <f t="shared" si="2"/>
        <v>0</v>
      </c>
      <c r="X52" s="21"/>
      <c r="Y52" s="21"/>
      <c r="Z52" s="21"/>
      <c r="AA52" s="21"/>
      <c r="AB52" s="21"/>
      <c r="AC52" s="21">
        <f t="shared" si="3"/>
        <v>0</v>
      </c>
      <c r="AD52" s="21"/>
      <c r="AE52" s="21"/>
      <c r="AF52" s="21"/>
      <c r="AG52" s="21"/>
      <c r="AH52" s="21"/>
      <c r="AI52" s="21">
        <f t="shared" si="4"/>
        <v>0</v>
      </c>
      <c r="AK52" s="128">
        <v>0</v>
      </c>
      <c r="AL52">
        <v>0</v>
      </c>
      <c r="AM52">
        <v>0</v>
      </c>
      <c r="AN52">
        <v>0</v>
      </c>
      <c r="AO52" s="21">
        <f t="shared" si="5"/>
        <v>0</v>
      </c>
      <c r="AQ52">
        <v>0</v>
      </c>
      <c r="AR52">
        <v>0</v>
      </c>
      <c r="AS52">
        <v>0</v>
      </c>
      <c r="AT52">
        <v>0</v>
      </c>
      <c r="AU52" s="21">
        <f t="shared" si="0"/>
        <v>0</v>
      </c>
    </row>
    <row r="53" spans="1:48" ht="15" customHeight="1" x14ac:dyDescent="0.2">
      <c r="A53" s="12">
        <v>1</v>
      </c>
      <c r="B53" s="12" t="s">
        <v>69</v>
      </c>
      <c r="C53" s="12" t="s">
        <v>26</v>
      </c>
      <c r="D53" s="12">
        <v>22.95</v>
      </c>
      <c r="E53" s="12">
        <v>2026</v>
      </c>
      <c r="F53" s="15"/>
      <c r="G53" s="15"/>
      <c r="H53" s="15"/>
      <c r="I53" s="15"/>
      <c r="J53" s="15"/>
      <c r="K53" s="15"/>
      <c r="L53" s="21"/>
      <c r="M53" s="21"/>
      <c r="N53" s="21"/>
      <c r="O53" s="21"/>
      <c r="P53" s="21"/>
      <c r="Q53" s="21">
        <f t="shared" si="1"/>
        <v>0</v>
      </c>
      <c r="R53" s="21"/>
      <c r="S53" s="21"/>
      <c r="T53" s="21"/>
      <c r="U53" s="21"/>
      <c r="V53" s="21"/>
      <c r="W53" s="21">
        <f t="shared" si="2"/>
        <v>0</v>
      </c>
      <c r="X53" s="21"/>
      <c r="Y53" s="21"/>
      <c r="Z53" s="21"/>
      <c r="AA53" s="21"/>
      <c r="AB53" s="21"/>
      <c r="AC53" s="21">
        <f t="shared" si="3"/>
        <v>0</v>
      </c>
      <c r="AD53" s="21"/>
      <c r="AE53" s="21"/>
      <c r="AF53" s="21"/>
      <c r="AG53" s="21"/>
      <c r="AH53" s="21"/>
      <c r="AI53" s="21">
        <f t="shared" si="4"/>
        <v>0</v>
      </c>
      <c r="AK53" s="128">
        <v>0</v>
      </c>
      <c r="AL53">
        <v>0</v>
      </c>
      <c r="AM53">
        <v>0</v>
      </c>
      <c r="AN53">
        <v>0</v>
      </c>
      <c r="AO53" s="21">
        <f t="shared" si="5"/>
        <v>0</v>
      </c>
      <c r="AQ53">
        <v>0</v>
      </c>
      <c r="AR53">
        <v>0</v>
      </c>
      <c r="AS53">
        <v>0</v>
      </c>
      <c r="AT53">
        <v>0</v>
      </c>
      <c r="AU53" s="21">
        <f t="shared" si="0"/>
        <v>0</v>
      </c>
    </row>
    <row r="54" spans="1:48" ht="15" customHeight="1" x14ac:dyDescent="0.2">
      <c r="A54" s="12">
        <v>1</v>
      </c>
      <c r="B54" s="12" t="s">
        <v>70</v>
      </c>
      <c r="C54" s="12" t="s">
        <v>26</v>
      </c>
      <c r="D54" s="12">
        <v>10.119999999999999</v>
      </c>
      <c r="E54" s="12">
        <v>2026</v>
      </c>
      <c r="F54" s="15"/>
      <c r="G54" s="15"/>
      <c r="H54" s="15"/>
      <c r="I54" s="15"/>
      <c r="J54" s="15"/>
      <c r="K54" s="15"/>
      <c r="L54" s="21"/>
      <c r="M54" s="21"/>
      <c r="N54" s="21"/>
      <c r="O54" s="21"/>
      <c r="P54" s="21"/>
      <c r="Q54" s="21">
        <f t="shared" si="1"/>
        <v>0</v>
      </c>
      <c r="R54" s="21"/>
      <c r="S54" s="21"/>
      <c r="T54" s="21"/>
      <c r="U54" s="21"/>
      <c r="V54" s="21"/>
      <c r="W54" s="21">
        <f t="shared" si="2"/>
        <v>0</v>
      </c>
      <c r="X54" s="21"/>
      <c r="Y54" s="21"/>
      <c r="Z54" s="21"/>
      <c r="AA54" s="21"/>
      <c r="AB54" s="21"/>
      <c r="AC54" s="21">
        <f t="shared" si="3"/>
        <v>0</v>
      </c>
      <c r="AD54" s="21"/>
      <c r="AE54" s="21"/>
      <c r="AF54" s="21"/>
      <c r="AG54" s="21"/>
      <c r="AH54" s="21"/>
      <c r="AI54" s="21">
        <f t="shared" si="4"/>
        <v>0</v>
      </c>
      <c r="AK54" s="128">
        <v>0</v>
      </c>
      <c r="AL54">
        <v>0</v>
      </c>
      <c r="AM54">
        <v>0</v>
      </c>
      <c r="AN54">
        <v>0</v>
      </c>
      <c r="AO54" s="21">
        <f t="shared" si="5"/>
        <v>0</v>
      </c>
      <c r="AQ54">
        <v>0</v>
      </c>
      <c r="AR54">
        <v>0</v>
      </c>
      <c r="AS54">
        <v>0</v>
      </c>
      <c r="AT54">
        <v>0</v>
      </c>
      <c r="AU54" s="21">
        <f t="shared" si="0"/>
        <v>0</v>
      </c>
    </row>
    <row r="55" spans="1:48" x14ac:dyDescent="0.2">
      <c r="A55" s="147" t="s">
        <v>71</v>
      </c>
      <c r="B55" s="148"/>
      <c r="C55" s="149"/>
      <c r="D55" s="13">
        <f>SUM(D10:D54)</f>
        <v>1047.0800000000002</v>
      </c>
      <c r="E55" s="13"/>
      <c r="F55" s="22"/>
      <c r="G55" s="22"/>
      <c r="H55" s="22"/>
      <c r="I55" s="22"/>
      <c r="J55" s="22"/>
      <c r="K55" s="22"/>
      <c r="L55" s="130">
        <f>SUM(L10:L54)</f>
        <v>0</v>
      </c>
      <c r="M55" s="130">
        <f t="shared" ref="M55:P55" si="6">SUM(M10:M54)</f>
        <v>13</v>
      </c>
      <c r="N55" s="130">
        <f t="shared" si="6"/>
        <v>0</v>
      </c>
      <c r="O55" s="130">
        <f t="shared" si="6"/>
        <v>4</v>
      </c>
      <c r="P55" s="130">
        <f t="shared" si="6"/>
        <v>8</v>
      </c>
      <c r="Q55" s="130">
        <f t="shared" ref="Q55" si="7">SUM(Q10:Q54)</f>
        <v>25</v>
      </c>
      <c r="R55" s="130">
        <f t="shared" ref="R55" si="8">SUM(R10:R54)</f>
        <v>0</v>
      </c>
      <c r="S55" s="130">
        <f t="shared" ref="S55" si="9">SUM(S10:S54)</f>
        <v>13</v>
      </c>
      <c r="T55" s="130">
        <f t="shared" ref="T55" si="10">SUM(T10:T54)</f>
        <v>0</v>
      </c>
      <c r="U55" s="130">
        <f t="shared" ref="U55" si="11">SUM(U10:U54)</f>
        <v>2</v>
      </c>
      <c r="V55" s="130">
        <f t="shared" ref="V55" si="12">SUM(V10:V54)</f>
        <v>8</v>
      </c>
      <c r="W55" s="130">
        <f t="shared" ref="W55" si="13">SUM(W10:W54)</f>
        <v>23</v>
      </c>
      <c r="X55" s="130">
        <f t="shared" ref="X55" si="14">SUM(X10:X54)</f>
        <v>11</v>
      </c>
      <c r="Y55" s="130">
        <f t="shared" ref="Y55" si="15">SUM(Y10:Y54)</f>
        <v>2</v>
      </c>
      <c r="Z55" s="130">
        <f t="shared" ref="Z55" si="16">SUM(Z10:Z54)</f>
        <v>0</v>
      </c>
      <c r="AA55" s="130">
        <f t="shared" ref="AA55" si="17">SUM(AA10:AA54)</f>
        <v>2</v>
      </c>
      <c r="AB55" s="130">
        <f t="shared" ref="AB55" si="18">SUM(AB10:AB54)</f>
        <v>8</v>
      </c>
      <c r="AC55" s="130">
        <f t="shared" ref="AC55" si="19">SUM(AC10:AC54)</f>
        <v>12</v>
      </c>
      <c r="AD55" s="130">
        <f t="shared" ref="AD55" si="20">SUM(AD10:AD54)</f>
        <v>0</v>
      </c>
      <c r="AE55" s="130">
        <f t="shared" ref="AE55" si="21">SUM(AE10:AE54)</f>
        <v>2</v>
      </c>
      <c r="AF55" s="130">
        <f t="shared" ref="AF55" si="22">SUM(AF10:AF54)</f>
        <v>0</v>
      </c>
      <c r="AG55" s="130">
        <f t="shared" ref="AG55" si="23">SUM(AG10:AG54)</f>
        <v>7</v>
      </c>
      <c r="AH55" s="130">
        <f t="shared" ref="AH55" si="24">SUM(AH10:AH54)</f>
        <v>17</v>
      </c>
      <c r="AI55" s="130">
        <f t="shared" ref="AI55" si="25">SUM(AI10:AI54)</f>
        <v>26</v>
      </c>
      <c r="AJ55" s="130">
        <f t="shared" ref="AJ55" si="26">SUM(AJ10:AJ54)</f>
        <v>0</v>
      </c>
      <c r="AK55" s="130">
        <f t="shared" ref="AK55" si="27">SUM(AK10:AK54)</f>
        <v>20</v>
      </c>
      <c r="AL55" s="130">
        <f t="shared" ref="AL55" si="28">SUM(AL10:AL54)</f>
        <v>2</v>
      </c>
      <c r="AM55" s="130">
        <f t="shared" ref="AM55" si="29">SUM(AM10:AM54)</f>
        <v>0</v>
      </c>
      <c r="AN55" s="130">
        <f t="shared" ref="AN55" si="30">SUM(AN10:AN54)</f>
        <v>0</v>
      </c>
      <c r="AO55" s="130">
        <f t="shared" ref="AO55" si="31">SUM(AO10:AO54)</f>
        <v>22</v>
      </c>
      <c r="AP55" s="130">
        <f t="shared" ref="AP55" si="32">SUM(AP10:AP54)</f>
        <v>0</v>
      </c>
      <c r="AQ55" s="130">
        <f t="shared" ref="AQ55" si="33">SUM(AQ10:AQ54)</f>
        <v>22</v>
      </c>
      <c r="AR55" s="130">
        <f t="shared" ref="AR55" si="34">SUM(AR10:AR54)</f>
        <v>4</v>
      </c>
      <c r="AS55" s="130">
        <f t="shared" ref="AS55" si="35">SUM(AS10:AS54)</f>
        <v>6</v>
      </c>
      <c r="AT55" s="130">
        <f t="shared" ref="AT55" si="36">SUM(AT10:AT54)</f>
        <v>0</v>
      </c>
      <c r="AU55" s="130">
        <f t="shared" ref="AU55" si="37">SUM(AU10:AU54)</f>
        <v>32</v>
      </c>
      <c r="AV55" s="130">
        <f t="shared" ref="AV55" si="38">SUM(AV10:AV54)</f>
        <v>0</v>
      </c>
    </row>
    <row r="56" spans="1:48" ht="15" customHeight="1" x14ac:dyDescent="0.2">
      <c r="A56" s="12">
        <v>2</v>
      </c>
      <c r="B56" s="12" t="s">
        <v>72</v>
      </c>
      <c r="C56" s="12" t="s">
        <v>26</v>
      </c>
      <c r="D56" s="12">
        <v>2.83</v>
      </c>
      <c r="E56" s="12">
        <v>1997</v>
      </c>
      <c r="F56" s="15"/>
      <c r="G56" s="15"/>
      <c r="H56" s="15"/>
      <c r="I56" s="15"/>
      <c r="J56" s="15"/>
      <c r="K56" s="15"/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f t="shared" si="1"/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f t="shared" si="2"/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f t="shared" si="3"/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f t="shared" si="4"/>
        <v>0</v>
      </c>
      <c r="AK56" s="128">
        <v>0</v>
      </c>
      <c r="AL56">
        <v>0</v>
      </c>
      <c r="AM56">
        <v>0</v>
      </c>
      <c r="AN56">
        <v>0</v>
      </c>
      <c r="AO56" s="21">
        <f t="shared" si="5"/>
        <v>0</v>
      </c>
      <c r="AQ56">
        <v>0</v>
      </c>
      <c r="AR56">
        <v>0</v>
      </c>
      <c r="AS56">
        <v>0</v>
      </c>
      <c r="AT56">
        <v>0</v>
      </c>
      <c r="AU56" s="21">
        <f t="shared" si="0"/>
        <v>0</v>
      </c>
    </row>
    <row r="57" spans="1:48" ht="15" customHeight="1" x14ac:dyDescent="0.2">
      <c r="A57" s="12">
        <v>2</v>
      </c>
      <c r="B57" s="12" t="s">
        <v>73</v>
      </c>
      <c r="C57" s="12" t="s">
        <v>26</v>
      </c>
      <c r="D57" s="12">
        <v>13.72</v>
      </c>
      <c r="E57" s="12">
        <v>1997</v>
      </c>
      <c r="F57" s="15"/>
      <c r="G57" s="15"/>
      <c r="H57" s="15"/>
      <c r="I57" s="15"/>
      <c r="J57" s="15"/>
      <c r="K57" s="15"/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f t="shared" si="1"/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f t="shared" si="2"/>
        <v>0</v>
      </c>
      <c r="X57" s="21">
        <v>1</v>
      </c>
      <c r="Y57" s="21">
        <v>0</v>
      </c>
      <c r="Z57" s="21">
        <v>0</v>
      </c>
      <c r="AA57" s="21">
        <v>0</v>
      </c>
      <c r="AB57" s="21">
        <v>0</v>
      </c>
      <c r="AC57" s="21">
        <f t="shared" si="3"/>
        <v>0</v>
      </c>
      <c r="AD57" s="21">
        <v>1</v>
      </c>
      <c r="AE57" s="21">
        <v>0</v>
      </c>
      <c r="AF57" s="21">
        <v>0</v>
      </c>
      <c r="AG57" s="21">
        <v>0</v>
      </c>
      <c r="AH57" s="21">
        <v>0</v>
      </c>
      <c r="AI57" s="21">
        <f t="shared" si="4"/>
        <v>0</v>
      </c>
      <c r="AJ57">
        <v>1</v>
      </c>
      <c r="AK57" s="128">
        <v>0</v>
      </c>
      <c r="AL57">
        <v>0</v>
      </c>
      <c r="AM57">
        <v>0</v>
      </c>
      <c r="AN57">
        <v>0</v>
      </c>
      <c r="AO57" s="21">
        <f t="shared" si="5"/>
        <v>0</v>
      </c>
      <c r="AQ57">
        <v>0</v>
      </c>
      <c r="AR57">
        <v>0</v>
      </c>
      <c r="AS57">
        <v>0</v>
      </c>
      <c r="AT57">
        <v>1</v>
      </c>
      <c r="AU57" s="21">
        <f t="shared" si="0"/>
        <v>1</v>
      </c>
    </row>
    <row r="58" spans="1:48" ht="15" customHeight="1" x14ac:dyDescent="0.2">
      <c r="A58" s="12">
        <v>2</v>
      </c>
      <c r="B58" s="12" t="s">
        <v>74</v>
      </c>
      <c r="C58" s="12" t="s">
        <v>26</v>
      </c>
      <c r="D58" s="12">
        <v>25.5</v>
      </c>
      <c r="E58" s="12">
        <v>1997</v>
      </c>
      <c r="F58" s="15"/>
      <c r="G58" s="15"/>
      <c r="H58" s="15"/>
      <c r="I58" s="15"/>
      <c r="J58" s="15"/>
      <c r="K58" s="15"/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f t="shared" si="1"/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f t="shared" si="2"/>
        <v>0</v>
      </c>
      <c r="X58" s="21">
        <v>1</v>
      </c>
      <c r="Y58" s="21">
        <v>0</v>
      </c>
      <c r="Z58" s="21">
        <v>0</v>
      </c>
      <c r="AA58" s="21">
        <v>0</v>
      </c>
      <c r="AB58" s="21">
        <v>0</v>
      </c>
      <c r="AC58" s="21">
        <f t="shared" si="3"/>
        <v>0</v>
      </c>
      <c r="AD58" s="21">
        <v>1</v>
      </c>
      <c r="AE58" s="21">
        <v>0</v>
      </c>
      <c r="AF58" s="21">
        <v>0</v>
      </c>
      <c r="AG58" s="21">
        <v>0</v>
      </c>
      <c r="AH58" s="21">
        <v>0</v>
      </c>
      <c r="AI58" s="21">
        <f t="shared" si="4"/>
        <v>0</v>
      </c>
      <c r="AJ58">
        <v>1</v>
      </c>
      <c r="AK58" s="128">
        <v>0</v>
      </c>
      <c r="AL58">
        <v>0</v>
      </c>
      <c r="AM58">
        <v>0</v>
      </c>
      <c r="AN58">
        <v>0</v>
      </c>
      <c r="AO58" s="21">
        <f t="shared" si="5"/>
        <v>0</v>
      </c>
      <c r="AQ58">
        <v>0</v>
      </c>
      <c r="AR58">
        <v>0</v>
      </c>
      <c r="AS58">
        <v>0</v>
      </c>
      <c r="AT58">
        <v>1</v>
      </c>
      <c r="AU58" s="21">
        <f t="shared" si="0"/>
        <v>1</v>
      </c>
    </row>
    <row r="59" spans="1:48" x14ac:dyDescent="0.2">
      <c r="A59" s="12">
        <v>2</v>
      </c>
      <c r="B59" s="12" t="s">
        <v>75</v>
      </c>
      <c r="C59" s="12" t="s">
        <v>26</v>
      </c>
      <c r="D59" s="12">
        <v>33.6</v>
      </c>
      <c r="E59" s="12">
        <v>1997</v>
      </c>
      <c r="F59" s="15"/>
      <c r="G59" s="15"/>
      <c r="H59" s="15"/>
      <c r="I59" s="15"/>
      <c r="J59" s="15"/>
      <c r="K59" s="15"/>
      <c r="L59" s="21">
        <v>0</v>
      </c>
      <c r="M59" s="21">
        <v>0</v>
      </c>
      <c r="N59" s="21">
        <v>0</v>
      </c>
      <c r="O59" s="21">
        <v>0</v>
      </c>
      <c r="P59" s="21">
        <v>1</v>
      </c>
      <c r="Q59" s="21">
        <f t="shared" si="1"/>
        <v>1</v>
      </c>
      <c r="R59" s="21">
        <v>0</v>
      </c>
      <c r="S59" s="21">
        <v>0</v>
      </c>
      <c r="T59" s="21">
        <v>0</v>
      </c>
      <c r="U59" s="21">
        <v>0</v>
      </c>
      <c r="V59" s="21">
        <v>1</v>
      </c>
      <c r="W59" s="21">
        <f t="shared" si="2"/>
        <v>1</v>
      </c>
      <c r="X59" s="21">
        <v>0</v>
      </c>
      <c r="Y59" s="21">
        <v>0</v>
      </c>
      <c r="Z59" s="21">
        <v>0</v>
      </c>
      <c r="AA59" s="21">
        <v>0</v>
      </c>
      <c r="AB59" s="21">
        <v>1</v>
      </c>
      <c r="AC59" s="21">
        <f t="shared" si="3"/>
        <v>1</v>
      </c>
      <c r="AD59" s="21">
        <v>0</v>
      </c>
      <c r="AE59" s="21">
        <v>0</v>
      </c>
      <c r="AF59" s="21">
        <v>0</v>
      </c>
      <c r="AG59" s="21">
        <v>0</v>
      </c>
      <c r="AH59" s="21">
        <v>1</v>
      </c>
      <c r="AI59" s="21">
        <f t="shared" si="4"/>
        <v>1</v>
      </c>
      <c r="AK59" s="128">
        <v>0</v>
      </c>
      <c r="AL59">
        <v>0</v>
      </c>
      <c r="AM59">
        <v>0</v>
      </c>
      <c r="AN59">
        <v>1</v>
      </c>
      <c r="AO59" s="21">
        <f t="shared" si="5"/>
        <v>1</v>
      </c>
      <c r="AQ59">
        <v>0</v>
      </c>
      <c r="AR59">
        <v>0</v>
      </c>
      <c r="AS59">
        <v>0</v>
      </c>
      <c r="AT59">
        <v>1</v>
      </c>
      <c r="AU59" s="21">
        <f t="shared" si="0"/>
        <v>1</v>
      </c>
    </row>
    <row r="60" spans="1:48" ht="15" customHeight="1" x14ac:dyDescent="0.2">
      <c r="A60" s="12">
        <v>2</v>
      </c>
      <c r="B60" s="12" t="s">
        <v>76</v>
      </c>
      <c r="C60" s="12" t="s">
        <v>26</v>
      </c>
      <c r="D60" s="12">
        <v>32.25</v>
      </c>
      <c r="E60" s="12">
        <v>1997</v>
      </c>
      <c r="F60" s="15"/>
      <c r="G60" s="15"/>
      <c r="H60" s="15"/>
      <c r="I60" s="15"/>
      <c r="J60" s="15"/>
      <c r="K60" s="15"/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f t="shared" si="1"/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f t="shared" si="2"/>
        <v>0</v>
      </c>
      <c r="X60" s="21">
        <v>1</v>
      </c>
      <c r="Y60" s="21">
        <v>0</v>
      </c>
      <c r="Z60" s="21">
        <v>0</v>
      </c>
      <c r="AA60" s="21">
        <v>0</v>
      </c>
      <c r="AB60" s="21">
        <v>0</v>
      </c>
      <c r="AC60" s="21">
        <f t="shared" si="3"/>
        <v>0</v>
      </c>
      <c r="AD60" s="21">
        <v>1</v>
      </c>
      <c r="AE60" s="21">
        <v>0</v>
      </c>
      <c r="AF60" s="21">
        <v>0</v>
      </c>
      <c r="AG60" s="21">
        <v>0</v>
      </c>
      <c r="AH60" s="21">
        <v>0</v>
      </c>
      <c r="AI60" s="21">
        <f t="shared" si="4"/>
        <v>0</v>
      </c>
      <c r="AJ60">
        <v>1</v>
      </c>
      <c r="AK60" s="128">
        <v>0</v>
      </c>
      <c r="AL60">
        <v>0</v>
      </c>
      <c r="AM60">
        <v>0</v>
      </c>
      <c r="AN60">
        <v>0</v>
      </c>
      <c r="AO60" s="21">
        <f t="shared" si="5"/>
        <v>0</v>
      </c>
      <c r="AQ60">
        <v>0</v>
      </c>
      <c r="AR60">
        <v>0</v>
      </c>
      <c r="AS60">
        <v>2</v>
      </c>
      <c r="AT60">
        <v>0</v>
      </c>
      <c r="AU60" s="21">
        <f t="shared" si="0"/>
        <v>2</v>
      </c>
    </row>
    <row r="61" spans="1:48" ht="15" customHeight="1" x14ac:dyDescent="0.2">
      <c r="A61" s="12">
        <v>2</v>
      </c>
      <c r="B61" s="12" t="s">
        <v>77</v>
      </c>
      <c r="C61" s="12" t="s">
        <v>26</v>
      </c>
      <c r="D61" s="12">
        <v>35.94</v>
      </c>
      <c r="E61" s="12">
        <v>1996</v>
      </c>
      <c r="F61" s="15"/>
      <c r="G61" s="15"/>
      <c r="H61" s="15"/>
      <c r="I61" s="15"/>
      <c r="J61" s="15"/>
      <c r="K61" s="15"/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f t="shared" si="1"/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f t="shared" si="2"/>
        <v>0</v>
      </c>
      <c r="X61" s="21">
        <v>1</v>
      </c>
      <c r="Y61" s="21">
        <v>0</v>
      </c>
      <c r="Z61" s="21">
        <v>0</v>
      </c>
      <c r="AA61" s="21">
        <v>0</v>
      </c>
      <c r="AB61" s="21">
        <v>0</v>
      </c>
      <c r="AC61" s="21">
        <f t="shared" si="3"/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1</v>
      </c>
      <c r="AI61" s="21">
        <f t="shared" si="4"/>
        <v>1</v>
      </c>
      <c r="AJ61">
        <v>1</v>
      </c>
      <c r="AK61" s="128">
        <v>0</v>
      </c>
      <c r="AL61">
        <v>0</v>
      </c>
      <c r="AM61">
        <v>0</v>
      </c>
      <c r="AN61">
        <v>0</v>
      </c>
      <c r="AO61" s="21">
        <f t="shared" si="5"/>
        <v>0</v>
      </c>
      <c r="AQ61">
        <v>1</v>
      </c>
      <c r="AR61">
        <v>0</v>
      </c>
      <c r="AS61">
        <v>0</v>
      </c>
      <c r="AT61">
        <v>0</v>
      </c>
      <c r="AU61" s="21">
        <f t="shared" si="0"/>
        <v>1</v>
      </c>
    </row>
    <row r="62" spans="1:48" ht="15" customHeight="1" x14ac:dyDescent="0.2">
      <c r="A62" s="12">
        <v>2</v>
      </c>
      <c r="B62" s="12" t="s">
        <v>78</v>
      </c>
      <c r="C62" s="12" t="s">
        <v>26</v>
      </c>
      <c r="D62" s="12">
        <v>32.69</v>
      </c>
      <c r="E62" s="12">
        <v>1997</v>
      </c>
      <c r="F62" s="15"/>
      <c r="G62" s="15"/>
      <c r="H62" s="15"/>
      <c r="I62" s="15"/>
      <c r="J62" s="15"/>
      <c r="K62" s="15"/>
      <c r="L62" s="21">
        <v>1</v>
      </c>
      <c r="M62" s="21">
        <v>0</v>
      </c>
      <c r="N62" s="21">
        <v>0</v>
      </c>
      <c r="O62" s="21">
        <v>0</v>
      </c>
      <c r="P62" s="21">
        <v>0</v>
      </c>
      <c r="Q62" s="21">
        <f t="shared" si="1"/>
        <v>0</v>
      </c>
      <c r="R62" s="21">
        <v>0</v>
      </c>
      <c r="S62" s="21">
        <v>0</v>
      </c>
      <c r="T62" s="21">
        <v>0</v>
      </c>
      <c r="U62" s="21">
        <v>0</v>
      </c>
      <c r="V62" s="21">
        <v>1</v>
      </c>
      <c r="W62" s="21">
        <f t="shared" si="2"/>
        <v>1</v>
      </c>
      <c r="X62" s="21">
        <v>0</v>
      </c>
      <c r="Y62" s="21">
        <v>0</v>
      </c>
      <c r="Z62" s="21">
        <v>0</v>
      </c>
      <c r="AA62" s="21">
        <v>0</v>
      </c>
      <c r="AB62" s="21">
        <v>1</v>
      </c>
      <c r="AC62" s="21">
        <f t="shared" si="3"/>
        <v>1</v>
      </c>
      <c r="AD62" s="21">
        <v>0</v>
      </c>
      <c r="AE62" s="21">
        <v>0</v>
      </c>
      <c r="AF62" s="21">
        <v>0</v>
      </c>
      <c r="AG62" s="21">
        <v>0</v>
      </c>
      <c r="AH62" s="21">
        <v>1</v>
      </c>
      <c r="AI62" s="21">
        <f t="shared" si="4"/>
        <v>1</v>
      </c>
      <c r="AK62" s="128">
        <v>0</v>
      </c>
      <c r="AL62">
        <v>0</v>
      </c>
      <c r="AM62">
        <v>0</v>
      </c>
      <c r="AN62">
        <v>1</v>
      </c>
      <c r="AO62" s="21">
        <f t="shared" si="5"/>
        <v>1</v>
      </c>
      <c r="AQ62">
        <v>1</v>
      </c>
      <c r="AR62">
        <v>0</v>
      </c>
      <c r="AS62">
        <v>0</v>
      </c>
      <c r="AT62">
        <v>0</v>
      </c>
      <c r="AU62" s="21">
        <f t="shared" si="0"/>
        <v>1</v>
      </c>
    </row>
    <row r="63" spans="1:48" ht="15" customHeight="1" x14ac:dyDescent="0.2">
      <c r="A63" s="12">
        <v>2</v>
      </c>
      <c r="B63" s="12" t="s">
        <v>79</v>
      </c>
      <c r="C63" s="12" t="s">
        <v>26</v>
      </c>
      <c r="D63" s="12">
        <v>36.6</v>
      </c>
      <c r="E63" s="12">
        <v>1996</v>
      </c>
      <c r="F63" s="15"/>
      <c r="G63" s="15"/>
      <c r="H63" s="15"/>
      <c r="I63" s="15"/>
      <c r="J63" s="15"/>
      <c r="K63" s="15"/>
      <c r="L63" s="21">
        <v>1</v>
      </c>
      <c r="M63" s="21">
        <v>0</v>
      </c>
      <c r="N63" s="21">
        <v>0</v>
      </c>
      <c r="O63" s="21">
        <v>0</v>
      </c>
      <c r="P63" s="21">
        <v>0</v>
      </c>
      <c r="Q63" s="21">
        <f t="shared" si="1"/>
        <v>0</v>
      </c>
      <c r="R63" s="21">
        <v>0</v>
      </c>
      <c r="S63" s="21">
        <v>0</v>
      </c>
      <c r="T63" s="21">
        <v>0</v>
      </c>
      <c r="U63" s="21">
        <v>0</v>
      </c>
      <c r="V63" s="21">
        <v>1</v>
      </c>
      <c r="W63" s="21">
        <f t="shared" si="2"/>
        <v>1</v>
      </c>
      <c r="X63" s="21">
        <v>0</v>
      </c>
      <c r="Y63" s="21">
        <v>0</v>
      </c>
      <c r="Z63" s="21">
        <v>0</v>
      </c>
      <c r="AA63" s="21">
        <v>0</v>
      </c>
      <c r="AB63" s="21">
        <v>1</v>
      </c>
      <c r="AC63" s="21">
        <f t="shared" si="3"/>
        <v>1</v>
      </c>
      <c r="AD63" s="21">
        <v>0</v>
      </c>
      <c r="AE63" s="21">
        <v>1</v>
      </c>
      <c r="AF63" s="21">
        <v>0</v>
      </c>
      <c r="AG63" s="21">
        <v>0</v>
      </c>
      <c r="AH63" s="21">
        <v>0</v>
      </c>
      <c r="AI63" s="21">
        <f t="shared" si="4"/>
        <v>1</v>
      </c>
      <c r="AK63" s="128">
        <v>0</v>
      </c>
      <c r="AL63">
        <v>0</v>
      </c>
      <c r="AM63">
        <v>0</v>
      </c>
      <c r="AN63">
        <v>1</v>
      </c>
      <c r="AO63" s="21">
        <f t="shared" si="5"/>
        <v>1</v>
      </c>
      <c r="AQ63">
        <v>1</v>
      </c>
      <c r="AR63">
        <v>0</v>
      </c>
      <c r="AS63">
        <v>0</v>
      </c>
      <c r="AT63">
        <v>0</v>
      </c>
      <c r="AU63" s="21">
        <f t="shared" si="0"/>
        <v>1</v>
      </c>
    </row>
    <row r="64" spans="1:48" ht="15" customHeight="1" x14ac:dyDescent="0.2">
      <c r="A64" s="12">
        <v>2</v>
      </c>
      <c r="B64" s="12" t="s">
        <v>80</v>
      </c>
      <c r="C64" s="12" t="s">
        <v>26</v>
      </c>
      <c r="D64" s="12">
        <v>33.03</v>
      </c>
      <c r="E64" s="12">
        <v>1996</v>
      </c>
      <c r="F64" s="15"/>
      <c r="G64" s="15"/>
      <c r="H64" s="15"/>
      <c r="I64" s="15"/>
      <c r="J64" s="15"/>
      <c r="K64" s="15"/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f t="shared" si="1"/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f t="shared" si="2"/>
        <v>0</v>
      </c>
      <c r="X64" s="21">
        <v>1</v>
      </c>
      <c r="Y64" s="21">
        <v>0</v>
      </c>
      <c r="Z64" s="21">
        <v>0</v>
      </c>
      <c r="AA64" s="21">
        <v>0</v>
      </c>
      <c r="AB64" s="21">
        <v>0</v>
      </c>
      <c r="AC64" s="21">
        <f t="shared" si="3"/>
        <v>0</v>
      </c>
      <c r="AD64" s="21">
        <v>1</v>
      </c>
      <c r="AE64" s="21">
        <v>0</v>
      </c>
      <c r="AF64" s="21">
        <v>0</v>
      </c>
      <c r="AG64" s="21">
        <v>0</v>
      </c>
      <c r="AH64" s="21">
        <v>0</v>
      </c>
      <c r="AI64" s="21">
        <f t="shared" si="4"/>
        <v>0</v>
      </c>
      <c r="AJ64">
        <v>1</v>
      </c>
      <c r="AK64" s="128">
        <v>0</v>
      </c>
      <c r="AL64">
        <v>0</v>
      </c>
      <c r="AM64">
        <v>0</v>
      </c>
      <c r="AN64">
        <v>0</v>
      </c>
      <c r="AO64" s="21">
        <f t="shared" si="5"/>
        <v>0</v>
      </c>
      <c r="AQ64">
        <v>0</v>
      </c>
      <c r="AR64">
        <v>0</v>
      </c>
      <c r="AS64">
        <v>0</v>
      </c>
      <c r="AT64">
        <v>1</v>
      </c>
      <c r="AU64" s="21">
        <f t="shared" si="0"/>
        <v>1</v>
      </c>
    </row>
    <row r="65" spans="1:47" ht="15" customHeight="1" x14ac:dyDescent="0.2">
      <c r="A65" s="12">
        <v>2</v>
      </c>
      <c r="B65" s="12" t="s">
        <v>81</v>
      </c>
      <c r="C65" s="12" t="s">
        <v>26</v>
      </c>
      <c r="D65" s="12">
        <v>33.15</v>
      </c>
      <c r="E65" s="12">
        <v>1996</v>
      </c>
      <c r="F65" s="15"/>
      <c r="G65" s="15"/>
      <c r="H65" s="15"/>
      <c r="I65" s="15"/>
      <c r="J65" s="15"/>
      <c r="K65" s="15"/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f t="shared" si="1"/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f t="shared" si="2"/>
        <v>0</v>
      </c>
      <c r="X65" s="21">
        <v>1</v>
      </c>
      <c r="Y65" s="21">
        <v>0</v>
      </c>
      <c r="Z65" s="21">
        <v>0</v>
      </c>
      <c r="AA65" s="21">
        <v>0</v>
      </c>
      <c r="AB65" s="21">
        <v>0</v>
      </c>
      <c r="AC65" s="21">
        <f t="shared" si="3"/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1</v>
      </c>
      <c r="AI65" s="21">
        <f t="shared" si="4"/>
        <v>1</v>
      </c>
      <c r="AJ65">
        <v>1</v>
      </c>
      <c r="AK65" s="128">
        <v>0</v>
      </c>
      <c r="AL65">
        <v>0</v>
      </c>
      <c r="AM65">
        <v>0</v>
      </c>
      <c r="AN65">
        <v>0</v>
      </c>
      <c r="AO65" s="21">
        <f t="shared" si="5"/>
        <v>0</v>
      </c>
      <c r="AQ65">
        <v>0</v>
      </c>
      <c r="AR65">
        <v>0</v>
      </c>
      <c r="AS65">
        <v>0</v>
      </c>
      <c r="AT65">
        <v>1</v>
      </c>
      <c r="AU65" s="21">
        <f t="shared" si="0"/>
        <v>1</v>
      </c>
    </row>
    <row r="66" spans="1:47" ht="15" customHeight="1" x14ac:dyDescent="0.2">
      <c r="A66" s="12">
        <v>2</v>
      </c>
      <c r="B66" s="12" t="s">
        <v>82</v>
      </c>
      <c r="C66" s="12" t="s">
        <v>26</v>
      </c>
      <c r="D66" s="12">
        <v>35.58</v>
      </c>
      <c r="E66" s="12">
        <v>1997</v>
      </c>
      <c r="F66" s="15"/>
      <c r="G66" s="15"/>
      <c r="H66" s="15"/>
      <c r="I66" s="15"/>
      <c r="J66" s="15"/>
      <c r="K66" s="15"/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f t="shared" si="1"/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f t="shared" si="2"/>
        <v>0</v>
      </c>
      <c r="X66" s="21">
        <v>1</v>
      </c>
      <c r="Y66" s="21">
        <v>0</v>
      </c>
      <c r="Z66" s="21">
        <v>0</v>
      </c>
      <c r="AA66" s="21">
        <v>0</v>
      </c>
      <c r="AB66" s="21">
        <v>0</v>
      </c>
      <c r="AC66" s="21">
        <f t="shared" si="3"/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1</v>
      </c>
      <c r="AI66" s="21">
        <f t="shared" si="4"/>
        <v>1</v>
      </c>
      <c r="AJ66">
        <v>1</v>
      </c>
      <c r="AK66" s="128">
        <v>0</v>
      </c>
      <c r="AL66">
        <v>0</v>
      </c>
      <c r="AM66">
        <v>0</v>
      </c>
      <c r="AN66">
        <v>0</v>
      </c>
      <c r="AO66" s="21">
        <f t="shared" si="5"/>
        <v>0</v>
      </c>
      <c r="AQ66">
        <v>0</v>
      </c>
      <c r="AR66">
        <v>0</v>
      </c>
      <c r="AS66">
        <v>0</v>
      </c>
      <c r="AT66">
        <v>1</v>
      </c>
      <c r="AU66" s="21">
        <f t="shared" si="0"/>
        <v>1</v>
      </c>
    </row>
    <row r="67" spans="1:47" ht="15" customHeight="1" x14ac:dyDescent="0.2">
      <c r="A67" s="12">
        <v>2</v>
      </c>
      <c r="B67" s="12" t="s">
        <v>83</v>
      </c>
      <c r="C67" s="12" t="s">
        <v>26</v>
      </c>
      <c r="D67" s="12">
        <v>36.58</v>
      </c>
      <c r="E67" s="12">
        <v>1997</v>
      </c>
      <c r="F67" s="15"/>
      <c r="G67" s="15"/>
      <c r="H67" s="15"/>
      <c r="I67" s="15"/>
      <c r="J67" s="15"/>
      <c r="K67" s="15"/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f t="shared" si="1"/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f t="shared" si="2"/>
        <v>0</v>
      </c>
      <c r="X67" s="21">
        <v>1</v>
      </c>
      <c r="Y67" s="21">
        <v>0</v>
      </c>
      <c r="Z67" s="21">
        <v>0</v>
      </c>
      <c r="AA67" s="21">
        <v>0</v>
      </c>
      <c r="AB67" s="21">
        <v>0</v>
      </c>
      <c r="AC67" s="21">
        <f t="shared" si="3"/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1</v>
      </c>
      <c r="AI67" s="21">
        <f t="shared" si="4"/>
        <v>1</v>
      </c>
      <c r="AJ67">
        <v>1</v>
      </c>
      <c r="AK67" s="128">
        <v>0</v>
      </c>
      <c r="AL67">
        <v>0</v>
      </c>
      <c r="AM67">
        <v>0</v>
      </c>
      <c r="AN67">
        <v>0</v>
      </c>
      <c r="AO67" s="21">
        <f t="shared" si="5"/>
        <v>0</v>
      </c>
      <c r="AQ67">
        <v>0</v>
      </c>
      <c r="AR67">
        <v>0</v>
      </c>
      <c r="AS67">
        <v>0</v>
      </c>
      <c r="AT67">
        <v>1</v>
      </c>
      <c r="AU67" s="21">
        <f t="shared" si="0"/>
        <v>1</v>
      </c>
    </row>
    <row r="68" spans="1:47" ht="15" customHeight="1" x14ac:dyDescent="0.2">
      <c r="A68" s="12">
        <v>2</v>
      </c>
      <c r="B68" s="12" t="s">
        <v>84</v>
      </c>
      <c r="C68" s="12" t="s">
        <v>26</v>
      </c>
      <c r="D68" s="12">
        <v>22.62</v>
      </c>
      <c r="E68" s="12">
        <v>1997</v>
      </c>
      <c r="F68" s="15"/>
      <c r="G68" s="15"/>
      <c r="H68" s="15"/>
      <c r="I68" s="15"/>
      <c r="J68" s="15"/>
      <c r="K68" s="15"/>
      <c r="L68" s="21">
        <v>1</v>
      </c>
      <c r="M68" s="21">
        <v>0</v>
      </c>
      <c r="N68" s="21">
        <v>0</v>
      </c>
      <c r="O68" s="21">
        <v>0</v>
      </c>
      <c r="P68" s="21">
        <v>0</v>
      </c>
      <c r="Q68" s="21">
        <f t="shared" si="1"/>
        <v>0</v>
      </c>
      <c r="R68" s="21">
        <v>0</v>
      </c>
      <c r="S68" s="21">
        <v>0</v>
      </c>
      <c r="T68" s="21">
        <v>0</v>
      </c>
      <c r="U68" s="21">
        <v>0</v>
      </c>
      <c r="V68" s="21">
        <v>1</v>
      </c>
      <c r="W68" s="21">
        <f t="shared" si="2"/>
        <v>1</v>
      </c>
      <c r="X68" s="21">
        <v>0</v>
      </c>
      <c r="Y68" s="21">
        <v>0</v>
      </c>
      <c r="Z68" s="21">
        <v>0</v>
      </c>
      <c r="AA68" s="21">
        <v>0</v>
      </c>
      <c r="AB68" s="21">
        <v>1</v>
      </c>
      <c r="AC68" s="21">
        <f t="shared" si="3"/>
        <v>1</v>
      </c>
      <c r="AD68" s="21">
        <v>0</v>
      </c>
      <c r="AE68" s="21">
        <v>0</v>
      </c>
      <c r="AF68" s="21">
        <v>0</v>
      </c>
      <c r="AG68" s="21">
        <v>0</v>
      </c>
      <c r="AH68" s="21">
        <v>1</v>
      </c>
      <c r="AI68" s="21">
        <f t="shared" si="4"/>
        <v>1</v>
      </c>
      <c r="AK68" s="128">
        <v>0</v>
      </c>
      <c r="AL68">
        <v>0</v>
      </c>
      <c r="AM68">
        <v>0</v>
      </c>
      <c r="AN68">
        <v>1</v>
      </c>
      <c r="AO68" s="21">
        <f t="shared" si="5"/>
        <v>1</v>
      </c>
      <c r="AQ68">
        <v>0</v>
      </c>
      <c r="AR68">
        <v>0</v>
      </c>
      <c r="AS68">
        <v>0</v>
      </c>
      <c r="AT68">
        <v>1</v>
      </c>
      <c r="AU68" s="21">
        <f t="shared" si="0"/>
        <v>1</v>
      </c>
    </row>
    <row r="69" spans="1:47" ht="15" customHeight="1" x14ac:dyDescent="0.2">
      <c r="A69" s="12">
        <v>2</v>
      </c>
      <c r="B69" s="12" t="s">
        <v>85</v>
      </c>
      <c r="C69" s="12" t="s">
        <v>26</v>
      </c>
      <c r="D69" s="12">
        <v>30.83</v>
      </c>
      <c r="E69" s="12">
        <v>1997</v>
      </c>
      <c r="F69" s="15"/>
      <c r="G69" s="15"/>
      <c r="H69" s="15"/>
      <c r="I69" s="15"/>
      <c r="J69" s="15"/>
      <c r="K69" s="15"/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f t="shared" si="1"/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f t="shared" si="2"/>
        <v>0</v>
      </c>
      <c r="X69" s="21">
        <v>1</v>
      </c>
      <c r="Y69" s="21">
        <v>0</v>
      </c>
      <c r="Z69" s="21">
        <v>0</v>
      </c>
      <c r="AA69" s="21">
        <v>0</v>
      </c>
      <c r="AB69" s="21">
        <v>0</v>
      </c>
      <c r="AC69" s="21">
        <f t="shared" si="3"/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1</v>
      </c>
      <c r="AI69" s="21">
        <f t="shared" si="4"/>
        <v>1</v>
      </c>
      <c r="AJ69">
        <v>1</v>
      </c>
      <c r="AK69" s="128">
        <v>0</v>
      </c>
      <c r="AL69">
        <v>0</v>
      </c>
      <c r="AM69">
        <v>0</v>
      </c>
      <c r="AN69">
        <v>0</v>
      </c>
      <c r="AO69" s="21">
        <f t="shared" si="5"/>
        <v>0</v>
      </c>
      <c r="AQ69">
        <v>0</v>
      </c>
      <c r="AR69">
        <v>0</v>
      </c>
      <c r="AS69">
        <v>0</v>
      </c>
      <c r="AT69">
        <v>1</v>
      </c>
      <c r="AU69" s="21">
        <f t="shared" si="0"/>
        <v>1</v>
      </c>
    </row>
    <row r="70" spans="1:47" ht="15" customHeight="1" x14ac:dyDescent="0.2">
      <c r="A70" s="12">
        <v>2</v>
      </c>
      <c r="B70" s="12" t="s">
        <v>86</v>
      </c>
      <c r="C70" s="12" t="s">
        <v>26</v>
      </c>
      <c r="D70" s="12">
        <v>29.14</v>
      </c>
      <c r="E70" s="12">
        <v>1997</v>
      </c>
      <c r="F70" s="15"/>
      <c r="G70" s="15"/>
      <c r="H70" s="15"/>
      <c r="I70" s="15"/>
      <c r="J70" s="15"/>
      <c r="K70" s="15"/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f t="shared" si="1"/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f t="shared" si="2"/>
        <v>0</v>
      </c>
      <c r="X70" s="21">
        <v>1</v>
      </c>
      <c r="Y70" s="21">
        <v>0</v>
      </c>
      <c r="Z70" s="21">
        <v>0</v>
      </c>
      <c r="AA70" s="21">
        <v>0</v>
      </c>
      <c r="AB70" s="21">
        <v>0</v>
      </c>
      <c r="AC70" s="21">
        <f t="shared" si="3"/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1</v>
      </c>
      <c r="AI70" s="21">
        <f t="shared" si="4"/>
        <v>1</v>
      </c>
      <c r="AJ70">
        <v>1</v>
      </c>
      <c r="AK70" s="128">
        <v>0</v>
      </c>
      <c r="AL70">
        <v>0</v>
      </c>
      <c r="AM70">
        <v>0</v>
      </c>
      <c r="AN70">
        <v>0</v>
      </c>
      <c r="AO70" s="21">
        <f t="shared" si="5"/>
        <v>0</v>
      </c>
      <c r="AQ70">
        <v>0</v>
      </c>
      <c r="AR70">
        <v>0</v>
      </c>
      <c r="AS70">
        <v>0</v>
      </c>
      <c r="AT70">
        <v>1</v>
      </c>
      <c r="AU70" s="21">
        <f t="shared" si="0"/>
        <v>1</v>
      </c>
    </row>
    <row r="71" spans="1:47" ht="15" customHeight="1" x14ac:dyDescent="0.2">
      <c r="A71" s="12">
        <v>2</v>
      </c>
      <c r="B71" s="12" t="s">
        <v>87</v>
      </c>
      <c r="C71" s="12" t="s">
        <v>26</v>
      </c>
      <c r="D71" s="12">
        <v>32.36</v>
      </c>
      <c r="E71" s="12">
        <v>1997</v>
      </c>
      <c r="F71" s="15"/>
      <c r="G71" s="15"/>
      <c r="H71" s="15"/>
      <c r="I71" s="15"/>
      <c r="J71" s="15"/>
      <c r="K71" s="15"/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f t="shared" si="1"/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f t="shared" si="2"/>
        <v>0</v>
      </c>
      <c r="X71" s="21">
        <v>1</v>
      </c>
      <c r="Y71" s="21">
        <v>0</v>
      </c>
      <c r="Z71" s="21">
        <v>0</v>
      </c>
      <c r="AA71" s="21">
        <v>0</v>
      </c>
      <c r="AB71" s="21">
        <v>0</v>
      </c>
      <c r="AC71" s="21">
        <f t="shared" si="3"/>
        <v>0</v>
      </c>
      <c r="AD71" s="21">
        <v>1</v>
      </c>
      <c r="AE71" s="21">
        <v>0</v>
      </c>
      <c r="AF71" s="21">
        <v>0</v>
      </c>
      <c r="AG71" s="21">
        <v>0</v>
      </c>
      <c r="AH71" s="21">
        <v>0</v>
      </c>
      <c r="AI71" s="21">
        <f t="shared" si="4"/>
        <v>0</v>
      </c>
      <c r="AJ71">
        <v>1</v>
      </c>
      <c r="AK71" s="128">
        <v>0</v>
      </c>
      <c r="AL71">
        <v>0</v>
      </c>
      <c r="AM71">
        <v>0</v>
      </c>
      <c r="AN71">
        <v>0</v>
      </c>
      <c r="AO71" s="21">
        <f t="shared" si="5"/>
        <v>0</v>
      </c>
      <c r="AQ71">
        <v>0</v>
      </c>
      <c r="AR71">
        <v>0</v>
      </c>
      <c r="AS71">
        <v>0</v>
      </c>
      <c r="AT71">
        <v>1</v>
      </c>
      <c r="AU71" s="21">
        <f t="shared" si="0"/>
        <v>1</v>
      </c>
    </row>
    <row r="72" spans="1:47" ht="15" customHeight="1" x14ac:dyDescent="0.2">
      <c r="A72" s="12">
        <v>2</v>
      </c>
      <c r="B72" s="12" t="s">
        <v>88</v>
      </c>
      <c r="C72" s="12" t="s">
        <v>26</v>
      </c>
      <c r="D72" s="12">
        <v>32.520000000000003</v>
      </c>
      <c r="E72" s="12">
        <v>1997</v>
      </c>
      <c r="F72" s="15"/>
      <c r="G72" s="15"/>
      <c r="H72" s="15"/>
      <c r="I72" s="15"/>
      <c r="J72" s="15"/>
      <c r="K72" s="15"/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f t="shared" si="1"/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f t="shared" si="2"/>
        <v>0</v>
      </c>
      <c r="X72" s="21">
        <v>1</v>
      </c>
      <c r="Y72" s="21">
        <v>0</v>
      </c>
      <c r="Z72" s="21">
        <v>0</v>
      </c>
      <c r="AA72" s="21">
        <v>0</v>
      </c>
      <c r="AB72" s="21">
        <v>0</v>
      </c>
      <c r="AC72" s="21">
        <f t="shared" si="3"/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1</v>
      </c>
      <c r="AI72" s="21">
        <f t="shared" si="4"/>
        <v>1</v>
      </c>
      <c r="AJ72">
        <v>1</v>
      </c>
      <c r="AK72" s="128">
        <v>0</v>
      </c>
      <c r="AL72">
        <v>0</v>
      </c>
      <c r="AM72">
        <v>0</v>
      </c>
      <c r="AN72">
        <v>0</v>
      </c>
      <c r="AO72" s="21">
        <f t="shared" si="5"/>
        <v>0</v>
      </c>
      <c r="AQ72">
        <v>0</v>
      </c>
      <c r="AR72">
        <v>0</v>
      </c>
      <c r="AS72">
        <v>0</v>
      </c>
      <c r="AT72">
        <v>1</v>
      </c>
      <c r="AU72" s="21">
        <f t="shared" si="0"/>
        <v>1</v>
      </c>
    </row>
    <row r="73" spans="1:47" ht="15" customHeight="1" x14ac:dyDescent="0.2">
      <c r="A73" s="12">
        <v>2</v>
      </c>
      <c r="B73" s="12" t="s">
        <v>89</v>
      </c>
      <c r="C73" s="12" t="s">
        <v>26</v>
      </c>
      <c r="D73" s="12">
        <v>31.73</v>
      </c>
      <c r="E73" s="12">
        <v>1997</v>
      </c>
      <c r="F73" s="15"/>
      <c r="G73" s="15"/>
      <c r="H73" s="15"/>
      <c r="I73" s="15"/>
      <c r="J73" s="15"/>
      <c r="K73" s="15"/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f t="shared" si="1"/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f t="shared" si="2"/>
        <v>0</v>
      </c>
      <c r="X73" s="21">
        <v>1</v>
      </c>
      <c r="Y73" s="21">
        <v>0</v>
      </c>
      <c r="Z73" s="21">
        <v>0</v>
      </c>
      <c r="AA73" s="21">
        <v>0</v>
      </c>
      <c r="AB73" s="21">
        <v>0</v>
      </c>
      <c r="AC73" s="21">
        <f t="shared" si="3"/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1</v>
      </c>
      <c r="AI73" s="21">
        <f t="shared" si="4"/>
        <v>1</v>
      </c>
      <c r="AJ73">
        <v>1</v>
      </c>
      <c r="AK73" s="128">
        <v>0</v>
      </c>
      <c r="AL73">
        <v>0</v>
      </c>
      <c r="AM73">
        <v>0</v>
      </c>
      <c r="AN73">
        <v>0</v>
      </c>
      <c r="AO73" s="21">
        <f t="shared" si="5"/>
        <v>0</v>
      </c>
      <c r="AQ73">
        <v>1</v>
      </c>
      <c r="AR73">
        <v>0</v>
      </c>
      <c r="AS73">
        <v>0</v>
      </c>
      <c r="AT73">
        <v>0</v>
      </c>
      <c r="AU73" s="21">
        <f t="shared" si="0"/>
        <v>1</v>
      </c>
    </row>
    <row r="74" spans="1:47" ht="15" customHeight="1" x14ac:dyDescent="0.2">
      <c r="A74" s="12">
        <v>2</v>
      </c>
      <c r="B74" s="12" t="s">
        <v>90</v>
      </c>
      <c r="C74" s="12" t="s">
        <v>26</v>
      </c>
      <c r="D74" s="12">
        <v>33.07</v>
      </c>
      <c r="E74" s="12">
        <v>1996</v>
      </c>
      <c r="F74" s="15"/>
      <c r="G74" s="15"/>
      <c r="H74" s="15"/>
      <c r="I74" s="15"/>
      <c r="J74" s="15"/>
      <c r="K74" s="15"/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f t="shared" si="1"/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f t="shared" si="2"/>
        <v>0</v>
      </c>
      <c r="X74" s="21">
        <v>1</v>
      </c>
      <c r="Y74" s="21">
        <v>0</v>
      </c>
      <c r="Z74" s="21">
        <v>0</v>
      </c>
      <c r="AA74" s="21">
        <v>0</v>
      </c>
      <c r="AB74" s="21">
        <v>0</v>
      </c>
      <c r="AC74" s="21">
        <f t="shared" si="3"/>
        <v>0</v>
      </c>
      <c r="AD74" s="21">
        <v>1</v>
      </c>
      <c r="AE74" s="21">
        <v>0</v>
      </c>
      <c r="AF74" s="21">
        <v>0</v>
      </c>
      <c r="AG74" s="21">
        <v>0</v>
      </c>
      <c r="AH74" s="21">
        <v>0</v>
      </c>
      <c r="AI74" s="21">
        <f t="shared" si="4"/>
        <v>0</v>
      </c>
      <c r="AJ74">
        <v>1</v>
      </c>
      <c r="AK74" s="128">
        <v>0</v>
      </c>
      <c r="AL74">
        <v>0</v>
      </c>
      <c r="AM74">
        <v>0</v>
      </c>
      <c r="AN74">
        <v>0</v>
      </c>
      <c r="AO74" s="21">
        <f t="shared" si="5"/>
        <v>0</v>
      </c>
      <c r="AQ74">
        <v>0</v>
      </c>
      <c r="AR74">
        <v>0</v>
      </c>
      <c r="AS74">
        <v>0</v>
      </c>
      <c r="AT74">
        <v>1</v>
      </c>
      <c r="AU74" s="21">
        <f t="shared" ref="AU74:AU137" si="39">SUM(AQ74:AT74)</f>
        <v>1</v>
      </c>
    </row>
    <row r="75" spans="1:47" ht="15" customHeight="1" x14ac:dyDescent="0.2">
      <c r="A75" s="12">
        <v>2</v>
      </c>
      <c r="B75" s="12" t="s">
        <v>91</v>
      </c>
      <c r="C75" s="12" t="s">
        <v>26</v>
      </c>
      <c r="D75" s="12">
        <v>31.59</v>
      </c>
      <c r="E75" s="12">
        <v>1996</v>
      </c>
      <c r="F75" s="15"/>
      <c r="G75" s="15"/>
      <c r="H75" s="15"/>
      <c r="I75" s="15"/>
      <c r="J75" s="15"/>
      <c r="K75" s="15"/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f t="shared" ref="Q75:Q138" si="40">SUM(M75:P75)</f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f t="shared" ref="W75:W138" si="41">SUM(S75:V75)</f>
        <v>0</v>
      </c>
      <c r="X75" s="21">
        <v>1</v>
      </c>
      <c r="Y75" s="21">
        <v>0</v>
      </c>
      <c r="Z75" s="21">
        <v>0</v>
      </c>
      <c r="AA75" s="21">
        <v>0</v>
      </c>
      <c r="AB75" s="21">
        <v>0</v>
      </c>
      <c r="AC75" s="21">
        <f t="shared" ref="AC75:AC138" si="42">SUM(Y75:AB75)</f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1</v>
      </c>
      <c r="AI75" s="21">
        <f t="shared" ref="AI75:AI138" si="43">SUM(AE75:AH75)</f>
        <v>1</v>
      </c>
      <c r="AJ75">
        <v>1</v>
      </c>
      <c r="AK75" s="128">
        <v>0</v>
      </c>
      <c r="AL75">
        <v>0</v>
      </c>
      <c r="AM75">
        <v>0</v>
      </c>
      <c r="AN75">
        <v>0</v>
      </c>
      <c r="AO75" s="21">
        <f t="shared" ref="AO75:AO138" si="44">SUM(AK75:AN75)</f>
        <v>0</v>
      </c>
      <c r="AQ75">
        <v>0</v>
      </c>
      <c r="AR75">
        <v>0</v>
      </c>
      <c r="AS75">
        <v>1</v>
      </c>
      <c r="AT75">
        <v>0</v>
      </c>
      <c r="AU75" s="21">
        <f t="shared" si="39"/>
        <v>1</v>
      </c>
    </row>
    <row r="76" spans="1:47" x14ac:dyDescent="0.2">
      <c r="A76" s="12">
        <v>2</v>
      </c>
      <c r="B76" s="12" t="s">
        <v>92</v>
      </c>
      <c r="C76" s="12" t="s">
        <v>26</v>
      </c>
      <c r="D76" s="12">
        <v>33.049999999999997</v>
      </c>
      <c r="E76" s="12">
        <v>1996</v>
      </c>
      <c r="F76" s="15"/>
      <c r="G76" s="15"/>
      <c r="H76" s="15"/>
      <c r="I76" s="15"/>
      <c r="J76" s="15"/>
      <c r="K76" s="15"/>
      <c r="L76" s="21">
        <v>0</v>
      </c>
      <c r="M76" s="21">
        <v>0</v>
      </c>
      <c r="N76" s="21">
        <v>0</v>
      </c>
      <c r="O76" s="21">
        <v>0</v>
      </c>
      <c r="P76" s="21">
        <v>1</v>
      </c>
      <c r="Q76" s="21">
        <f t="shared" si="40"/>
        <v>1</v>
      </c>
      <c r="R76" s="21">
        <v>0</v>
      </c>
      <c r="S76" s="21">
        <v>0</v>
      </c>
      <c r="T76" s="21">
        <v>0</v>
      </c>
      <c r="U76" s="21">
        <v>0</v>
      </c>
      <c r="V76" s="21">
        <v>1</v>
      </c>
      <c r="W76" s="21">
        <f t="shared" si="41"/>
        <v>1</v>
      </c>
      <c r="X76" s="21">
        <v>0</v>
      </c>
      <c r="Y76" s="21">
        <v>0</v>
      </c>
      <c r="Z76" s="21">
        <v>0</v>
      </c>
      <c r="AA76" s="21">
        <v>0</v>
      </c>
      <c r="AB76" s="21">
        <v>1</v>
      </c>
      <c r="AC76" s="21">
        <f t="shared" si="42"/>
        <v>1</v>
      </c>
      <c r="AD76" s="21">
        <v>0</v>
      </c>
      <c r="AE76" s="21">
        <v>0</v>
      </c>
      <c r="AF76" s="21">
        <v>0</v>
      </c>
      <c r="AG76" s="21">
        <v>0</v>
      </c>
      <c r="AH76" s="21">
        <v>1</v>
      </c>
      <c r="AI76" s="21">
        <f t="shared" si="43"/>
        <v>1</v>
      </c>
      <c r="AK76" s="128">
        <v>0</v>
      </c>
      <c r="AL76">
        <v>0</v>
      </c>
      <c r="AM76">
        <v>0</v>
      </c>
      <c r="AN76">
        <v>1</v>
      </c>
      <c r="AO76" s="21">
        <f t="shared" si="44"/>
        <v>1</v>
      </c>
      <c r="AQ76">
        <v>1</v>
      </c>
      <c r="AR76">
        <v>0</v>
      </c>
      <c r="AS76">
        <v>0</v>
      </c>
      <c r="AT76">
        <v>0</v>
      </c>
      <c r="AU76" s="21">
        <f t="shared" si="39"/>
        <v>1</v>
      </c>
    </row>
    <row r="77" spans="1:47" ht="15" customHeight="1" x14ac:dyDescent="0.2">
      <c r="A77" s="12">
        <v>2</v>
      </c>
      <c r="B77" s="12" t="s">
        <v>93</v>
      </c>
      <c r="C77" s="12" t="s">
        <v>26</v>
      </c>
      <c r="D77" s="12">
        <v>30.13</v>
      </c>
      <c r="E77" s="12">
        <v>1996</v>
      </c>
      <c r="F77" s="15"/>
      <c r="G77" s="15"/>
      <c r="H77" s="15"/>
      <c r="I77" s="15"/>
      <c r="J77" s="15"/>
      <c r="K77" s="15"/>
      <c r="L77" s="21">
        <v>1</v>
      </c>
      <c r="M77" s="21">
        <v>0</v>
      </c>
      <c r="N77" s="21">
        <v>0</v>
      </c>
      <c r="O77" s="21">
        <v>0</v>
      </c>
      <c r="P77" s="21">
        <v>0</v>
      </c>
      <c r="Q77" s="21">
        <f t="shared" si="40"/>
        <v>0</v>
      </c>
      <c r="R77" s="21">
        <v>0</v>
      </c>
      <c r="S77" s="21">
        <v>0</v>
      </c>
      <c r="T77" s="21">
        <v>0</v>
      </c>
      <c r="U77" s="21">
        <v>0</v>
      </c>
      <c r="V77" s="21">
        <v>1</v>
      </c>
      <c r="W77" s="21">
        <f t="shared" si="41"/>
        <v>1</v>
      </c>
      <c r="X77" s="21">
        <v>0</v>
      </c>
      <c r="Y77" s="21">
        <v>0</v>
      </c>
      <c r="Z77" s="21">
        <v>0</v>
      </c>
      <c r="AA77" s="21">
        <v>0</v>
      </c>
      <c r="AB77" s="21">
        <v>1</v>
      </c>
      <c r="AC77" s="21">
        <f t="shared" si="42"/>
        <v>1</v>
      </c>
      <c r="AD77" s="21">
        <v>0</v>
      </c>
      <c r="AE77" s="21">
        <v>1</v>
      </c>
      <c r="AF77" s="21">
        <v>0</v>
      </c>
      <c r="AG77" s="21">
        <v>0</v>
      </c>
      <c r="AH77" s="21">
        <v>0</v>
      </c>
      <c r="AI77" s="21">
        <f t="shared" si="43"/>
        <v>1</v>
      </c>
      <c r="AK77" s="128">
        <v>0</v>
      </c>
      <c r="AL77">
        <v>0</v>
      </c>
      <c r="AM77">
        <v>0</v>
      </c>
      <c r="AN77">
        <v>1</v>
      </c>
      <c r="AO77" s="21">
        <f t="shared" si="44"/>
        <v>1</v>
      </c>
      <c r="AQ77">
        <v>0</v>
      </c>
      <c r="AR77">
        <v>0</v>
      </c>
      <c r="AS77">
        <v>0</v>
      </c>
      <c r="AT77">
        <v>1</v>
      </c>
      <c r="AU77" s="21">
        <f t="shared" si="39"/>
        <v>1</v>
      </c>
    </row>
    <row r="78" spans="1:47" ht="15" customHeight="1" x14ac:dyDescent="0.2">
      <c r="A78" s="12">
        <v>2</v>
      </c>
      <c r="B78" s="12" t="s">
        <v>94</v>
      </c>
      <c r="C78" s="12" t="s">
        <v>26</v>
      </c>
      <c r="D78" s="12">
        <v>30.41</v>
      </c>
      <c r="E78" s="12">
        <v>1996</v>
      </c>
      <c r="F78" s="15"/>
      <c r="G78" s="15"/>
      <c r="H78" s="15"/>
      <c r="I78" s="15"/>
      <c r="J78" s="15"/>
      <c r="K78" s="15"/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f t="shared" si="40"/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f t="shared" si="41"/>
        <v>0</v>
      </c>
      <c r="X78" s="21">
        <v>1</v>
      </c>
      <c r="Y78" s="21">
        <v>0</v>
      </c>
      <c r="Z78" s="21">
        <v>0</v>
      </c>
      <c r="AA78" s="21">
        <v>0</v>
      </c>
      <c r="AB78" s="21">
        <v>0</v>
      </c>
      <c r="AC78" s="21">
        <f t="shared" si="42"/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1</v>
      </c>
      <c r="AI78" s="21">
        <f t="shared" si="43"/>
        <v>1</v>
      </c>
      <c r="AJ78">
        <v>1</v>
      </c>
      <c r="AK78" s="128">
        <v>0</v>
      </c>
      <c r="AL78">
        <v>0</v>
      </c>
      <c r="AM78">
        <v>0</v>
      </c>
      <c r="AN78">
        <v>0</v>
      </c>
      <c r="AO78" s="21">
        <f t="shared" si="44"/>
        <v>0</v>
      </c>
      <c r="AQ78">
        <v>0</v>
      </c>
      <c r="AR78">
        <v>0</v>
      </c>
      <c r="AS78">
        <v>0</v>
      </c>
      <c r="AT78">
        <v>1</v>
      </c>
      <c r="AU78" s="21">
        <f t="shared" si="39"/>
        <v>1</v>
      </c>
    </row>
    <row r="79" spans="1:47" ht="15" customHeight="1" x14ac:dyDescent="0.2">
      <c r="A79" s="12">
        <v>2</v>
      </c>
      <c r="B79" s="12" t="s">
        <v>95</v>
      </c>
      <c r="C79" s="12" t="s">
        <v>26</v>
      </c>
      <c r="D79" s="12">
        <v>30.58</v>
      </c>
      <c r="E79" s="12">
        <v>1996</v>
      </c>
      <c r="F79" s="15"/>
      <c r="G79" s="15"/>
      <c r="H79" s="15"/>
      <c r="I79" s="15"/>
      <c r="J79" s="15"/>
      <c r="K79" s="15"/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f t="shared" si="40"/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f t="shared" si="41"/>
        <v>0</v>
      </c>
      <c r="X79" s="21">
        <v>1</v>
      </c>
      <c r="Y79" s="21">
        <v>0</v>
      </c>
      <c r="Z79" s="21">
        <v>0</v>
      </c>
      <c r="AA79" s="21">
        <v>0</v>
      </c>
      <c r="AB79" s="21">
        <v>0</v>
      </c>
      <c r="AC79" s="21">
        <f t="shared" si="42"/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1</v>
      </c>
      <c r="AI79" s="21">
        <f t="shared" si="43"/>
        <v>1</v>
      </c>
      <c r="AJ79">
        <v>1</v>
      </c>
      <c r="AK79" s="128">
        <v>0</v>
      </c>
      <c r="AL79">
        <v>0</v>
      </c>
      <c r="AM79">
        <v>0</v>
      </c>
      <c r="AN79">
        <v>0</v>
      </c>
      <c r="AO79" s="21">
        <f t="shared" si="44"/>
        <v>0</v>
      </c>
      <c r="AQ79">
        <v>0</v>
      </c>
      <c r="AR79">
        <v>0</v>
      </c>
      <c r="AS79">
        <v>0</v>
      </c>
      <c r="AT79">
        <v>1</v>
      </c>
      <c r="AU79" s="21">
        <f t="shared" si="39"/>
        <v>1</v>
      </c>
    </row>
    <row r="80" spans="1:47" ht="15" customHeight="1" x14ac:dyDescent="0.2">
      <c r="A80" s="12">
        <v>2</v>
      </c>
      <c r="B80" s="12" t="s">
        <v>96</v>
      </c>
      <c r="C80" s="12" t="s">
        <v>26</v>
      </c>
      <c r="D80" s="12">
        <v>29.91</v>
      </c>
      <c r="E80" s="12">
        <v>1996</v>
      </c>
      <c r="F80" s="15"/>
      <c r="G80" s="15"/>
      <c r="H80" s="15"/>
      <c r="I80" s="15"/>
      <c r="J80" s="15"/>
      <c r="K80" s="15"/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f t="shared" si="40"/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f t="shared" si="41"/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1</v>
      </c>
      <c r="AC80" s="21">
        <f t="shared" si="42"/>
        <v>1</v>
      </c>
      <c r="AD80" s="21">
        <v>0</v>
      </c>
      <c r="AE80" s="21">
        <v>0</v>
      </c>
      <c r="AF80" s="21">
        <v>0</v>
      </c>
      <c r="AG80" s="21">
        <v>0</v>
      </c>
      <c r="AH80" s="21">
        <v>1</v>
      </c>
      <c r="AI80" s="21">
        <f t="shared" si="43"/>
        <v>1</v>
      </c>
      <c r="AJ80">
        <v>1</v>
      </c>
      <c r="AK80" s="128">
        <v>0</v>
      </c>
      <c r="AL80">
        <v>0</v>
      </c>
      <c r="AM80">
        <v>0</v>
      </c>
      <c r="AN80">
        <v>0</v>
      </c>
      <c r="AO80" s="21">
        <f t="shared" si="44"/>
        <v>0</v>
      </c>
      <c r="AQ80">
        <v>0</v>
      </c>
      <c r="AR80">
        <v>0</v>
      </c>
      <c r="AS80">
        <v>0</v>
      </c>
      <c r="AT80">
        <v>1</v>
      </c>
      <c r="AU80" s="21">
        <f t="shared" si="39"/>
        <v>1</v>
      </c>
    </row>
    <row r="81" spans="1:47" ht="15" customHeight="1" x14ac:dyDescent="0.2">
      <c r="A81" s="12">
        <v>2</v>
      </c>
      <c r="B81" s="12" t="s">
        <v>97</v>
      </c>
      <c r="C81" s="12" t="s">
        <v>26</v>
      </c>
      <c r="D81" s="12">
        <v>30.33</v>
      </c>
      <c r="E81" s="12">
        <v>1997</v>
      </c>
      <c r="F81" s="15"/>
      <c r="G81" s="15"/>
      <c r="H81" s="15"/>
      <c r="I81" s="15"/>
      <c r="J81" s="15"/>
      <c r="K81" s="15"/>
      <c r="L81" s="21">
        <v>1</v>
      </c>
      <c r="M81" s="21">
        <v>0</v>
      </c>
      <c r="N81" s="21">
        <v>0</v>
      </c>
      <c r="O81" s="21">
        <v>0</v>
      </c>
      <c r="P81" s="21">
        <v>0</v>
      </c>
      <c r="Q81" s="21">
        <f t="shared" si="40"/>
        <v>0</v>
      </c>
      <c r="R81" s="21">
        <v>0</v>
      </c>
      <c r="S81" s="21">
        <v>0</v>
      </c>
      <c r="T81" s="21">
        <v>0</v>
      </c>
      <c r="U81" s="21">
        <v>0</v>
      </c>
      <c r="V81" s="21">
        <v>1</v>
      </c>
      <c r="W81" s="21">
        <f t="shared" si="41"/>
        <v>1</v>
      </c>
      <c r="X81" s="21">
        <v>0</v>
      </c>
      <c r="Y81" s="21">
        <v>0</v>
      </c>
      <c r="Z81" s="21">
        <v>0</v>
      </c>
      <c r="AA81" s="21">
        <v>0</v>
      </c>
      <c r="AB81" s="21">
        <v>1</v>
      </c>
      <c r="AC81" s="21">
        <f t="shared" si="42"/>
        <v>1</v>
      </c>
      <c r="AD81" s="21">
        <v>0</v>
      </c>
      <c r="AE81" s="21">
        <v>0</v>
      </c>
      <c r="AF81" s="21">
        <v>0</v>
      </c>
      <c r="AG81" s="21">
        <v>0</v>
      </c>
      <c r="AH81" s="21">
        <v>1</v>
      </c>
      <c r="AI81" s="21">
        <f t="shared" si="43"/>
        <v>1</v>
      </c>
      <c r="AJ81">
        <v>0</v>
      </c>
      <c r="AK81" s="128">
        <v>0</v>
      </c>
      <c r="AL81">
        <v>0</v>
      </c>
      <c r="AM81">
        <v>0</v>
      </c>
      <c r="AN81">
        <v>1</v>
      </c>
      <c r="AO81" s="21">
        <f t="shared" si="44"/>
        <v>1</v>
      </c>
      <c r="AP81">
        <v>1</v>
      </c>
      <c r="AQ81">
        <v>0</v>
      </c>
      <c r="AR81">
        <v>0</v>
      </c>
      <c r="AS81">
        <v>0</v>
      </c>
      <c r="AT81" t="s">
        <v>468</v>
      </c>
      <c r="AU81" s="21">
        <f t="shared" si="39"/>
        <v>0</v>
      </c>
    </row>
    <row r="82" spans="1:47" ht="15" customHeight="1" x14ac:dyDescent="0.2">
      <c r="A82" s="12">
        <v>2</v>
      </c>
      <c r="B82" s="12" t="s">
        <v>98</v>
      </c>
      <c r="C82" s="12" t="s">
        <v>26</v>
      </c>
      <c r="D82" s="12">
        <v>30.55</v>
      </c>
      <c r="E82" s="12">
        <v>1997</v>
      </c>
      <c r="F82" s="15"/>
      <c r="G82" s="15"/>
      <c r="H82" s="15"/>
      <c r="I82" s="15"/>
      <c r="J82" s="15"/>
      <c r="K82" s="15"/>
      <c r="L82" s="21">
        <v>1</v>
      </c>
      <c r="M82" s="21">
        <v>0</v>
      </c>
      <c r="N82" s="21">
        <v>0</v>
      </c>
      <c r="O82" s="21">
        <v>0</v>
      </c>
      <c r="P82" s="21">
        <v>0</v>
      </c>
      <c r="Q82" s="21">
        <f t="shared" si="40"/>
        <v>0</v>
      </c>
      <c r="R82" s="21">
        <v>0</v>
      </c>
      <c r="S82" s="21">
        <v>0</v>
      </c>
      <c r="T82" s="21">
        <v>0</v>
      </c>
      <c r="U82" s="21">
        <v>0</v>
      </c>
      <c r="V82" s="21">
        <v>1</v>
      </c>
      <c r="W82" s="21">
        <f t="shared" si="41"/>
        <v>1</v>
      </c>
      <c r="X82" s="21">
        <v>0</v>
      </c>
      <c r="Y82" s="21">
        <v>0</v>
      </c>
      <c r="Z82" s="21">
        <v>0</v>
      </c>
      <c r="AA82" s="21">
        <v>0</v>
      </c>
      <c r="AB82" s="21">
        <v>1</v>
      </c>
      <c r="AC82" s="21">
        <f t="shared" si="42"/>
        <v>1</v>
      </c>
      <c r="AD82" s="21">
        <v>0</v>
      </c>
      <c r="AE82" s="21">
        <v>0</v>
      </c>
      <c r="AF82" s="21">
        <v>0</v>
      </c>
      <c r="AG82" s="21">
        <v>0</v>
      </c>
      <c r="AH82" s="21">
        <v>1</v>
      </c>
      <c r="AI82" s="21">
        <f t="shared" si="43"/>
        <v>1</v>
      </c>
      <c r="AK82" s="128">
        <v>0</v>
      </c>
      <c r="AL82">
        <v>0</v>
      </c>
      <c r="AM82">
        <v>0</v>
      </c>
      <c r="AN82">
        <v>1</v>
      </c>
      <c r="AO82" s="21">
        <f t="shared" si="44"/>
        <v>1</v>
      </c>
      <c r="AQ82">
        <v>1</v>
      </c>
      <c r="AR82">
        <v>0</v>
      </c>
      <c r="AS82">
        <v>0</v>
      </c>
      <c r="AT82">
        <v>0</v>
      </c>
      <c r="AU82" s="21">
        <f t="shared" si="39"/>
        <v>1</v>
      </c>
    </row>
    <row r="83" spans="1:47" x14ac:dyDescent="0.2">
      <c r="A83" s="12">
        <v>2</v>
      </c>
      <c r="B83" s="12" t="s">
        <v>99</v>
      </c>
      <c r="C83" s="12" t="s">
        <v>26</v>
      </c>
      <c r="D83" s="12">
        <v>29.63</v>
      </c>
      <c r="E83" s="12">
        <v>1997</v>
      </c>
      <c r="F83" s="15"/>
      <c r="G83" s="15"/>
      <c r="H83" s="15"/>
      <c r="I83" s="15"/>
      <c r="J83" s="15"/>
      <c r="K83" s="15"/>
      <c r="L83" s="21">
        <v>0</v>
      </c>
      <c r="M83" s="21">
        <v>0</v>
      </c>
      <c r="N83" s="21">
        <v>0</v>
      </c>
      <c r="O83" s="21">
        <v>0</v>
      </c>
      <c r="P83" s="21">
        <v>1</v>
      </c>
      <c r="Q83" s="21">
        <f t="shared" si="40"/>
        <v>1</v>
      </c>
      <c r="R83" s="21">
        <v>0</v>
      </c>
      <c r="S83" s="21">
        <v>0</v>
      </c>
      <c r="T83" s="21">
        <v>0</v>
      </c>
      <c r="U83" s="21">
        <v>0</v>
      </c>
      <c r="V83" s="21">
        <v>1</v>
      </c>
      <c r="W83" s="21">
        <f t="shared" si="41"/>
        <v>1</v>
      </c>
      <c r="X83" s="21">
        <v>0</v>
      </c>
      <c r="Y83" s="21">
        <v>0</v>
      </c>
      <c r="Z83" s="21">
        <v>0</v>
      </c>
      <c r="AA83" s="21">
        <v>0</v>
      </c>
      <c r="AB83" s="21">
        <v>1</v>
      </c>
      <c r="AC83" s="21">
        <f t="shared" si="42"/>
        <v>1</v>
      </c>
      <c r="AD83" s="21">
        <v>0</v>
      </c>
      <c r="AE83" s="21">
        <v>0</v>
      </c>
      <c r="AF83" s="21">
        <v>0</v>
      </c>
      <c r="AG83" s="21">
        <v>0</v>
      </c>
      <c r="AH83" s="21">
        <v>1</v>
      </c>
      <c r="AI83" s="21">
        <f t="shared" si="43"/>
        <v>1</v>
      </c>
      <c r="AK83" s="128">
        <v>0</v>
      </c>
      <c r="AL83">
        <v>0</v>
      </c>
      <c r="AM83">
        <v>0</v>
      </c>
      <c r="AN83">
        <v>1</v>
      </c>
      <c r="AO83" s="21">
        <f t="shared" si="44"/>
        <v>1</v>
      </c>
      <c r="AQ83">
        <v>1</v>
      </c>
      <c r="AR83">
        <v>0</v>
      </c>
      <c r="AS83">
        <v>0</v>
      </c>
      <c r="AT83">
        <v>0</v>
      </c>
      <c r="AU83" s="21">
        <f t="shared" si="39"/>
        <v>1</v>
      </c>
    </row>
    <row r="84" spans="1:47" ht="15" customHeight="1" x14ac:dyDescent="0.2">
      <c r="A84" s="12">
        <v>2</v>
      </c>
      <c r="B84" s="12" t="s">
        <v>100</v>
      </c>
      <c r="C84" s="12" t="s">
        <v>26</v>
      </c>
      <c r="D84" s="12">
        <v>27.82</v>
      </c>
      <c r="E84" s="12">
        <v>1996</v>
      </c>
      <c r="F84" s="15"/>
      <c r="G84" s="15"/>
      <c r="H84" s="15"/>
      <c r="I84" s="15"/>
      <c r="J84" s="15"/>
      <c r="K84" s="15"/>
      <c r="L84" s="21">
        <v>1</v>
      </c>
      <c r="M84" s="21">
        <v>0</v>
      </c>
      <c r="N84" s="21">
        <v>0</v>
      </c>
      <c r="O84" s="21">
        <v>0</v>
      </c>
      <c r="P84" s="21">
        <v>0</v>
      </c>
      <c r="Q84" s="21">
        <f t="shared" si="40"/>
        <v>0</v>
      </c>
      <c r="R84" s="21">
        <v>0</v>
      </c>
      <c r="S84" s="21">
        <v>0</v>
      </c>
      <c r="T84" s="21">
        <v>0</v>
      </c>
      <c r="U84" s="21">
        <v>0</v>
      </c>
      <c r="V84" s="21">
        <v>1</v>
      </c>
      <c r="W84" s="21">
        <f t="shared" si="41"/>
        <v>1</v>
      </c>
      <c r="X84" s="21">
        <v>1</v>
      </c>
      <c r="Y84" s="21">
        <v>0</v>
      </c>
      <c r="Z84" s="21">
        <v>0</v>
      </c>
      <c r="AA84" s="21">
        <v>0</v>
      </c>
      <c r="AB84" s="21">
        <v>0</v>
      </c>
      <c r="AC84" s="21">
        <f t="shared" si="42"/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1</v>
      </c>
      <c r="AI84" s="21">
        <f t="shared" si="43"/>
        <v>1</v>
      </c>
      <c r="AK84" s="128">
        <v>0</v>
      </c>
      <c r="AL84">
        <v>0</v>
      </c>
      <c r="AM84">
        <v>0</v>
      </c>
      <c r="AN84">
        <v>1</v>
      </c>
      <c r="AO84" s="21">
        <f t="shared" si="44"/>
        <v>1</v>
      </c>
      <c r="AQ84">
        <v>0</v>
      </c>
      <c r="AR84">
        <v>0</v>
      </c>
      <c r="AS84">
        <v>0</v>
      </c>
      <c r="AT84">
        <v>1</v>
      </c>
      <c r="AU84" s="21">
        <f t="shared" si="39"/>
        <v>1</v>
      </c>
    </row>
    <row r="85" spans="1:47" x14ac:dyDescent="0.2">
      <c r="A85" s="12">
        <v>2</v>
      </c>
      <c r="B85" s="12" t="s">
        <v>101</v>
      </c>
      <c r="C85" s="12" t="s">
        <v>26</v>
      </c>
      <c r="D85" s="12">
        <v>27.68</v>
      </c>
      <c r="E85" s="12">
        <v>1996</v>
      </c>
      <c r="F85" s="15"/>
      <c r="G85" s="15"/>
      <c r="H85" s="15"/>
      <c r="I85" s="15"/>
      <c r="J85" s="15"/>
      <c r="K85" s="15"/>
      <c r="L85" s="21">
        <v>0</v>
      </c>
      <c r="M85" s="21">
        <v>0</v>
      </c>
      <c r="N85" s="21">
        <v>0</v>
      </c>
      <c r="O85" s="21">
        <v>0</v>
      </c>
      <c r="P85" s="21">
        <v>1</v>
      </c>
      <c r="Q85" s="21">
        <f t="shared" si="40"/>
        <v>1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f t="shared" si="41"/>
        <v>0</v>
      </c>
      <c r="X85" s="21">
        <v>1</v>
      </c>
      <c r="Y85" s="21">
        <v>0</v>
      </c>
      <c r="Z85" s="21">
        <v>0</v>
      </c>
      <c r="AA85" s="21">
        <v>0</v>
      </c>
      <c r="AB85" s="21">
        <v>0</v>
      </c>
      <c r="AC85" s="21">
        <f t="shared" si="42"/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1</v>
      </c>
      <c r="AI85" s="21">
        <f t="shared" si="43"/>
        <v>1</v>
      </c>
      <c r="AJ85">
        <v>1</v>
      </c>
      <c r="AK85" s="128">
        <v>0</v>
      </c>
      <c r="AL85">
        <v>0</v>
      </c>
      <c r="AM85">
        <v>0</v>
      </c>
      <c r="AN85">
        <v>0</v>
      </c>
      <c r="AO85" s="21">
        <f t="shared" si="44"/>
        <v>0</v>
      </c>
      <c r="AQ85">
        <v>0</v>
      </c>
      <c r="AR85">
        <v>0</v>
      </c>
      <c r="AS85">
        <v>0</v>
      </c>
      <c r="AT85">
        <v>1</v>
      </c>
      <c r="AU85" s="21">
        <f t="shared" si="39"/>
        <v>1</v>
      </c>
    </row>
    <row r="86" spans="1:47" ht="15" customHeight="1" x14ac:dyDescent="0.2">
      <c r="A86" s="12">
        <v>2</v>
      </c>
      <c r="B86" s="12" t="s">
        <v>102</v>
      </c>
      <c r="C86" s="12" t="s">
        <v>26</v>
      </c>
      <c r="D86" s="12">
        <v>27.83</v>
      </c>
      <c r="E86" s="12">
        <v>1996</v>
      </c>
      <c r="F86" s="15"/>
      <c r="G86" s="15"/>
      <c r="H86" s="15"/>
      <c r="I86" s="15"/>
      <c r="J86" s="15"/>
      <c r="K86" s="15"/>
      <c r="L86" s="21">
        <v>1</v>
      </c>
      <c r="M86" s="21">
        <v>0</v>
      </c>
      <c r="N86" s="21">
        <v>0</v>
      </c>
      <c r="O86" s="21">
        <v>0</v>
      </c>
      <c r="P86" s="21">
        <v>0</v>
      </c>
      <c r="Q86" s="21">
        <f t="shared" si="40"/>
        <v>0</v>
      </c>
      <c r="R86" s="21">
        <v>0</v>
      </c>
      <c r="S86" s="21">
        <v>0</v>
      </c>
      <c r="T86" s="21">
        <v>0</v>
      </c>
      <c r="U86" s="21">
        <v>0</v>
      </c>
      <c r="V86" s="21">
        <v>1</v>
      </c>
      <c r="W86" s="21">
        <f t="shared" si="41"/>
        <v>1</v>
      </c>
      <c r="X86" s="21">
        <v>1</v>
      </c>
      <c r="Y86" s="21">
        <v>0</v>
      </c>
      <c r="Z86" s="21">
        <v>0</v>
      </c>
      <c r="AA86" s="21">
        <v>0</v>
      </c>
      <c r="AB86" s="21">
        <v>0</v>
      </c>
      <c r="AC86" s="21">
        <f t="shared" si="42"/>
        <v>0</v>
      </c>
      <c r="AD86" s="21">
        <v>1</v>
      </c>
      <c r="AE86" s="21">
        <v>0</v>
      </c>
      <c r="AF86" s="21">
        <v>0</v>
      </c>
      <c r="AG86" s="21">
        <v>0</v>
      </c>
      <c r="AH86" s="21">
        <v>0</v>
      </c>
      <c r="AI86" s="21">
        <f t="shared" si="43"/>
        <v>0</v>
      </c>
      <c r="AK86" s="128">
        <v>0</v>
      </c>
      <c r="AL86">
        <v>0</v>
      </c>
      <c r="AM86">
        <v>0</v>
      </c>
      <c r="AN86">
        <v>1</v>
      </c>
      <c r="AO86" s="21">
        <f t="shared" si="44"/>
        <v>1</v>
      </c>
      <c r="AQ86">
        <v>0</v>
      </c>
      <c r="AR86">
        <v>0</v>
      </c>
      <c r="AS86">
        <v>0</v>
      </c>
      <c r="AT86">
        <v>1</v>
      </c>
      <c r="AU86" s="21">
        <f t="shared" si="39"/>
        <v>1</v>
      </c>
    </row>
    <row r="87" spans="1:47" ht="15" customHeight="1" x14ac:dyDescent="0.2">
      <c r="A87" s="12">
        <v>2</v>
      </c>
      <c r="B87" s="12" t="s">
        <v>103</v>
      </c>
      <c r="C87" s="12" t="s">
        <v>26</v>
      </c>
      <c r="D87" s="12">
        <v>27.51</v>
      </c>
      <c r="E87" s="12">
        <v>1996</v>
      </c>
      <c r="F87" s="15"/>
      <c r="G87" s="15"/>
      <c r="H87" s="15"/>
      <c r="I87" s="15"/>
      <c r="J87" s="15"/>
      <c r="K87" s="15"/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f t="shared" si="40"/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f t="shared" si="41"/>
        <v>0</v>
      </c>
      <c r="X87" s="21">
        <v>1</v>
      </c>
      <c r="Y87" s="21">
        <v>0</v>
      </c>
      <c r="Z87" s="21">
        <v>0</v>
      </c>
      <c r="AA87" s="21">
        <v>0</v>
      </c>
      <c r="AB87" s="21">
        <v>0</v>
      </c>
      <c r="AC87" s="21">
        <f t="shared" si="42"/>
        <v>0</v>
      </c>
      <c r="AD87" s="21">
        <v>1</v>
      </c>
      <c r="AE87" s="21">
        <v>0</v>
      </c>
      <c r="AF87" s="21">
        <v>0</v>
      </c>
      <c r="AG87" s="21">
        <v>0</v>
      </c>
      <c r="AH87" s="21">
        <v>0</v>
      </c>
      <c r="AI87" s="21">
        <f t="shared" si="43"/>
        <v>0</v>
      </c>
      <c r="AJ87">
        <v>1</v>
      </c>
      <c r="AK87" s="128">
        <v>0</v>
      </c>
      <c r="AL87">
        <v>0</v>
      </c>
      <c r="AM87">
        <v>0</v>
      </c>
      <c r="AN87">
        <v>0</v>
      </c>
      <c r="AO87" s="21">
        <f t="shared" si="44"/>
        <v>0</v>
      </c>
      <c r="AQ87">
        <v>0</v>
      </c>
      <c r="AR87">
        <v>0</v>
      </c>
      <c r="AS87">
        <v>0</v>
      </c>
      <c r="AT87">
        <v>1</v>
      </c>
      <c r="AU87" s="21">
        <f t="shared" si="39"/>
        <v>1</v>
      </c>
    </row>
    <row r="88" spans="1:47" ht="15" customHeight="1" x14ac:dyDescent="0.2">
      <c r="A88" s="12">
        <v>2</v>
      </c>
      <c r="B88" s="12" t="s">
        <v>104</v>
      </c>
      <c r="C88" s="12" t="s">
        <v>26</v>
      </c>
      <c r="D88" s="12">
        <v>26.43</v>
      </c>
      <c r="E88" s="12">
        <v>1997</v>
      </c>
      <c r="F88" s="15"/>
      <c r="G88" s="15"/>
      <c r="H88" s="15"/>
      <c r="I88" s="15"/>
      <c r="J88" s="15"/>
      <c r="K88" s="15"/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f t="shared" si="40"/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f t="shared" si="41"/>
        <v>0</v>
      </c>
      <c r="X88" s="21">
        <v>1</v>
      </c>
      <c r="Y88" s="21">
        <v>0</v>
      </c>
      <c r="Z88" s="21">
        <v>0</v>
      </c>
      <c r="AA88" s="21">
        <v>0</v>
      </c>
      <c r="AB88" s="21">
        <v>0</v>
      </c>
      <c r="AC88" s="21">
        <f t="shared" si="42"/>
        <v>0</v>
      </c>
      <c r="AD88" s="21">
        <v>1</v>
      </c>
      <c r="AE88" s="21">
        <v>0</v>
      </c>
      <c r="AF88" s="21">
        <v>0</v>
      </c>
      <c r="AG88" s="21">
        <v>0</v>
      </c>
      <c r="AH88" s="21">
        <v>0</v>
      </c>
      <c r="AI88" s="21">
        <f t="shared" si="43"/>
        <v>0</v>
      </c>
      <c r="AJ88">
        <v>1</v>
      </c>
      <c r="AK88" s="128">
        <v>0</v>
      </c>
      <c r="AL88">
        <v>0</v>
      </c>
      <c r="AM88">
        <v>0</v>
      </c>
      <c r="AN88">
        <v>0</v>
      </c>
      <c r="AO88" s="21">
        <f t="shared" si="44"/>
        <v>0</v>
      </c>
      <c r="AQ88">
        <v>0</v>
      </c>
      <c r="AR88">
        <v>0</v>
      </c>
      <c r="AS88">
        <v>0</v>
      </c>
      <c r="AT88">
        <v>1</v>
      </c>
      <c r="AU88" s="21">
        <f t="shared" si="39"/>
        <v>1</v>
      </c>
    </row>
    <row r="89" spans="1:47" ht="15" customHeight="1" x14ac:dyDescent="0.2">
      <c r="A89" s="12">
        <v>2</v>
      </c>
      <c r="B89" s="12" t="s">
        <v>105</v>
      </c>
      <c r="C89" s="12" t="s">
        <v>26</v>
      </c>
      <c r="D89" s="12">
        <v>28.92</v>
      </c>
      <c r="E89" s="12">
        <v>1996</v>
      </c>
      <c r="F89" s="15"/>
      <c r="G89" s="15"/>
      <c r="H89" s="15"/>
      <c r="I89" s="15"/>
      <c r="J89" s="15"/>
      <c r="K89" s="15"/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f t="shared" si="40"/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f t="shared" si="41"/>
        <v>0</v>
      </c>
      <c r="X89" s="21">
        <v>1</v>
      </c>
      <c r="Y89" s="21">
        <v>0</v>
      </c>
      <c r="Z89" s="21">
        <v>0</v>
      </c>
      <c r="AA89" s="21">
        <v>0</v>
      </c>
      <c r="AB89" s="21">
        <v>0</v>
      </c>
      <c r="AC89" s="21">
        <f t="shared" si="42"/>
        <v>0</v>
      </c>
      <c r="AD89" s="21">
        <v>1</v>
      </c>
      <c r="AE89" s="21">
        <v>0</v>
      </c>
      <c r="AF89" s="21">
        <v>0</v>
      </c>
      <c r="AG89" s="21">
        <v>0</v>
      </c>
      <c r="AH89" s="21">
        <v>0</v>
      </c>
      <c r="AI89" s="21">
        <f t="shared" si="43"/>
        <v>0</v>
      </c>
      <c r="AJ89">
        <v>1</v>
      </c>
      <c r="AK89" s="128">
        <v>0</v>
      </c>
      <c r="AL89">
        <v>0</v>
      </c>
      <c r="AM89">
        <v>0</v>
      </c>
      <c r="AN89">
        <v>0</v>
      </c>
      <c r="AO89" s="21">
        <f t="shared" si="44"/>
        <v>0</v>
      </c>
      <c r="AQ89">
        <v>0</v>
      </c>
      <c r="AR89">
        <v>0</v>
      </c>
      <c r="AS89">
        <v>0</v>
      </c>
      <c r="AT89">
        <v>1</v>
      </c>
      <c r="AU89" s="21">
        <f t="shared" si="39"/>
        <v>1</v>
      </c>
    </row>
    <row r="90" spans="1:47" x14ac:dyDescent="0.2">
      <c r="A90" s="12">
        <v>2</v>
      </c>
      <c r="B90" s="12" t="s">
        <v>106</v>
      </c>
      <c r="C90" s="12" t="s">
        <v>26</v>
      </c>
      <c r="D90" s="12">
        <v>28.55</v>
      </c>
      <c r="E90" s="12">
        <v>1996</v>
      </c>
      <c r="F90" s="15"/>
      <c r="G90" s="15"/>
      <c r="H90" s="15"/>
      <c r="I90" s="15"/>
      <c r="J90" s="15"/>
      <c r="K90" s="15"/>
      <c r="L90" s="21">
        <v>0</v>
      </c>
      <c r="M90" s="21">
        <v>1</v>
      </c>
      <c r="N90" s="21">
        <v>0</v>
      </c>
      <c r="O90" s="21">
        <v>0</v>
      </c>
      <c r="P90" s="21">
        <v>1</v>
      </c>
      <c r="Q90" s="21">
        <f t="shared" si="40"/>
        <v>2</v>
      </c>
      <c r="R90" s="21">
        <v>0</v>
      </c>
      <c r="S90" s="21">
        <v>0</v>
      </c>
      <c r="T90" s="21">
        <v>0</v>
      </c>
      <c r="U90" s="21">
        <v>1</v>
      </c>
      <c r="V90" s="21">
        <v>1</v>
      </c>
      <c r="W90" s="21">
        <f t="shared" si="41"/>
        <v>2</v>
      </c>
      <c r="X90" s="21">
        <v>0</v>
      </c>
      <c r="Y90" s="21">
        <v>0</v>
      </c>
      <c r="Z90" s="21">
        <v>0</v>
      </c>
      <c r="AA90" s="21">
        <v>3</v>
      </c>
      <c r="AB90" s="21">
        <v>1</v>
      </c>
      <c r="AC90" s="21">
        <f t="shared" si="42"/>
        <v>4</v>
      </c>
      <c r="AD90" s="21">
        <v>0</v>
      </c>
      <c r="AE90" s="21">
        <v>1</v>
      </c>
      <c r="AF90" s="21">
        <v>0</v>
      </c>
      <c r="AG90" s="21">
        <v>3</v>
      </c>
      <c r="AH90" s="21">
        <v>0</v>
      </c>
      <c r="AI90" s="21">
        <f t="shared" si="43"/>
        <v>4</v>
      </c>
      <c r="AK90" s="128">
        <v>1</v>
      </c>
      <c r="AL90">
        <v>0</v>
      </c>
      <c r="AM90">
        <v>0</v>
      </c>
      <c r="AN90">
        <v>0</v>
      </c>
      <c r="AO90" s="21">
        <f t="shared" si="44"/>
        <v>1</v>
      </c>
      <c r="AQ90">
        <v>1</v>
      </c>
      <c r="AR90">
        <v>0</v>
      </c>
      <c r="AS90">
        <v>0</v>
      </c>
      <c r="AT90">
        <v>0</v>
      </c>
      <c r="AU90" s="21">
        <f t="shared" si="39"/>
        <v>1</v>
      </c>
    </row>
    <row r="91" spans="1:47" x14ac:dyDescent="0.2">
      <c r="A91" s="12">
        <v>2</v>
      </c>
      <c r="B91" s="12" t="s">
        <v>107</v>
      </c>
      <c r="C91" s="12" t="s">
        <v>26</v>
      </c>
      <c r="D91" s="12">
        <v>28.47</v>
      </c>
      <c r="E91" s="12">
        <v>1996</v>
      </c>
      <c r="F91" s="15"/>
      <c r="G91" s="15"/>
      <c r="H91" s="15"/>
      <c r="I91" s="15"/>
      <c r="J91" s="15"/>
      <c r="K91" s="15"/>
      <c r="L91" s="21">
        <v>0</v>
      </c>
      <c r="M91" s="21">
        <v>0</v>
      </c>
      <c r="N91" s="21">
        <v>0</v>
      </c>
      <c r="O91" s="21">
        <v>0</v>
      </c>
      <c r="P91" s="21">
        <v>1</v>
      </c>
      <c r="Q91" s="21">
        <f t="shared" si="40"/>
        <v>1</v>
      </c>
      <c r="R91" s="21">
        <v>0</v>
      </c>
      <c r="S91" s="21">
        <v>0</v>
      </c>
      <c r="T91" s="21">
        <v>0</v>
      </c>
      <c r="U91" s="21">
        <v>0</v>
      </c>
      <c r="V91" s="21">
        <v>1</v>
      </c>
      <c r="W91" s="21">
        <f t="shared" si="41"/>
        <v>1</v>
      </c>
      <c r="X91" s="21">
        <v>0</v>
      </c>
      <c r="Y91" s="21">
        <v>0</v>
      </c>
      <c r="Z91" s="21">
        <v>0</v>
      </c>
      <c r="AA91" s="21">
        <v>0</v>
      </c>
      <c r="AB91" s="21">
        <v>1</v>
      </c>
      <c r="AC91" s="21">
        <f t="shared" si="42"/>
        <v>1</v>
      </c>
      <c r="AD91" s="21">
        <v>0</v>
      </c>
      <c r="AE91" s="21">
        <v>0</v>
      </c>
      <c r="AF91" s="21">
        <v>0</v>
      </c>
      <c r="AG91" s="21">
        <v>0</v>
      </c>
      <c r="AH91" s="21">
        <v>1</v>
      </c>
      <c r="AI91" s="21">
        <f t="shared" si="43"/>
        <v>1</v>
      </c>
      <c r="AK91" s="128">
        <v>0</v>
      </c>
      <c r="AL91">
        <v>0</v>
      </c>
      <c r="AM91">
        <v>0</v>
      </c>
      <c r="AN91">
        <v>1</v>
      </c>
      <c r="AO91" s="21">
        <f t="shared" si="44"/>
        <v>1</v>
      </c>
      <c r="AQ91">
        <v>0</v>
      </c>
      <c r="AR91">
        <v>0</v>
      </c>
      <c r="AS91">
        <v>0</v>
      </c>
      <c r="AT91">
        <v>1</v>
      </c>
      <c r="AU91" s="21">
        <f t="shared" si="39"/>
        <v>1</v>
      </c>
    </row>
    <row r="92" spans="1:47" ht="15" customHeight="1" x14ac:dyDescent="0.2">
      <c r="A92" s="12">
        <v>2</v>
      </c>
      <c r="B92" s="12" t="s">
        <v>108</v>
      </c>
      <c r="C92" s="12" t="s">
        <v>26</v>
      </c>
      <c r="D92" s="12">
        <v>29.95</v>
      </c>
      <c r="E92" s="12">
        <v>1996</v>
      </c>
      <c r="F92" s="15"/>
      <c r="G92" s="15"/>
      <c r="H92" s="15"/>
      <c r="I92" s="15"/>
      <c r="J92" s="15"/>
      <c r="K92" s="15"/>
      <c r="L92" s="21">
        <v>1</v>
      </c>
      <c r="M92" s="21">
        <v>0</v>
      </c>
      <c r="N92" s="21">
        <v>0</v>
      </c>
      <c r="O92" s="21">
        <v>0</v>
      </c>
      <c r="P92" s="21">
        <v>0</v>
      </c>
      <c r="Q92" s="21">
        <f t="shared" si="40"/>
        <v>0</v>
      </c>
      <c r="R92" s="21">
        <v>0</v>
      </c>
      <c r="S92" s="21">
        <v>0</v>
      </c>
      <c r="T92" s="21">
        <v>0</v>
      </c>
      <c r="U92" s="21">
        <v>1</v>
      </c>
      <c r="V92" s="21">
        <v>1</v>
      </c>
      <c r="W92" s="21">
        <f t="shared" si="41"/>
        <v>2</v>
      </c>
      <c r="X92" s="21">
        <v>0</v>
      </c>
      <c r="Y92" s="21">
        <v>1</v>
      </c>
      <c r="Z92" s="21">
        <v>0</v>
      </c>
      <c r="AA92" s="21">
        <v>0</v>
      </c>
      <c r="AB92" s="21">
        <v>1</v>
      </c>
      <c r="AC92" s="21">
        <f t="shared" si="42"/>
        <v>2</v>
      </c>
      <c r="AD92" s="21">
        <v>0</v>
      </c>
      <c r="AE92" s="21">
        <v>1</v>
      </c>
      <c r="AF92" s="21">
        <v>0</v>
      </c>
      <c r="AG92" s="21">
        <v>0</v>
      </c>
      <c r="AH92" s="21">
        <v>0</v>
      </c>
      <c r="AI92" s="21">
        <f t="shared" si="43"/>
        <v>1</v>
      </c>
      <c r="AK92" s="128">
        <v>1</v>
      </c>
      <c r="AL92">
        <v>0</v>
      </c>
      <c r="AM92">
        <v>0</v>
      </c>
      <c r="AN92">
        <v>0</v>
      </c>
      <c r="AO92" s="21">
        <f t="shared" si="44"/>
        <v>1</v>
      </c>
      <c r="AQ92">
        <v>1</v>
      </c>
      <c r="AR92">
        <v>0</v>
      </c>
      <c r="AS92">
        <v>0</v>
      </c>
      <c r="AT92">
        <v>0</v>
      </c>
      <c r="AU92" s="21">
        <f t="shared" si="39"/>
        <v>1</v>
      </c>
    </row>
    <row r="93" spans="1:47" ht="15" customHeight="1" x14ac:dyDescent="0.2">
      <c r="A93" s="12">
        <v>2</v>
      </c>
      <c r="B93" s="12" t="s">
        <v>109</v>
      </c>
      <c r="C93" s="12" t="s">
        <v>26</v>
      </c>
      <c r="D93" s="12">
        <v>28.23</v>
      </c>
      <c r="E93" s="12">
        <v>1996</v>
      </c>
      <c r="F93" s="15"/>
      <c r="G93" s="15"/>
      <c r="H93" s="15"/>
      <c r="I93" s="15"/>
      <c r="J93" s="15"/>
      <c r="K93" s="15"/>
      <c r="L93" s="21">
        <v>1</v>
      </c>
      <c r="M93" s="21">
        <v>0</v>
      </c>
      <c r="N93" s="21">
        <v>0</v>
      </c>
      <c r="O93" s="21">
        <v>0</v>
      </c>
      <c r="P93" s="21">
        <v>0</v>
      </c>
      <c r="Q93" s="21">
        <f t="shared" si="40"/>
        <v>0</v>
      </c>
      <c r="R93" s="21">
        <v>0</v>
      </c>
      <c r="S93" s="21">
        <v>0</v>
      </c>
      <c r="T93" s="21">
        <v>0</v>
      </c>
      <c r="U93" s="21">
        <v>0</v>
      </c>
      <c r="V93" s="21">
        <v>1</v>
      </c>
      <c r="W93" s="21">
        <f t="shared" si="41"/>
        <v>1</v>
      </c>
      <c r="X93" s="21">
        <v>0</v>
      </c>
      <c r="Y93" s="21">
        <v>0</v>
      </c>
      <c r="Z93" s="21">
        <v>0</v>
      </c>
      <c r="AA93" s="21">
        <v>0</v>
      </c>
      <c r="AB93" s="21">
        <v>1</v>
      </c>
      <c r="AC93" s="21">
        <f t="shared" si="42"/>
        <v>1</v>
      </c>
      <c r="AD93" s="21">
        <v>0</v>
      </c>
      <c r="AE93" s="21">
        <v>0</v>
      </c>
      <c r="AF93" s="21">
        <v>0</v>
      </c>
      <c r="AG93" s="21">
        <v>0</v>
      </c>
      <c r="AH93" s="21">
        <v>1</v>
      </c>
      <c r="AI93" s="21">
        <f t="shared" si="43"/>
        <v>1</v>
      </c>
      <c r="AK93" s="128">
        <v>0</v>
      </c>
      <c r="AL93">
        <v>0</v>
      </c>
      <c r="AM93">
        <v>0</v>
      </c>
      <c r="AN93">
        <v>1</v>
      </c>
      <c r="AO93" s="21">
        <f t="shared" si="44"/>
        <v>1</v>
      </c>
      <c r="AQ93">
        <v>1</v>
      </c>
      <c r="AR93">
        <v>0</v>
      </c>
      <c r="AS93">
        <v>0</v>
      </c>
      <c r="AT93">
        <v>0</v>
      </c>
      <c r="AU93" s="21">
        <f t="shared" si="39"/>
        <v>1</v>
      </c>
    </row>
    <row r="94" spans="1:47" x14ac:dyDescent="0.2">
      <c r="A94" s="131" t="s">
        <v>71</v>
      </c>
      <c r="B94" s="131"/>
      <c r="C94" s="131"/>
      <c r="D94" s="13">
        <f>SUM(D56:D93)</f>
        <v>1121.31</v>
      </c>
      <c r="E94" s="13">
        <f t="shared" ref="E94:AU94" si="45">SUM(E56:E93)</f>
        <v>75866</v>
      </c>
      <c r="F94" s="13">
        <f t="shared" si="45"/>
        <v>0</v>
      </c>
      <c r="G94" s="13">
        <f t="shared" si="45"/>
        <v>0</v>
      </c>
      <c r="H94" s="13">
        <f t="shared" si="45"/>
        <v>0</v>
      </c>
      <c r="I94" s="13">
        <f t="shared" si="45"/>
        <v>0</v>
      </c>
      <c r="J94" s="13">
        <f t="shared" si="45"/>
        <v>0</v>
      </c>
      <c r="K94" s="13">
        <f t="shared" si="45"/>
        <v>0</v>
      </c>
      <c r="L94" s="13">
        <f t="shared" si="45"/>
        <v>10</v>
      </c>
      <c r="M94" s="13">
        <f t="shared" si="45"/>
        <v>1</v>
      </c>
      <c r="N94" s="13">
        <f t="shared" si="45"/>
        <v>0</v>
      </c>
      <c r="O94" s="13">
        <f t="shared" si="45"/>
        <v>0</v>
      </c>
      <c r="P94" s="13">
        <f t="shared" si="45"/>
        <v>6</v>
      </c>
      <c r="Q94" s="13">
        <f t="shared" si="45"/>
        <v>7</v>
      </c>
      <c r="R94" s="13">
        <f t="shared" si="45"/>
        <v>0</v>
      </c>
      <c r="S94" s="13">
        <f t="shared" si="45"/>
        <v>0</v>
      </c>
      <c r="T94" s="13">
        <f t="shared" si="45"/>
        <v>0</v>
      </c>
      <c r="U94" s="13">
        <f t="shared" si="45"/>
        <v>2</v>
      </c>
      <c r="V94" s="13">
        <f t="shared" si="45"/>
        <v>15</v>
      </c>
      <c r="W94" s="13">
        <f t="shared" si="45"/>
        <v>17</v>
      </c>
      <c r="X94" s="13">
        <f t="shared" si="45"/>
        <v>23</v>
      </c>
      <c r="Y94" s="13">
        <f t="shared" si="45"/>
        <v>1</v>
      </c>
      <c r="Z94" s="13">
        <f t="shared" si="45"/>
        <v>0</v>
      </c>
      <c r="AA94" s="13">
        <f t="shared" si="45"/>
        <v>3</v>
      </c>
      <c r="AB94" s="13">
        <f t="shared" si="45"/>
        <v>14</v>
      </c>
      <c r="AC94" s="13">
        <f t="shared" si="45"/>
        <v>18</v>
      </c>
      <c r="AD94" s="13">
        <f t="shared" si="45"/>
        <v>10</v>
      </c>
      <c r="AE94" s="13">
        <f t="shared" si="45"/>
        <v>4</v>
      </c>
      <c r="AF94" s="13">
        <f t="shared" si="45"/>
        <v>0</v>
      </c>
      <c r="AG94" s="13">
        <f t="shared" si="45"/>
        <v>3</v>
      </c>
      <c r="AH94" s="13">
        <f t="shared" si="45"/>
        <v>23</v>
      </c>
      <c r="AI94" s="13">
        <f t="shared" si="45"/>
        <v>30</v>
      </c>
      <c r="AJ94" s="13">
        <f t="shared" si="45"/>
        <v>22</v>
      </c>
      <c r="AK94" s="13">
        <f t="shared" si="45"/>
        <v>2</v>
      </c>
      <c r="AL94" s="13">
        <f t="shared" si="45"/>
        <v>0</v>
      </c>
      <c r="AM94" s="13">
        <f t="shared" si="45"/>
        <v>0</v>
      </c>
      <c r="AN94" s="13">
        <f t="shared" si="45"/>
        <v>13</v>
      </c>
      <c r="AO94" s="13">
        <f t="shared" si="45"/>
        <v>15</v>
      </c>
      <c r="AP94" s="13">
        <f t="shared" si="45"/>
        <v>1</v>
      </c>
      <c r="AQ94" s="13">
        <f t="shared" si="45"/>
        <v>10</v>
      </c>
      <c r="AR94" s="13">
        <f t="shared" si="45"/>
        <v>0</v>
      </c>
      <c r="AS94" s="13">
        <f t="shared" si="45"/>
        <v>3</v>
      </c>
      <c r="AT94" s="13">
        <f t="shared" si="45"/>
        <v>24</v>
      </c>
      <c r="AU94" s="13">
        <f t="shared" si="45"/>
        <v>37</v>
      </c>
    </row>
    <row r="95" spans="1:47" ht="15" customHeight="1" x14ac:dyDescent="0.2">
      <c r="A95" s="12">
        <v>3</v>
      </c>
      <c r="B95" s="12" t="s">
        <v>136</v>
      </c>
      <c r="C95" s="12" t="s">
        <v>26</v>
      </c>
      <c r="D95" s="12">
        <v>32.07</v>
      </c>
      <c r="E95" s="12">
        <v>1997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21">
        <f t="shared" si="40"/>
        <v>0</v>
      </c>
      <c r="R95" s="15"/>
      <c r="S95" s="15"/>
      <c r="T95" s="15"/>
      <c r="U95" s="15"/>
      <c r="V95" s="15"/>
      <c r="W95" s="21">
        <f t="shared" si="41"/>
        <v>0</v>
      </c>
      <c r="X95" s="15">
        <v>1</v>
      </c>
      <c r="Y95" s="15"/>
      <c r="Z95" s="15"/>
      <c r="AA95" s="15"/>
      <c r="AB95" s="15"/>
      <c r="AC95" s="21">
        <f t="shared" si="42"/>
        <v>0</v>
      </c>
      <c r="AD95" s="15">
        <v>0</v>
      </c>
      <c r="AE95" s="21">
        <v>0</v>
      </c>
      <c r="AF95" s="21">
        <v>0</v>
      </c>
      <c r="AG95" s="21">
        <v>0</v>
      </c>
      <c r="AH95" s="15">
        <v>1</v>
      </c>
      <c r="AI95" s="21">
        <f t="shared" si="43"/>
        <v>1</v>
      </c>
      <c r="AK95" s="128">
        <v>0</v>
      </c>
      <c r="AL95">
        <v>0</v>
      </c>
      <c r="AM95">
        <v>0</v>
      </c>
      <c r="AN95">
        <v>1</v>
      </c>
      <c r="AO95" s="21">
        <f t="shared" si="44"/>
        <v>1</v>
      </c>
      <c r="AP95">
        <v>0</v>
      </c>
      <c r="AQ95">
        <v>0</v>
      </c>
      <c r="AR95">
        <v>0</v>
      </c>
      <c r="AS95">
        <v>0</v>
      </c>
      <c r="AT95">
        <v>1</v>
      </c>
      <c r="AU95" s="21">
        <f t="shared" si="39"/>
        <v>1</v>
      </c>
    </row>
    <row r="96" spans="1:47" ht="15" customHeight="1" x14ac:dyDescent="0.2">
      <c r="A96" s="12">
        <v>3</v>
      </c>
      <c r="B96" s="12" t="s">
        <v>137</v>
      </c>
      <c r="C96" s="12" t="s">
        <v>26</v>
      </c>
      <c r="D96" s="12">
        <v>28.24</v>
      </c>
      <c r="E96" s="12">
        <v>1997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21">
        <f t="shared" si="40"/>
        <v>0</v>
      </c>
      <c r="R96" s="15"/>
      <c r="S96" s="15"/>
      <c r="T96" s="15"/>
      <c r="U96" s="15"/>
      <c r="V96" s="15"/>
      <c r="W96" s="21">
        <f t="shared" si="41"/>
        <v>0</v>
      </c>
      <c r="X96" s="15">
        <v>1</v>
      </c>
      <c r="Y96" s="15"/>
      <c r="Z96" s="15"/>
      <c r="AA96" s="15"/>
      <c r="AB96" s="15"/>
      <c r="AC96" s="21">
        <f t="shared" si="42"/>
        <v>0</v>
      </c>
      <c r="AD96" s="15">
        <v>1</v>
      </c>
      <c r="AE96" s="21">
        <v>0</v>
      </c>
      <c r="AF96" s="21">
        <v>0</v>
      </c>
      <c r="AG96" s="21">
        <v>0</v>
      </c>
      <c r="AH96" s="21">
        <v>0</v>
      </c>
      <c r="AI96" s="21">
        <f t="shared" si="43"/>
        <v>0</v>
      </c>
      <c r="AJ96">
        <v>1</v>
      </c>
      <c r="AK96" s="128">
        <v>0</v>
      </c>
      <c r="AL96">
        <v>0</v>
      </c>
      <c r="AM96">
        <v>0</v>
      </c>
      <c r="AN96">
        <v>0</v>
      </c>
      <c r="AO96" s="21">
        <f t="shared" si="44"/>
        <v>0</v>
      </c>
      <c r="AP96">
        <v>1</v>
      </c>
      <c r="AQ96">
        <v>0</v>
      </c>
      <c r="AR96">
        <v>0</v>
      </c>
      <c r="AS96">
        <v>0</v>
      </c>
      <c r="AT96">
        <v>0</v>
      </c>
      <c r="AU96" s="21">
        <f t="shared" si="39"/>
        <v>0</v>
      </c>
    </row>
    <row r="97" spans="1:47" ht="15" customHeight="1" x14ac:dyDescent="0.2">
      <c r="A97" s="12">
        <v>3</v>
      </c>
      <c r="B97" s="12" t="s">
        <v>138</v>
      </c>
      <c r="C97" s="12" t="s">
        <v>26</v>
      </c>
      <c r="D97" s="12">
        <v>28.72</v>
      </c>
      <c r="E97" s="12">
        <v>1997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21">
        <f t="shared" si="40"/>
        <v>0</v>
      </c>
      <c r="R97" s="15"/>
      <c r="S97" s="15"/>
      <c r="T97" s="15"/>
      <c r="U97" s="15"/>
      <c r="V97" s="15"/>
      <c r="W97" s="21">
        <f t="shared" si="41"/>
        <v>0</v>
      </c>
      <c r="X97" s="15">
        <v>1</v>
      </c>
      <c r="Y97" s="15"/>
      <c r="Z97" s="15"/>
      <c r="AA97" s="15"/>
      <c r="AB97" s="15"/>
      <c r="AC97" s="21">
        <f t="shared" si="42"/>
        <v>0</v>
      </c>
      <c r="AD97" s="15">
        <v>1</v>
      </c>
      <c r="AE97" s="21">
        <v>0</v>
      </c>
      <c r="AF97" s="21">
        <v>0</v>
      </c>
      <c r="AG97" s="21">
        <v>0</v>
      </c>
      <c r="AH97" s="21">
        <v>0</v>
      </c>
      <c r="AI97" s="21">
        <f t="shared" si="43"/>
        <v>0</v>
      </c>
      <c r="AJ97">
        <v>1</v>
      </c>
      <c r="AK97" s="128">
        <v>0</v>
      </c>
      <c r="AL97">
        <v>0</v>
      </c>
      <c r="AM97">
        <v>0</v>
      </c>
      <c r="AN97">
        <v>0</v>
      </c>
      <c r="AO97" s="21">
        <f t="shared" si="44"/>
        <v>0</v>
      </c>
      <c r="AP97">
        <v>1</v>
      </c>
      <c r="AQ97">
        <v>0</v>
      </c>
      <c r="AR97">
        <v>0</v>
      </c>
      <c r="AS97">
        <v>0</v>
      </c>
      <c r="AT97">
        <v>0</v>
      </c>
      <c r="AU97" s="21">
        <f t="shared" si="39"/>
        <v>0</v>
      </c>
    </row>
    <row r="98" spans="1:47" ht="15" customHeight="1" x14ac:dyDescent="0.2">
      <c r="A98" s="12">
        <v>3</v>
      </c>
      <c r="B98" s="12" t="s">
        <v>139</v>
      </c>
      <c r="C98" s="12" t="s">
        <v>26</v>
      </c>
      <c r="D98" s="12">
        <v>31.29</v>
      </c>
      <c r="E98" s="12">
        <v>1997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21">
        <f t="shared" si="40"/>
        <v>0</v>
      </c>
      <c r="R98" s="15"/>
      <c r="S98" s="15"/>
      <c r="T98" s="15"/>
      <c r="U98" s="15"/>
      <c r="V98" s="15"/>
      <c r="W98" s="21">
        <f t="shared" si="41"/>
        <v>0</v>
      </c>
      <c r="X98" s="15">
        <v>1</v>
      </c>
      <c r="Y98" s="15"/>
      <c r="Z98" s="15"/>
      <c r="AA98" s="15"/>
      <c r="AB98" s="15"/>
      <c r="AC98" s="21">
        <f t="shared" si="42"/>
        <v>0</v>
      </c>
      <c r="AD98" s="15">
        <v>0</v>
      </c>
      <c r="AE98" s="21">
        <v>0</v>
      </c>
      <c r="AF98" s="21">
        <v>0</v>
      </c>
      <c r="AG98" s="21">
        <v>2</v>
      </c>
      <c r="AH98" s="15">
        <v>1</v>
      </c>
      <c r="AI98" s="21">
        <f t="shared" si="43"/>
        <v>3</v>
      </c>
      <c r="AK98" s="128">
        <v>1</v>
      </c>
      <c r="AL98">
        <v>0</v>
      </c>
      <c r="AM98">
        <v>2</v>
      </c>
      <c r="AN98">
        <v>0</v>
      </c>
      <c r="AO98" s="21">
        <f t="shared" si="44"/>
        <v>3</v>
      </c>
      <c r="AP98">
        <v>0</v>
      </c>
      <c r="AQ98">
        <v>1</v>
      </c>
      <c r="AR98">
        <v>2</v>
      </c>
      <c r="AS98">
        <v>0</v>
      </c>
      <c r="AT98">
        <v>1</v>
      </c>
      <c r="AU98" s="21">
        <f t="shared" si="39"/>
        <v>4</v>
      </c>
    </row>
    <row r="99" spans="1:47" ht="15" customHeight="1" x14ac:dyDescent="0.2">
      <c r="A99" s="12">
        <v>3</v>
      </c>
      <c r="B99" s="12" t="s">
        <v>140</v>
      </c>
      <c r="C99" s="12" t="s">
        <v>26</v>
      </c>
      <c r="D99" s="12">
        <v>29.26</v>
      </c>
      <c r="E99" s="12">
        <v>1997</v>
      </c>
      <c r="F99" s="15"/>
      <c r="G99" s="15"/>
      <c r="H99" s="15"/>
      <c r="I99" s="15"/>
      <c r="J99" s="15"/>
      <c r="K99" s="15"/>
      <c r="L99" s="15">
        <v>1</v>
      </c>
      <c r="M99" s="15"/>
      <c r="N99" s="15"/>
      <c r="O99" s="15"/>
      <c r="P99" s="15"/>
      <c r="Q99" s="21">
        <f t="shared" si="40"/>
        <v>0</v>
      </c>
      <c r="R99" s="15"/>
      <c r="S99" s="15">
        <v>1</v>
      </c>
      <c r="T99" s="15"/>
      <c r="U99" s="15"/>
      <c r="V99" s="15">
        <v>1</v>
      </c>
      <c r="W99" s="21">
        <f t="shared" si="41"/>
        <v>2</v>
      </c>
      <c r="X99" s="15">
        <v>0</v>
      </c>
      <c r="Y99" s="15">
        <v>1</v>
      </c>
      <c r="Z99" s="15"/>
      <c r="AA99" s="15"/>
      <c r="AB99" s="15">
        <v>1</v>
      </c>
      <c r="AC99" s="21">
        <f t="shared" si="42"/>
        <v>2</v>
      </c>
      <c r="AD99" s="15">
        <v>0</v>
      </c>
      <c r="AE99" s="21">
        <v>0</v>
      </c>
      <c r="AF99" s="21">
        <v>0</v>
      </c>
      <c r="AG99" s="21">
        <v>2</v>
      </c>
      <c r="AH99" s="15">
        <v>1</v>
      </c>
      <c r="AI99" s="21">
        <f t="shared" si="43"/>
        <v>3</v>
      </c>
      <c r="AK99" s="128">
        <v>1</v>
      </c>
      <c r="AL99">
        <v>0</v>
      </c>
      <c r="AM99">
        <v>2</v>
      </c>
      <c r="AN99">
        <v>0</v>
      </c>
      <c r="AO99" s="21">
        <f t="shared" si="44"/>
        <v>3</v>
      </c>
      <c r="AP99">
        <v>0</v>
      </c>
      <c r="AQ99">
        <v>1</v>
      </c>
      <c r="AR99">
        <v>2</v>
      </c>
      <c r="AS99">
        <v>0</v>
      </c>
      <c r="AT99">
        <v>1</v>
      </c>
      <c r="AU99" s="21">
        <f t="shared" si="39"/>
        <v>4</v>
      </c>
    </row>
    <row r="100" spans="1:47" ht="15" customHeight="1" x14ac:dyDescent="0.2">
      <c r="A100" s="12">
        <v>3</v>
      </c>
      <c r="B100" s="12" t="s">
        <v>142</v>
      </c>
      <c r="C100" s="12" t="s">
        <v>26</v>
      </c>
      <c r="D100" s="12">
        <v>30.04</v>
      </c>
      <c r="E100" s="12">
        <v>1997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21">
        <f t="shared" si="40"/>
        <v>0</v>
      </c>
      <c r="R100" s="15"/>
      <c r="S100" s="15"/>
      <c r="T100" s="15"/>
      <c r="U100" s="15"/>
      <c r="V100" s="15"/>
      <c r="W100" s="21">
        <f t="shared" si="41"/>
        <v>0</v>
      </c>
      <c r="X100" s="15">
        <v>1</v>
      </c>
      <c r="Y100" s="15"/>
      <c r="Z100" s="15"/>
      <c r="AA100" s="15"/>
      <c r="AB100" s="15"/>
      <c r="AC100" s="21">
        <f t="shared" si="42"/>
        <v>0</v>
      </c>
      <c r="AD100" s="15">
        <v>1</v>
      </c>
      <c r="AE100" s="21">
        <v>0</v>
      </c>
      <c r="AF100" s="21">
        <v>0</v>
      </c>
      <c r="AG100" s="21">
        <v>0</v>
      </c>
      <c r="AH100" s="21">
        <v>0</v>
      </c>
      <c r="AI100" s="21">
        <f t="shared" si="43"/>
        <v>0</v>
      </c>
      <c r="AJ100">
        <v>1</v>
      </c>
      <c r="AK100" s="128">
        <v>0</v>
      </c>
      <c r="AL100">
        <v>0</v>
      </c>
      <c r="AM100">
        <v>0</v>
      </c>
      <c r="AN100">
        <v>0</v>
      </c>
      <c r="AO100" s="21">
        <f t="shared" si="44"/>
        <v>0</v>
      </c>
      <c r="AP100">
        <v>1</v>
      </c>
      <c r="AQ100">
        <v>0</v>
      </c>
      <c r="AR100">
        <v>0</v>
      </c>
      <c r="AS100">
        <v>0</v>
      </c>
      <c r="AT100">
        <v>0</v>
      </c>
      <c r="AU100" s="21">
        <f t="shared" si="39"/>
        <v>0</v>
      </c>
    </row>
    <row r="101" spans="1:47" ht="15" customHeight="1" x14ac:dyDescent="0.2">
      <c r="A101" s="12">
        <v>3</v>
      </c>
      <c r="B101" s="12" t="s">
        <v>143</v>
      </c>
      <c r="C101" s="12" t="s">
        <v>26</v>
      </c>
      <c r="D101" s="12">
        <v>29.36</v>
      </c>
      <c r="E101" s="12">
        <v>1997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21">
        <f t="shared" si="40"/>
        <v>0</v>
      </c>
      <c r="R101" s="15"/>
      <c r="S101" s="15"/>
      <c r="T101" s="15"/>
      <c r="U101" s="15"/>
      <c r="V101" s="15"/>
      <c r="W101" s="21">
        <f t="shared" si="41"/>
        <v>0</v>
      </c>
      <c r="X101" s="15">
        <v>1</v>
      </c>
      <c r="Y101" s="15"/>
      <c r="Z101" s="15"/>
      <c r="AA101" s="15"/>
      <c r="AB101" s="15"/>
      <c r="AC101" s="21">
        <f t="shared" si="42"/>
        <v>0</v>
      </c>
      <c r="AD101" s="15">
        <v>1</v>
      </c>
      <c r="AE101" s="21">
        <v>0</v>
      </c>
      <c r="AF101" s="21">
        <v>0</v>
      </c>
      <c r="AG101" s="21">
        <v>0</v>
      </c>
      <c r="AH101" s="21">
        <v>0</v>
      </c>
      <c r="AI101" s="21">
        <f t="shared" si="43"/>
        <v>0</v>
      </c>
      <c r="AK101" s="128">
        <v>0</v>
      </c>
      <c r="AL101">
        <v>0</v>
      </c>
      <c r="AM101">
        <v>0</v>
      </c>
      <c r="AN101">
        <v>1</v>
      </c>
      <c r="AO101" s="21">
        <f t="shared" si="44"/>
        <v>1</v>
      </c>
      <c r="AP101">
        <v>0</v>
      </c>
      <c r="AQ101">
        <v>0</v>
      </c>
      <c r="AR101">
        <v>0</v>
      </c>
      <c r="AS101">
        <v>0</v>
      </c>
      <c r="AT101">
        <v>1</v>
      </c>
      <c r="AU101" s="21">
        <f t="shared" si="39"/>
        <v>1</v>
      </c>
    </row>
    <row r="102" spans="1:47" ht="15" customHeight="1" x14ac:dyDescent="0.2">
      <c r="A102" s="12">
        <v>3</v>
      </c>
      <c r="B102" s="12" t="s">
        <v>144</v>
      </c>
      <c r="C102" s="12" t="s">
        <v>26</v>
      </c>
      <c r="D102" s="12">
        <v>30.39</v>
      </c>
      <c r="E102" s="12">
        <v>1997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21">
        <f t="shared" si="40"/>
        <v>0</v>
      </c>
      <c r="R102" s="15"/>
      <c r="S102" s="15"/>
      <c r="T102" s="15"/>
      <c r="U102" s="15"/>
      <c r="V102" s="15"/>
      <c r="W102" s="21">
        <f t="shared" si="41"/>
        <v>0</v>
      </c>
      <c r="X102" s="15">
        <v>1</v>
      </c>
      <c r="Y102" s="15"/>
      <c r="Z102" s="15"/>
      <c r="AA102" s="15"/>
      <c r="AB102" s="15"/>
      <c r="AC102" s="21">
        <f t="shared" si="42"/>
        <v>0</v>
      </c>
      <c r="AD102" s="15">
        <v>1</v>
      </c>
      <c r="AE102" s="21">
        <v>0</v>
      </c>
      <c r="AF102" s="21">
        <v>0</v>
      </c>
      <c r="AG102" s="21">
        <v>0</v>
      </c>
      <c r="AH102" s="21">
        <v>0</v>
      </c>
      <c r="AI102" s="21">
        <f t="shared" si="43"/>
        <v>0</v>
      </c>
      <c r="AK102" s="128">
        <v>0</v>
      </c>
      <c r="AL102">
        <v>0</v>
      </c>
      <c r="AM102">
        <v>0</v>
      </c>
      <c r="AN102">
        <v>1</v>
      </c>
      <c r="AO102" s="21">
        <f t="shared" si="44"/>
        <v>1</v>
      </c>
      <c r="AP102">
        <v>0</v>
      </c>
      <c r="AQ102">
        <v>0</v>
      </c>
      <c r="AR102">
        <v>0</v>
      </c>
      <c r="AS102">
        <v>1</v>
      </c>
      <c r="AT102">
        <v>1</v>
      </c>
      <c r="AU102" s="21">
        <f t="shared" si="39"/>
        <v>2</v>
      </c>
    </row>
    <row r="103" spans="1:47" ht="15" customHeight="1" x14ac:dyDescent="0.2">
      <c r="A103" s="12">
        <v>3</v>
      </c>
      <c r="B103" s="12" t="s">
        <v>123</v>
      </c>
      <c r="C103" s="12" t="s">
        <v>26</v>
      </c>
      <c r="D103" s="12">
        <v>28.71</v>
      </c>
      <c r="E103" s="12">
        <v>1997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21">
        <f t="shared" si="40"/>
        <v>0</v>
      </c>
      <c r="R103" s="15"/>
      <c r="S103" s="15"/>
      <c r="T103" s="15"/>
      <c r="U103" s="15"/>
      <c r="V103" s="15"/>
      <c r="W103" s="21">
        <f t="shared" si="41"/>
        <v>0</v>
      </c>
      <c r="X103" s="15">
        <v>1</v>
      </c>
      <c r="Y103" s="15"/>
      <c r="Z103" s="15"/>
      <c r="AA103" s="15"/>
      <c r="AB103" s="15"/>
      <c r="AC103" s="21">
        <f t="shared" si="42"/>
        <v>0</v>
      </c>
      <c r="AD103" s="15">
        <v>1</v>
      </c>
      <c r="AE103" s="21">
        <v>0</v>
      </c>
      <c r="AF103" s="21">
        <v>0</v>
      </c>
      <c r="AG103" s="21">
        <v>0</v>
      </c>
      <c r="AH103" s="21">
        <v>0</v>
      </c>
      <c r="AI103" s="21">
        <f t="shared" si="43"/>
        <v>0</v>
      </c>
      <c r="AJ103">
        <v>1</v>
      </c>
      <c r="AK103" s="128">
        <v>0</v>
      </c>
      <c r="AL103">
        <v>0</v>
      </c>
      <c r="AM103">
        <v>0</v>
      </c>
      <c r="AN103">
        <v>0</v>
      </c>
      <c r="AO103" s="21">
        <f t="shared" si="44"/>
        <v>0</v>
      </c>
      <c r="AP103">
        <v>1</v>
      </c>
      <c r="AQ103">
        <v>0</v>
      </c>
      <c r="AR103">
        <v>0</v>
      </c>
      <c r="AS103">
        <v>0</v>
      </c>
      <c r="AT103">
        <v>0</v>
      </c>
      <c r="AU103" s="21">
        <f t="shared" si="39"/>
        <v>0</v>
      </c>
    </row>
    <row r="104" spans="1:47" ht="15" customHeight="1" x14ac:dyDescent="0.2">
      <c r="A104" s="12">
        <v>3</v>
      </c>
      <c r="B104" s="12" t="s">
        <v>124</v>
      </c>
      <c r="C104" s="12" t="s">
        <v>26</v>
      </c>
      <c r="D104" s="12">
        <v>30.04</v>
      </c>
      <c r="E104" s="12">
        <v>1997</v>
      </c>
      <c r="F104" s="15"/>
      <c r="G104" s="15"/>
      <c r="H104" s="15"/>
      <c r="I104" s="15"/>
      <c r="J104" s="15"/>
      <c r="K104" s="15"/>
      <c r="L104" s="15">
        <v>1</v>
      </c>
      <c r="M104" s="15"/>
      <c r="N104" s="15"/>
      <c r="O104" s="15"/>
      <c r="P104" s="15"/>
      <c r="Q104" s="21">
        <f t="shared" si="40"/>
        <v>0</v>
      </c>
      <c r="R104" s="15">
        <v>1</v>
      </c>
      <c r="S104" s="15"/>
      <c r="T104" s="15"/>
      <c r="U104" s="15"/>
      <c r="V104" s="15"/>
      <c r="W104" s="21">
        <f t="shared" si="41"/>
        <v>0</v>
      </c>
      <c r="X104" s="15">
        <v>1</v>
      </c>
      <c r="Y104" s="15"/>
      <c r="Z104" s="15"/>
      <c r="AA104" s="15"/>
      <c r="AB104" s="15"/>
      <c r="AC104" s="21">
        <f t="shared" si="42"/>
        <v>0</v>
      </c>
      <c r="AD104" s="15">
        <v>1</v>
      </c>
      <c r="AE104" s="21">
        <v>0</v>
      </c>
      <c r="AF104" s="21">
        <v>0</v>
      </c>
      <c r="AG104" s="21">
        <v>0</v>
      </c>
      <c r="AH104" s="21">
        <v>0</v>
      </c>
      <c r="AI104" s="21">
        <f t="shared" si="43"/>
        <v>0</v>
      </c>
      <c r="AJ104">
        <v>1</v>
      </c>
      <c r="AK104" s="128">
        <v>0</v>
      </c>
      <c r="AL104">
        <v>0</v>
      </c>
      <c r="AM104">
        <v>0</v>
      </c>
      <c r="AN104">
        <v>0</v>
      </c>
      <c r="AO104" s="21">
        <f t="shared" si="44"/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 s="21">
        <f t="shared" si="39"/>
        <v>0</v>
      </c>
    </row>
    <row r="105" spans="1:47" ht="15" customHeight="1" x14ac:dyDescent="0.2">
      <c r="A105" s="12">
        <v>3</v>
      </c>
      <c r="B105" s="12" t="s">
        <v>125</v>
      </c>
      <c r="C105" s="12" t="s">
        <v>26</v>
      </c>
      <c r="D105" s="12">
        <v>30.11</v>
      </c>
      <c r="E105" s="12">
        <v>1997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21">
        <f t="shared" si="40"/>
        <v>0</v>
      </c>
      <c r="R105" s="15"/>
      <c r="S105" s="15"/>
      <c r="T105" s="15"/>
      <c r="U105" s="15"/>
      <c r="V105" s="15"/>
      <c r="W105" s="21">
        <f t="shared" si="41"/>
        <v>0</v>
      </c>
      <c r="X105" s="15">
        <v>1</v>
      </c>
      <c r="Y105" s="15"/>
      <c r="Z105" s="15"/>
      <c r="AA105" s="15"/>
      <c r="AB105" s="15"/>
      <c r="AC105" s="21">
        <f t="shared" si="42"/>
        <v>0</v>
      </c>
      <c r="AD105" s="15">
        <v>1</v>
      </c>
      <c r="AE105" s="21">
        <v>0</v>
      </c>
      <c r="AF105" s="21">
        <v>0</v>
      </c>
      <c r="AG105" s="21">
        <v>0</v>
      </c>
      <c r="AH105" s="15">
        <v>1</v>
      </c>
      <c r="AI105" s="21">
        <f t="shared" si="43"/>
        <v>1</v>
      </c>
      <c r="AK105" s="128">
        <v>0</v>
      </c>
      <c r="AL105">
        <v>0</v>
      </c>
      <c r="AM105">
        <v>0</v>
      </c>
      <c r="AN105">
        <v>1</v>
      </c>
      <c r="AO105" s="21">
        <f t="shared" si="44"/>
        <v>1</v>
      </c>
      <c r="AP105">
        <v>1</v>
      </c>
      <c r="AQ105">
        <v>0</v>
      </c>
      <c r="AR105">
        <v>0</v>
      </c>
      <c r="AS105">
        <v>2</v>
      </c>
      <c r="AT105">
        <v>1</v>
      </c>
      <c r="AU105" s="21">
        <f t="shared" si="39"/>
        <v>3</v>
      </c>
    </row>
    <row r="106" spans="1:47" ht="15" customHeight="1" x14ac:dyDescent="0.2">
      <c r="A106" s="12">
        <v>3</v>
      </c>
      <c r="B106" s="12" t="s">
        <v>126</v>
      </c>
      <c r="C106" s="12" t="s">
        <v>26</v>
      </c>
      <c r="D106" s="12">
        <v>30.46</v>
      </c>
      <c r="E106" s="12">
        <v>1997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21">
        <f t="shared" si="40"/>
        <v>0</v>
      </c>
      <c r="R106" s="15"/>
      <c r="S106" s="15"/>
      <c r="T106" s="15"/>
      <c r="U106" s="15"/>
      <c r="V106" s="15"/>
      <c r="W106" s="21">
        <f t="shared" si="41"/>
        <v>0</v>
      </c>
      <c r="X106" s="15">
        <v>1</v>
      </c>
      <c r="Y106" s="15"/>
      <c r="Z106" s="15"/>
      <c r="AA106" s="15"/>
      <c r="AB106" s="15"/>
      <c r="AC106" s="21">
        <f t="shared" si="42"/>
        <v>0</v>
      </c>
      <c r="AD106" s="15">
        <v>1</v>
      </c>
      <c r="AE106" s="21">
        <v>0</v>
      </c>
      <c r="AF106" s="21">
        <v>0</v>
      </c>
      <c r="AG106" s="21">
        <v>0</v>
      </c>
      <c r="AH106" s="21">
        <v>0</v>
      </c>
      <c r="AI106" s="21">
        <f t="shared" si="43"/>
        <v>0</v>
      </c>
      <c r="AJ106">
        <v>1</v>
      </c>
      <c r="AK106" s="128">
        <v>0</v>
      </c>
      <c r="AL106">
        <v>0</v>
      </c>
      <c r="AM106">
        <v>0</v>
      </c>
      <c r="AN106">
        <v>0</v>
      </c>
      <c r="AO106" s="21">
        <f t="shared" si="44"/>
        <v>0</v>
      </c>
      <c r="AP106">
        <v>1</v>
      </c>
      <c r="AQ106">
        <v>0</v>
      </c>
      <c r="AR106">
        <v>0</v>
      </c>
      <c r="AS106">
        <v>0</v>
      </c>
      <c r="AT106">
        <v>0</v>
      </c>
      <c r="AU106" s="21">
        <f t="shared" si="39"/>
        <v>0</v>
      </c>
    </row>
    <row r="107" spans="1:47" ht="15" customHeight="1" x14ac:dyDescent="0.2">
      <c r="A107" s="12">
        <v>3</v>
      </c>
      <c r="B107" s="12" t="s">
        <v>127</v>
      </c>
      <c r="C107" s="12" t="s">
        <v>26</v>
      </c>
      <c r="D107" s="12">
        <v>30.31</v>
      </c>
      <c r="E107" s="12">
        <v>1997</v>
      </c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21">
        <f t="shared" si="40"/>
        <v>0</v>
      </c>
      <c r="R107" s="15"/>
      <c r="S107" s="15"/>
      <c r="T107" s="15"/>
      <c r="U107" s="15"/>
      <c r="V107" s="15"/>
      <c r="W107" s="21">
        <f t="shared" si="41"/>
        <v>0</v>
      </c>
      <c r="X107" s="15">
        <v>1</v>
      </c>
      <c r="Y107" s="15"/>
      <c r="Z107" s="15"/>
      <c r="AA107" s="15"/>
      <c r="AB107" s="15"/>
      <c r="AC107" s="21">
        <f t="shared" si="42"/>
        <v>0</v>
      </c>
      <c r="AD107" s="15">
        <v>1</v>
      </c>
      <c r="AE107" s="21">
        <v>0</v>
      </c>
      <c r="AF107" s="21">
        <v>0</v>
      </c>
      <c r="AG107" s="21">
        <v>0</v>
      </c>
      <c r="AH107" s="21">
        <v>0</v>
      </c>
      <c r="AI107" s="21">
        <f t="shared" si="43"/>
        <v>0</v>
      </c>
      <c r="AJ107">
        <v>1</v>
      </c>
      <c r="AK107" s="128">
        <v>0</v>
      </c>
      <c r="AL107">
        <v>0</v>
      </c>
      <c r="AM107">
        <v>0</v>
      </c>
      <c r="AN107">
        <v>0</v>
      </c>
      <c r="AO107" s="21">
        <f t="shared" si="44"/>
        <v>0</v>
      </c>
      <c r="AP107">
        <v>1</v>
      </c>
      <c r="AQ107">
        <v>0</v>
      </c>
      <c r="AR107">
        <v>0</v>
      </c>
      <c r="AS107">
        <v>0</v>
      </c>
      <c r="AT107">
        <v>0</v>
      </c>
      <c r="AU107" s="21">
        <f t="shared" si="39"/>
        <v>0</v>
      </c>
    </row>
    <row r="108" spans="1:47" ht="15" customHeight="1" x14ac:dyDescent="0.2">
      <c r="A108" s="12">
        <v>3</v>
      </c>
      <c r="B108" s="12" t="s">
        <v>110</v>
      </c>
      <c r="C108" s="12" t="s">
        <v>26</v>
      </c>
      <c r="D108" s="12">
        <v>27.66</v>
      </c>
      <c r="E108" s="12">
        <v>1997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21">
        <f t="shared" si="40"/>
        <v>0</v>
      </c>
      <c r="R108" s="15"/>
      <c r="S108" s="15"/>
      <c r="T108" s="15"/>
      <c r="U108" s="15"/>
      <c r="V108" s="15"/>
      <c r="W108" s="21">
        <f t="shared" si="41"/>
        <v>0</v>
      </c>
      <c r="X108" s="15">
        <v>1</v>
      </c>
      <c r="Y108" s="15"/>
      <c r="Z108" s="15"/>
      <c r="AA108" s="15"/>
      <c r="AB108" s="15"/>
      <c r="AC108" s="21">
        <f t="shared" si="42"/>
        <v>0</v>
      </c>
      <c r="AD108" s="15">
        <v>1</v>
      </c>
      <c r="AE108" s="21">
        <v>0</v>
      </c>
      <c r="AF108" s="21">
        <v>0</v>
      </c>
      <c r="AG108" s="21">
        <v>0</v>
      </c>
      <c r="AH108" s="21">
        <v>0</v>
      </c>
      <c r="AI108" s="21">
        <f t="shared" si="43"/>
        <v>0</v>
      </c>
      <c r="AJ108">
        <v>1</v>
      </c>
      <c r="AK108" s="128">
        <v>0</v>
      </c>
      <c r="AL108">
        <v>0</v>
      </c>
      <c r="AM108">
        <v>0</v>
      </c>
      <c r="AN108">
        <v>0</v>
      </c>
      <c r="AO108" s="21">
        <f t="shared" si="44"/>
        <v>0</v>
      </c>
      <c r="AP108">
        <v>1</v>
      </c>
      <c r="AQ108">
        <v>0</v>
      </c>
      <c r="AR108">
        <v>0</v>
      </c>
      <c r="AS108">
        <v>0</v>
      </c>
      <c r="AT108">
        <v>0</v>
      </c>
      <c r="AU108" s="21">
        <f t="shared" si="39"/>
        <v>0</v>
      </c>
    </row>
    <row r="109" spans="1:47" ht="15" customHeight="1" x14ac:dyDescent="0.2">
      <c r="A109" s="12">
        <v>3</v>
      </c>
      <c r="B109" s="12" t="s">
        <v>111</v>
      </c>
      <c r="C109" s="12" t="s">
        <v>26</v>
      </c>
      <c r="D109" s="12">
        <v>28.78</v>
      </c>
      <c r="E109" s="12">
        <v>1997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21">
        <f t="shared" si="40"/>
        <v>0</v>
      </c>
      <c r="R109" s="15"/>
      <c r="S109" s="15"/>
      <c r="T109" s="15"/>
      <c r="U109" s="15"/>
      <c r="V109" s="15"/>
      <c r="W109" s="21">
        <f t="shared" si="41"/>
        <v>0</v>
      </c>
      <c r="X109" s="15">
        <v>1</v>
      </c>
      <c r="Y109" s="15"/>
      <c r="Z109" s="15"/>
      <c r="AA109" s="15"/>
      <c r="AB109" s="15"/>
      <c r="AC109" s="21">
        <f t="shared" si="42"/>
        <v>0</v>
      </c>
      <c r="AD109" s="15">
        <v>1</v>
      </c>
      <c r="AE109" s="21">
        <v>0</v>
      </c>
      <c r="AF109" s="21">
        <v>0</v>
      </c>
      <c r="AG109" s="21">
        <v>0</v>
      </c>
      <c r="AH109" s="21">
        <v>0</v>
      </c>
      <c r="AI109" s="21">
        <f t="shared" si="43"/>
        <v>0</v>
      </c>
      <c r="AJ109">
        <v>1</v>
      </c>
      <c r="AK109" s="128">
        <v>0</v>
      </c>
      <c r="AL109">
        <v>0</v>
      </c>
      <c r="AM109">
        <v>0</v>
      </c>
      <c r="AN109">
        <v>0</v>
      </c>
      <c r="AO109" s="21">
        <f t="shared" si="44"/>
        <v>0</v>
      </c>
      <c r="AP109">
        <v>1</v>
      </c>
      <c r="AQ109">
        <v>0</v>
      </c>
      <c r="AR109">
        <v>0</v>
      </c>
      <c r="AS109">
        <v>0</v>
      </c>
      <c r="AT109">
        <v>0</v>
      </c>
      <c r="AU109" s="21">
        <f t="shared" si="39"/>
        <v>0</v>
      </c>
    </row>
    <row r="110" spans="1:47" ht="15" customHeight="1" x14ac:dyDescent="0.2">
      <c r="A110" s="12">
        <v>3</v>
      </c>
      <c r="B110" s="12" t="s">
        <v>112</v>
      </c>
      <c r="C110" s="12" t="s">
        <v>26</v>
      </c>
      <c r="D110" s="12">
        <v>29.35</v>
      </c>
      <c r="E110" s="12">
        <v>1997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21">
        <f t="shared" si="40"/>
        <v>0</v>
      </c>
      <c r="R110" s="15"/>
      <c r="S110" s="15"/>
      <c r="T110" s="15"/>
      <c r="U110" s="15"/>
      <c r="V110" s="15"/>
      <c r="W110" s="21">
        <f t="shared" si="41"/>
        <v>0</v>
      </c>
      <c r="X110" s="15">
        <v>1</v>
      </c>
      <c r="Y110" s="15"/>
      <c r="Z110" s="15"/>
      <c r="AA110" s="15"/>
      <c r="AB110" s="15"/>
      <c r="AC110" s="21">
        <f t="shared" si="42"/>
        <v>0</v>
      </c>
      <c r="AD110" s="15">
        <v>0</v>
      </c>
      <c r="AE110" s="21">
        <v>0</v>
      </c>
      <c r="AF110" s="21">
        <v>0</v>
      </c>
      <c r="AG110" s="21">
        <v>0</v>
      </c>
      <c r="AH110" s="15">
        <v>1</v>
      </c>
      <c r="AI110" s="21">
        <f t="shared" si="43"/>
        <v>1</v>
      </c>
      <c r="AK110" s="128">
        <v>0</v>
      </c>
      <c r="AL110">
        <v>0</v>
      </c>
      <c r="AM110">
        <v>0</v>
      </c>
      <c r="AN110">
        <v>1</v>
      </c>
      <c r="AO110" s="21">
        <f t="shared" si="44"/>
        <v>1</v>
      </c>
      <c r="AP110">
        <v>0</v>
      </c>
      <c r="AQ110">
        <v>0</v>
      </c>
      <c r="AR110">
        <v>0</v>
      </c>
      <c r="AS110">
        <v>0</v>
      </c>
      <c r="AT110">
        <v>1</v>
      </c>
      <c r="AU110" s="21">
        <f t="shared" si="39"/>
        <v>1</v>
      </c>
    </row>
    <row r="111" spans="1:47" ht="15" customHeight="1" x14ac:dyDescent="0.2">
      <c r="A111" s="12">
        <v>3</v>
      </c>
      <c r="B111" s="12" t="s">
        <v>117</v>
      </c>
      <c r="C111" s="12" t="s">
        <v>26</v>
      </c>
      <c r="D111" s="12">
        <v>29.87</v>
      </c>
      <c r="E111" s="12">
        <v>1997</v>
      </c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21">
        <f t="shared" si="40"/>
        <v>0</v>
      </c>
      <c r="R111" s="15"/>
      <c r="S111" s="15"/>
      <c r="T111" s="15"/>
      <c r="U111" s="15"/>
      <c r="V111" s="15"/>
      <c r="W111" s="21">
        <f t="shared" si="41"/>
        <v>0</v>
      </c>
      <c r="X111" s="15">
        <v>1</v>
      </c>
      <c r="Y111" s="15"/>
      <c r="Z111" s="15"/>
      <c r="AA111" s="15"/>
      <c r="AB111" s="15"/>
      <c r="AC111" s="21">
        <f t="shared" si="42"/>
        <v>0</v>
      </c>
      <c r="AD111" s="15">
        <v>1</v>
      </c>
      <c r="AE111" s="21">
        <v>0</v>
      </c>
      <c r="AF111" s="21">
        <v>0</v>
      </c>
      <c r="AG111" s="21">
        <v>0</v>
      </c>
      <c r="AH111" s="21">
        <v>0</v>
      </c>
      <c r="AI111" s="21">
        <f t="shared" si="43"/>
        <v>0</v>
      </c>
      <c r="AJ111">
        <v>1</v>
      </c>
      <c r="AK111" s="128">
        <v>0</v>
      </c>
      <c r="AL111">
        <v>0</v>
      </c>
      <c r="AM111">
        <v>0</v>
      </c>
      <c r="AN111">
        <v>0</v>
      </c>
      <c r="AO111" s="21">
        <f t="shared" si="44"/>
        <v>0</v>
      </c>
      <c r="AP111">
        <v>1</v>
      </c>
      <c r="AQ111">
        <v>0</v>
      </c>
      <c r="AR111">
        <v>0</v>
      </c>
      <c r="AS111">
        <v>0</v>
      </c>
      <c r="AT111">
        <v>0</v>
      </c>
      <c r="AU111" s="21">
        <f t="shared" si="39"/>
        <v>0</v>
      </c>
    </row>
    <row r="112" spans="1:47" ht="15" customHeight="1" x14ac:dyDescent="0.2">
      <c r="A112" s="12">
        <v>3</v>
      </c>
      <c r="B112" s="12" t="s">
        <v>119</v>
      </c>
      <c r="C112" s="12" t="s">
        <v>26</v>
      </c>
      <c r="D112" s="12">
        <v>29.74</v>
      </c>
      <c r="E112" s="12">
        <v>1997</v>
      </c>
      <c r="F112" s="15"/>
      <c r="G112" s="15"/>
      <c r="H112" s="15"/>
      <c r="I112" s="15"/>
      <c r="J112" s="15"/>
      <c r="K112" s="15"/>
      <c r="L112" s="15">
        <v>1</v>
      </c>
      <c r="M112" s="15"/>
      <c r="N112" s="15"/>
      <c r="O112" s="15"/>
      <c r="P112" s="15"/>
      <c r="Q112" s="21">
        <f t="shared" si="40"/>
        <v>0</v>
      </c>
      <c r="R112" s="15">
        <v>1</v>
      </c>
      <c r="S112" s="15"/>
      <c r="T112" s="15"/>
      <c r="U112" s="15"/>
      <c r="V112" s="15"/>
      <c r="W112" s="21">
        <f t="shared" si="41"/>
        <v>0</v>
      </c>
      <c r="X112" s="15">
        <v>1</v>
      </c>
      <c r="Y112" s="15"/>
      <c r="Z112" s="15"/>
      <c r="AA112" s="15"/>
      <c r="AB112" s="15"/>
      <c r="AC112" s="21">
        <f t="shared" si="42"/>
        <v>0</v>
      </c>
      <c r="AD112" s="15">
        <v>0</v>
      </c>
      <c r="AE112" s="21">
        <v>0</v>
      </c>
      <c r="AF112" s="21">
        <v>0</v>
      </c>
      <c r="AG112" s="21">
        <v>0</v>
      </c>
      <c r="AH112" s="15">
        <v>1</v>
      </c>
      <c r="AI112" s="21">
        <f t="shared" si="43"/>
        <v>1</v>
      </c>
      <c r="AK112" s="128">
        <v>0</v>
      </c>
      <c r="AL112">
        <v>0</v>
      </c>
      <c r="AM112">
        <v>0</v>
      </c>
      <c r="AN112">
        <v>1</v>
      </c>
      <c r="AO112" s="21">
        <f t="shared" si="44"/>
        <v>1</v>
      </c>
      <c r="AP112">
        <v>0</v>
      </c>
      <c r="AQ112">
        <v>0</v>
      </c>
      <c r="AR112">
        <v>0</v>
      </c>
      <c r="AS112">
        <v>0</v>
      </c>
      <c r="AT112">
        <v>1</v>
      </c>
      <c r="AU112" s="21">
        <f t="shared" si="39"/>
        <v>1</v>
      </c>
    </row>
    <row r="113" spans="1:47" ht="15" customHeight="1" x14ac:dyDescent="0.2">
      <c r="A113" s="12">
        <v>3</v>
      </c>
      <c r="B113" s="12" t="s">
        <v>141</v>
      </c>
      <c r="C113" s="12" t="s">
        <v>26</v>
      </c>
      <c r="D113" s="12">
        <v>31.14</v>
      </c>
      <c r="E113" s="12">
        <v>1996</v>
      </c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21">
        <f t="shared" si="40"/>
        <v>0</v>
      </c>
      <c r="R113" s="15"/>
      <c r="S113" s="15"/>
      <c r="T113" s="15"/>
      <c r="U113" s="15"/>
      <c r="V113" s="15"/>
      <c r="W113" s="21">
        <f t="shared" si="41"/>
        <v>0</v>
      </c>
      <c r="X113" s="15">
        <v>1</v>
      </c>
      <c r="Y113" s="15"/>
      <c r="Z113" s="15"/>
      <c r="AA113" s="15"/>
      <c r="AB113" s="15"/>
      <c r="AC113" s="21">
        <f t="shared" si="42"/>
        <v>0</v>
      </c>
      <c r="AD113" s="15">
        <v>1</v>
      </c>
      <c r="AE113" s="21">
        <v>0</v>
      </c>
      <c r="AF113" s="21">
        <v>0</v>
      </c>
      <c r="AG113" s="21">
        <v>0</v>
      </c>
      <c r="AH113" s="21">
        <v>0</v>
      </c>
      <c r="AI113" s="21">
        <f t="shared" si="43"/>
        <v>0</v>
      </c>
      <c r="AJ113">
        <v>1</v>
      </c>
      <c r="AK113" s="128">
        <v>0</v>
      </c>
      <c r="AL113">
        <v>0</v>
      </c>
      <c r="AM113">
        <v>0</v>
      </c>
      <c r="AN113">
        <v>0</v>
      </c>
      <c r="AO113" s="21">
        <f t="shared" si="44"/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 s="21">
        <f t="shared" si="39"/>
        <v>0</v>
      </c>
    </row>
    <row r="114" spans="1:47" ht="15" customHeight="1" x14ac:dyDescent="0.2">
      <c r="A114" s="12">
        <v>3</v>
      </c>
      <c r="B114" s="12" t="s">
        <v>145</v>
      </c>
      <c r="C114" s="12" t="s">
        <v>26</v>
      </c>
      <c r="D114" s="12">
        <v>29.62</v>
      </c>
      <c r="E114" s="12">
        <v>1996</v>
      </c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21">
        <f t="shared" si="40"/>
        <v>0</v>
      </c>
      <c r="R114" s="15"/>
      <c r="S114" s="15"/>
      <c r="T114" s="15"/>
      <c r="U114" s="15"/>
      <c r="V114" s="15"/>
      <c r="W114" s="21">
        <f t="shared" si="41"/>
        <v>0</v>
      </c>
      <c r="X114" s="15">
        <v>1</v>
      </c>
      <c r="Y114" s="15"/>
      <c r="Z114" s="15"/>
      <c r="AA114" s="15"/>
      <c r="AB114" s="15"/>
      <c r="AC114" s="21">
        <f t="shared" si="42"/>
        <v>0</v>
      </c>
      <c r="AD114" s="15">
        <v>1</v>
      </c>
      <c r="AE114" s="21">
        <v>0</v>
      </c>
      <c r="AF114" s="21">
        <v>0</v>
      </c>
      <c r="AG114" s="21">
        <v>0</v>
      </c>
      <c r="AH114" s="21">
        <v>0</v>
      </c>
      <c r="AI114" s="21">
        <f t="shared" si="43"/>
        <v>0</v>
      </c>
      <c r="AJ114">
        <v>1</v>
      </c>
      <c r="AK114" s="128">
        <v>0</v>
      </c>
      <c r="AL114">
        <v>0</v>
      </c>
      <c r="AM114">
        <v>0</v>
      </c>
      <c r="AN114">
        <v>0</v>
      </c>
      <c r="AO114" s="21">
        <f t="shared" si="44"/>
        <v>0</v>
      </c>
      <c r="AP114">
        <v>1</v>
      </c>
      <c r="AQ114">
        <v>0</v>
      </c>
      <c r="AR114">
        <v>0</v>
      </c>
      <c r="AS114">
        <v>0</v>
      </c>
      <c r="AT114">
        <v>0</v>
      </c>
      <c r="AU114" s="21">
        <f t="shared" si="39"/>
        <v>0</v>
      </c>
    </row>
    <row r="115" spans="1:47" ht="15" customHeight="1" x14ac:dyDescent="0.2">
      <c r="A115" s="12">
        <v>3</v>
      </c>
      <c r="B115" s="12" t="s">
        <v>146</v>
      </c>
      <c r="C115" s="12" t="s">
        <v>26</v>
      </c>
      <c r="D115" s="12">
        <v>30.55</v>
      </c>
      <c r="E115" s="12">
        <v>1996</v>
      </c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21">
        <f t="shared" si="40"/>
        <v>0</v>
      </c>
      <c r="R115" s="15"/>
      <c r="S115" s="15"/>
      <c r="T115" s="15"/>
      <c r="U115" s="15"/>
      <c r="V115" s="15"/>
      <c r="W115" s="21">
        <f t="shared" si="41"/>
        <v>0</v>
      </c>
      <c r="X115" s="15">
        <v>1</v>
      </c>
      <c r="Y115" s="15"/>
      <c r="Z115" s="15"/>
      <c r="AA115" s="15"/>
      <c r="AB115" s="15"/>
      <c r="AC115" s="21">
        <f t="shared" si="42"/>
        <v>0</v>
      </c>
      <c r="AD115" s="15">
        <v>0</v>
      </c>
      <c r="AE115" s="21">
        <v>2</v>
      </c>
      <c r="AF115" s="21">
        <v>0</v>
      </c>
      <c r="AG115" s="21">
        <v>1</v>
      </c>
      <c r="AH115" s="21">
        <v>0</v>
      </c>
      <c r="AI115" s="21">
        <f t="shared" si="43"/>
        <v>3</v>
      </c>
      <c r="AK115" s="128">
        <v>2</v>
      </c>
      <c r="AL115">
        <v>1</v>
      </c>
      <c r="AM115">
        <v>1</v>
      </c>
      <c r="AN115">
        <v>0</v>
      </c>
      <c r="AO115" s="21">
        <f t="shared" si="44"/>
        <v>4</v>
      </c>
      <c r="AP115">
        <v>0</v>
      </c>
      <c r="AQ115">
        <v>3</v>
      </c>
      <c r="AR115">
        <v>1</v>
      </c>
      <c r="AS115">
        <v>0</v>
      </c>
      <c r="AT115">
        <v>0</v>
      </c>
      <c r="AU115" s="21">
        <f t="shared" si="39"/>
        <v>4</v>
      </c>
    </row>
    <row r="116" spans="1:47" ht="15" customHeight="1" x14ac:dyDescent="0.2">
      <c r="A116" s="12">
        <v>3</v>
      </c>
      <c r="B116" s="12" t="s">
        <v>147</v>
      </c>
      <c r="C116" s="12" t="s">
        <v>26</v>
      </c>
      <c r="D116" s="12">
        <v>30.89</v>
      </c>
      <c r="E116" s="12">
        <v>1996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21">
        <f t="shared" si="40"/>
        <v>0</v>
      </c>
      <c r="R116" s="15"/>
      <c r="S116" s="15"/>
      <c r="T116" s="15"/>
      <c r="U116" s="15"/>
      <c r="V116" s="15"/>
      <c r="W116" s="21">
        <f t="shared" si="41"/>
        <v>0</v>
      </c>
      <c r="X116" s="15">
        <v>1</v>
      </c>
      <c r="Y116" s="15"/>
      <c r="Z116" s="15"/>
      <c r="AA116" s="15"/>
      <c r="AB116" s="15"/>
      <c r="AC116" s="21">
        <f t="shared" si="42"/>
        <v>0</v>
      </c>
      <c r="AD116" s="15">
        <v>1</v>
      </c>
      <c r="AE116" s="21">
        <v>0</v>
      </c>
      <c r="AF116" s="21">
        <v>0</v>
      </c>
      <c r="AG116" s="21">
        <v>0</v>
      </c>
      <c r="AH116" s="21">
        <v>0</v>
      </c>
      <c r="AI116" s="21">
        <f t="shared" si="43"/>
        <v>0</v>
      </c>
      <c r="AJ116">
        <v>0</v>
      </c>
      <c r="AK116" s="128">
        <v>0</v>
      </c>
      <c r="AL116">
        <v>0</v>
      </c>
      <c r="AM116">
        <v>0</v>
      </c>
      <c r="AN116">
        <v>1</v>
      </c>
      <c r="AO116" s="21">
        <f t="shared" si="44"/>
        <v>1</v>
      </c>
      <c r="AP116">
        <v>0</v>
      </c>
      <c r="AQ116">
        <v>0</v>
      </c>
      <c r="AR116">
        <v>0</v>
      </c>
      <c r="AS116">
        <v>0</v>
      </c>
      <c r="AT116">
        <v>1</v>
      </c>
      <c r="AU116" s="21">
        <f t="shared" si="39"/>
        <v>1</v>
      </c>
    </row>
    <row r="117" spans="1:47" ht="15" customHeight="1" x14ac:dyDescent="0.2">
      <c r="A117" s="12">
        <v>3</v>
      </c>
      <c r="B117" s="12" t="s">
        <v>148</v>
      </c>
      <c r="C117" s="12" t="s">
        <v>26</v>
      </c>
      <c r="D117" s="12">
        <v>31.76</v>
      </c>
      <c r="E117" s="12">
        <v>1996</v>
      </c>
      <c r="F117" s="15"/>
      <c r="G117" s="15"/>
      <c r="H117" s="15"/>
      <c r="I117" s="15"/>
      <c r="J117" s="15"/>
      <c r="K117" s="15"/>
      <c r="L117" s="15">
        <v>1</v>
      </c>
      <c r="M117" s="15"/>
      <c r="N117" s="15"/>
      <c r="O117" s="15"/>
      <c r="P117" s="15"/>
      <c r="Q117" s="21">
        <f t="shared" si="40"/>
        <v>0</v>
      </c>
      <c r="R117" s="15">
        <v>1</v>
      </c>
      <c r="S117" s="15"/>
      <c r="T117" s="15"/>
      <c r="U117" s="15"/>
      <c r="V117" s="15"/>
      <c r="W117" s="21">
        <f t="shared" si="41"/>
        <v>0</v>
      </c>
      <c r="X117" s="15">
        <v>1</v>
      </c>
      <c r="Y117" s="15"/>
      <c r="Z117" s="15"/>
      <c r="AA117" s="15"/>
      <c r="AB117" s="15"/>
      <c r="AC117" s="21">
        <f t="shared" si="42"/>
        <v>0</v>
      </c>
      <c r="AD117" s="15">
        <v>1</v>
      </c>
      <c r="AE117" s="21">
        <v>0</v>
      </c>
      <c r="AF117" s="21">
        <v>0</v>
      </c>
      <c r="AG117" s="21">
        <v>0</v>
      </c>
      <c r="AH117" s="21">
        <v>0</v>
      </c>
      <c r="AI117" s="21">
        <f t="shared" si="43"/>
        <v>0</v>
      </c>
      <c r="AJ117">
        <v>1</v>
      </c>
      <c r="AK117" s="128">
        <v>0</v>
      </c>
      <c r="AL117">
        <v>0</v>
      </c>
      <c r="AM117">
        <v>0</v>
      </c>
      <c r="AN117">
        <v>0</v>
      </c>
      <c r="AO117" s="21">
        <f t="shared" si="44"/>
        <v>0</v>
      </c>
      <c r="AP117">
        <v>1</v>
      </c>
      <c r="AQ117">
        <v>0</v>
      </c>
      <c r="AR117">
        <v>0</v>
      </c>
      <c r="AS117">
        <v>0</v>
      </c>
      <c r="AT117">
        <v>0</v>
      </c>
      <c r="AU117" s="21">
        <f t="shared" si="39"/>
        <v>0</v>
      </c>
    </row>
    <row r="118" spans="1:47" ht="15" customHeight="1" x14ac:dyDescent="0.2">
      <c r="A118" s="12">
        <v>3</v>
      </c>
      <c r="B118" s="12" t="s">
        <v>128</v>
      </c>
      <c r="C118" s="12" t="s">
        <v>26</v>
      </c>
      <c r="D118" s="12">
        <v>31.15</v>
      </c>
      <c r="E118" s="12">
        <v>1996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21">
        <f t="shared" si="40"/>
        <v>0</v>
      </c>
      <c r="R118" s="15"/>
      <c r="S118" s="15"/>
      <c r="T118" s="15"/>
      <c r="U118" s="15"/>
      <c r="V118" s="15"/>
      <c r="W118" s="21">
        <f t="shared" si="41"/>
        <v>0</v>
      </c>
      <c r="X118" s="15">
        <v>1</v>
      </c>
      <c r="Y118" s="15"/>
      <c r="Z118" s="15"/>
      <c r="AA118" s="15"/>
      <c r="AB118" s="15"/>
      <c r="AC118" s="21">
        <f t="shared" si="42"/>
        <v>0</v>
      </c>
      <c r="AD118" s="15">
        <v>0</v>
      </c>
      <c r="AE118" s="21">
        <v>1</v>
      </c>
      <c r="AF118" s="21">
        <v>0</v>
      </c>
      <c r="AG118" s="21">
        <v>4</v>
      </c>
      <c r="AH118" s="21">
        <v>0</v>
      </c>
      <c r="AI118" s="21">
        <f t="shared" si="43"/>
        <v>5</v>
      </c>
      <c r="AK118" s="128">
        <v>1</v>
      </c>
      <c r="AL118">
        <v>0</v>
      </c>
      <c r="AM118">
        <v>4</v>
      </c>
      <c r="AN118">
        <v>0</v>
      </c>
      <c r="AO118" s="21">
        <f t="shared" si="44"/>
        <v>5</v>
      </c>
      <c r="AP118">
        <v>0</v>
      </c>
      <c r="AQ118">
        <v>1</v>
      </c>
      <c r="AR118">
        <v>3</v>
      </c>
      <c r="AS118">
        <v>0</v>
      </c>
      <c r="AT118">
        <v>0</v>
      </c>
      <c r="AU118" s="21">
        <f t="shared" si="39"/>
        <v>4</v>
      </c>
    </row>
    <row r="119" spans="1:47" ht="15" customHeight="1" x14ac:dyDescent="0.2">
      <c r="A119" s="12">
        <v>3</v>
      </c>
      <c r="B119" s="12" t="s">
        <v>129</v>
      </c>
      <c r="C119" s="12" t="s">
        <v>26</v>
      </c>
      <c r="D119" s="12">
        <v>30.26</v>
      </c>
      <c r="E119" s="12">
        <v>1996</v>
      </c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21">
        <f t="shared" si="40"/>
        <v>0</v>
      </c>
      <c r="R119" s="15"/>
      <c r="S119" s="15"/>
      <c r="T119" s="15"/>
      <c r="U119" s="15"/>
      <c r="V119" s="15"/>
      <c r="W119" s="21">
        <f t="shared" si="41"/>
        <v>0</v>
      </c>
      <c r="X119" s="15">
        <v>1</v>
      </c>
      <c r="Y119" s="15"/>
      <c r="Z119" s="15"/>
      <c r="AA119" s="15"/>
      <c r="AB119" s="15"/>
      <c r="AC119" s="21">
        <f t="shared" si="42"/>
        <v>0</v>
      </c>
      <c r="AD119" s="15">
        <v>1</v>
      </c>
      <c r="AE119" s="21">
        <v>1</v>
      </c>
      <c r="AF119" s="21">
        <v>0</v>
      </c>
      <c r="AG119" s="21">
        <v>6</v>
      </c>
      <c r="AH119" s="15">
        <v>1</v>
      </c>
      <c r="AI119" s="21">
        <f t="shared" si="43"/>
        <v>8</v>
      </c>
      <c r="AK119" s="128">
        <v>1</v>
      </c>
      <c r="AL119">
        <v>0</v>
      </c>
      <c r="AM119">
        <v>6</v>
      </c>
      <c r="AN119">
        <v>0</v>
      </c>
      <c r="AO119" s="21">
        <f t="shared" si="44"/>
        <v>7</v>
      </c>
      <c r="AP119">
        <v>1</v>
      </c>
      <c r="AQ119">
        <v>1</v>
      </c>
      <c r="AR119">
        <v>5</v>
      </c>
      <c r="AS119">
        <v>0</v>
      </c>
      <c r="AT119">
        <v>1</v>
      </c>
      <c r="AU119" s="21">
        <f t="shared" si="39"/>
        <v>7</v>
      </c>
    </row>
    <row r="120" spans="1:47" ht="15" customHeight="1" x14ac:dyDescent="0.2">
      <c r="A120" s="12">
        <v>3</v>
      </c>
      <c r="B120" s="12" t="s">
        <v>130</v>
      </c>
      <c r="C120" s="12" t="s">
        <v>26</v>
      </c>
      <c r="D120" s="12">
        <v>30.35</v>
      </c>
      <c r="E120" s="12">
        <v>1996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21">
        <f t="shared" si="40"/>
        <v>0</v>
      </c>
      <c r="R120" s="15"/>
      <c r="S120" s="15"/>
      <c r="T120" s="15"/>
      <c r="U120" s="15"/>
      <c r="V120" s="15"/>
      <c r="W120" s="21">
        <f t="shared" si="41"/>
        <v>0</v>
      </c>
      <c r="X120" s="15">
        <v>1</v>
      </c>
      <c r="Y120" s="15"/>
      <c r="Z120" s="15"/>
      <c r="AA120" s="15"/>
      <c r="AB120" s="15"/>
      <c r="AC120" s="21">
        <f t="shared" si="42"/>
        <v>0</v>
      </c>
      <c r="AD120" s="15">
        <v>1</v>
      </c>
      <c r="AE120" s="21">
        <v>0</v>
      </c>
      <c r="AF120" s="21">
        <v>0</v>
      </c>
      <c r="AG120" s="21">
        <v>0</v>
      </c>
      <c r="AH120" s="21">
        <v>0</v>
      </c>
      <c r="AI120" s="21">
        <f t="shared" si="43"/>
        <v>0</v>
      </c>
      <c r="AK120" s="128">
        <v>0</v>
      </c>
      <c r="AL120">
        <v>0</v>
      </c>
      <c r="AM120">
        <v>0</v>
      </c>
      <c r="AN120">
        <v>1</v>
      </c>
      <c r="AO120" s="21">
        <f t="shared" si="44"/>
        <v>1</v>
      </c>
      <c r="AP120">
        <v>0</v>
      </c>
      <c r="AQ120">
        <v>0</v>
      </c>
      <c r="AR120">
        <v>0</v>
      </c>
      <c r="AS120">
        <v>0</v>
      </c>
      <c r="AT120">
        <v>1</v>
      </c>
      <c r="AU120" s="21">
        <f t="shared" si="39"/>
        <v>1</v>
      </c>
    </row>
    <row r="121" spans="1:47" ht="15" customHeight="1" x14ac:dyDescent="0.2">
      <c r="A121" s="12">
        <v>3</v>
      </c>
      <c r="B121" s="12" t="s">
        <v>131</v>
      </c>
      <c r="C121" s="12" t="s">
        <v>26</v>
      </c>
      <c r="D121" s="12">
        <v>30.17</v>
      </c>
      <c r="E121" s="12">
        <v>1996</v>
      </c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21">
        <f t="shared" si="40"/>
        <v>0</v>
      </c>
      <c r="R121" s="15"/>
      <c r="S121" s="15"/>
      <c r="T121" s="15"/>
      <c r="U121" s="15"/>
      <c r="V121" s="15"/>
      <c r="W121" s="21">
        <f t="shared" si="41"/>
        <v>0</v>
      </c>
      <c r="X121" s="15">
        <v>1</v>
      </c>
      <c r="Y121" s="15"/>
      <c r="Z121" s="15"/>
      <c r="AA121" s="15"/>
      <c r="AB121" s="15"/>
      <c r="AC121" s="21">
        <f t="shared" si="42"/>
        <v>0</v>
      </c>
      <c r="AD121" s="15">
        <v>1</v>
      </c>
      <c r="AE121" s="21">
        <v>0</v>
      </c>
      <c r="AF121" s="21">
        <v>0</v>
      </c>
      <c r="AG121" s="21">
        <v>0</v>
      </c>
      <c r="AH121" s="21">
        <v>0</v>
      </c>
      <c r="AI121" s="21">
        <f t="shared" si="43"/>
        <v>0</v>
      </c>
      <c r="AJ121">
        <v>1</v>
      </c>
      <c r="AK121" s="128">
        <v>0</v>
      </c>
      <c r="AL121">
        <v>0</v>
      </c>
      <c r="AM121">
        <v>0</v>
      </c>
      <c r="AN121">
        <v>0</v>
      </c>
      <c r="AO121" s="21">
        <f t="shared" si="44"/>
        <v>0</v>
      </c>
      <c r="AP121">
        <v>1</v>
      </c>
      <c r="AQ121">
        <v>0</v>
      </c>
      <c r="AR121">
        <v>0</v>
      </c>
      <c r="AS121">
        <v>0</v>
      </c>
      <c r="AT121">
        <v>0</v>
      </c>
      <c r="AU121" s="21">
        <f t="shared" si="39"/>
        <v>0</v>
      </c>
    </row>
    <row r="122" spans="1:47" ht="15" customHeight="1" x14ac:dyDescent="0.2">
      <c r="A122" s="12">
        <v>3</v>
      </c>
      <c r="B122" s="12" t="s">
        <v>132</v>
      </c>
      <c r="C122" s="12" t="s">
        <v>26</v>
      </c>
      <c r="D122" s="12">
        <v>29.46</v>
      </c>
      <c r="E122" s="12">
        <v>1996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21">
        <f t="shared" si="40"/>
        <v>0</v>
      </c>
      <c r="R122" s="15"/>
      <c r="S122" s="15"/>
      <c r="T122" s="15"/>
      <c r="U122" s="15"/>
      <c r="V122" s="15"/>
      <c r="W122" s="21">
        <f t="shared" si="41"/>
        <v>0</v>
      </c>
      <c r="X122" s="15">
        <v>1</v>
      </c>
      <c r="Y122" s="15"/>
      <c r="Z122" s="15"/>
      <c r="AA122" s="15"/>
      <c r="AB122" s="15"/>
      <c r="AC122" s="21">
        <f t="shared" si="42"/>
        <v>0</v>
      </c>
      <c r="AD122" s="15">
        <v>0</v>
      </c>
      <c r="AE122" s="21">
        <v>1</v>
      </c>
      <c r="AF122" s="21">
        <v>0</v>
      </c>
      <c r="AG122" s="21">
        <v>5</v>
      </c>
      <c r="AH122" s="21">
        <v>0</v>
      </c>
      <c r="AI122" s="21">
        <f t="shared" si="43"/>
        <v>6</v>
      </c>
      <c r="AK122" s="128">
        <v>1</v>
      </c>
      <c r="AL122">
        <v>3</v>
      </c>
      <c r="AM122">
        <v>0</v>
      </c>
      <c r="AN122">
        <v>0</v>
      </c>
      <c r="AO122" s="21">
        <f t="shared" si="44"/>
        <v>4</v>
      </c>
      <c r="AP122">
        <v>0</v>
      </c>
      <c r="AQ122">
        <v>1</v>
      </c>
      <c r="AR122">
        <v>2</v>
      </c>
      <c r="AS122">
        <v>0</v>
      </c>
      <c r="AT122">
        <v>0</v>
      </c>
      <c r="AU122" s="21">
        <f t="shared" si="39"/>
        <v>3</v>
      </c>
    </row>
    <row r="123" spans="1:47" ht="15" customHeight="1" x14ac:dyDescent="0.2">
      <c r="A123" s="12">
        <v>3</v>
      </c>
      <c r="B123" s="12" t="s">
        <v>133</v>
      </c>
      <c r="C123" s="12" t="s">
        <v>26</v>
      </c>
      <c r="D123" s="12">
        <v>30.44</v>
      </c>
      <c r="E123" s="12">
        <v>1996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21">
        <f t="shared" si="40"/>
        <v>0</v>
      </c>
      <c r="R123" s="15"/>
      <c r="S123" s="15"/>
      <c r="T123" s="15"/>
      <c r="U123" s="15"/>
      <c r="V123" s="15"/>
      <c r="W123" s="21">
        <f t="shared" si="41"/>
        <v>0</v>
      </c>
      <c r="X123" s="15">
        <v>1</v>
      </c>
      <c r="Y123" s="15"/>
      <c r="Z123" s="15"/>
      <c r="AA123" s="15"/>
      <c r="AB123" s="15"/>
      <c r="AC123" s="21">
        <f t="shared" si="42"/>
        <v>0</v>
      </c>
      <c r="AD123" s="15">
        <v>1</v>
      </c>
      <c r="AE123" s="21">
        <v>0</v>
      </c>
      <c r="AF123" s="21">
        <v>0</v>
      </c>
      <c r="AG123" s="21">
        <v>0</v>
      </c>
      <c r="AH123" s="21">
        <v>0</v>
      </c>
      <c r="AI123" s="21">
        <f t="shared" si="43"/>
        <v>0</v>
      </c>
      <c r="AJ123">
        <v>1</v>
      </c>
      <c r="AK123" s="128">
        <v>0</v>
      </c>
      <c r="AL123">
        <v>0</v>
      </c>
      <c r="AM123">
        <v>0</v>
      </c>
      <c r="AN123">
        <v>0</v>
      </c>
      <c r="AO123" s="21">
        <f t="shared" si="44"/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 s="21">
        <f t="shared" si="39"/>
        <v>0</v>
      </c>
    </row>
    <row r="124" spans="1:47" ht="15" customHeight="1" x14ac:dyDescent="0.2">
      <c r="A124" s="12">
        <v>3</v>
      </c>
      <c r="B124" s="12" t="s">
        <v>134</v>
      </c>
      <c r="C124" s="12" t="s">
        <v>26</v>
      </c>
      <c r="D124" s="12">
        <v>29.85</v>
      </c>
      <c r="E124" s="12">
        <v>1996</v>
      </c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21">
        <f t="shared" si="40"/>
        <v>0</v>
      </c>
      <c r="R124" s="15"/>
      <c r="S124" s="15"/>
      <c r="T124" s="15"/>
      <c r="U124" s="15"/>
      <c r="V124" s="15"/>
      <c r="W124" s="21">
        <f t="shared" si="41"/>
        <v>0</v>
      </c>
      <c r="X124" s="15">
        <v>1</v>
      </c>
      <c r="Y124" s="15"/>
      <c r="Z124" s="15"/>
      <c r="AA124" s="15"/>
      <c r="AB124" s="15"/>
      <c r="AC124" s="21">
        <f t="shared" si="42"/>
        <v>0</v>
      </c>
      <c r="AD124" s="15">
        <v>0</v>
      </c>
      <c r="AE124" s="21">
        <v>0</v>
      </c>
      <c r="AF124" s="21">
        <v>0</v>
      </c>
      <c r="AG124" s="21">
        <v>0</v>
      </c>
      <c r="AH124" s="15">
        <v>1</v>
      </c>
      <c r="AI124" s="21">
        <f t="shared" si="43"/>
        <v>1</v>
      </c>
      <c r="AK124" s="128">
        <v>0</v>
      </c>
      <c r="AL124">
        <v>0</v>
      </c>
      <c r="AM124">
        <v>0</v>
      </c>
      <c r="AN124">
        <v>1</v>
      </c>
      <c r="AO124" s="21">
        <f t="shared" si="44"/>
        <v>1</v>
      </c>
      <c r="AP124">
        <v>0</v>
      </c>
      <c r="AQ124">
        <v>0</v>
      </c>
      <c r="AR124">
        <v>0</v>
      </c>
      <c r="AS124">
        <v>1</v>
      </c>
      <c r="AT124">
        <v>1</v>
      </c>
      <c r="AU124" s="21">
        <f t="shared" si="39"/>
        <v>2</v>
      </c>
    </row>
    <row r="125" spans="1:47" ht="15" customHeight="1" x14ac:dyDescent="0.2">
      <c r="A125" s="12">
        <v>3</v>
      </c>
      <c r="B125" s="12" t="s">
        <v>135</v>
      </c>
      <c r="C125" s="12" t="s">
        <v>26</v>
      </c>
      <c r="D125" s="12">
        <v>29.45</v>
      </c>
      <c r="E125" s="12">
        <v>1996</v>
      </c>
      <c r="F125" s="15"/>
      <c r="G125" s="15"/>
      <c r="H125" s="15"/>
      <c r="I125" s="15"/>
      <c r="J125" s="15"/>
      <c r="K125" s="15"/>
      <c r="L125" s="15">
        <v>1</v>
      </c>
      <c r="M125" s="15"/>
      <c r="N125" s="15"/>
      <c r="O125" s="15"/>
      <c r="P125" s="15"/>
      <c r="Q125" s="21">
        <f t="shared" si="40"/>
        <v>0</v>
      </c>
      <c r="R125" s="15">
        <v>1</v>
      </c>
      <c r="S125" s="15"/>
      <c r="T125" s="15"/>
      <c r="U125" s="15"/>
      <c r="V125" s="15"/>
      <c r="W125" s="21">
        <f t="shared" si="41"/>
        <v>0</v>
      </c>
      <c r="X125" s="15">
        <v>1</v>
      </c>
      <c r="Y125" s="15"/>
      <c r="Z125" s="15"/>
      <c r="AA125" s="15"/>
      <c r="AB125" s="15"/>
      <c r="AC125" s="21">
        <f t="shared" si="42"/>
        <v>0</v>
      </c>
      <c r="AD125" s="15">
        <v>1</v>
      </c>
      <c r="AE125" s="21">
        <v>0</v>
      </c>
      <c r="AF125" s="21">
        <v>0</v>
      </c>
      <c r="AG125" s="21">
        <v>0</v>
      </c>
      <c r="AH125" s="21">
        <v>0</v>
      </c>
      <c r="AI125" s="21">
        <f t="shared" si="43"/>
        <v>0</v>
      </c>
      <c r="AJ125">
        <v>1</v>
      </c>
      <c r="AK125" s="128">
        <v>0</v>
      </c>
      <c r="AL125">
        <v>0</v>
      </c>
      <c r="AM125">
        <v>0</v>
      </c>
      <c r="AN125">
        <v>0</v>
      </c>
      <c r="AO125" s="21">
        <f t="shared" si="44"/>
        <v>0</v>
      </c>
      <c r="AP125">
        <v>1</v>
      </c>
      <c r="AQ125">
        <v>0</v>
      </c>
      <c r="AR125">
        <v>0</v>
      </c>
      <c r="AS125">
        <v>0</v>
      </c>
      <c r="AT125">
        <v>0</v>
      </c>
      <c r="AU125" s="21">
        <f t="shared" si="39"/>
        <v>0</v>
      </c>
    </row>
    <row r="126" spans="1:47" ht="15" customHeight="1" x14ac:dyDescent="0.2">
      <c r="A126" s="12">
        <v>3</v>
      </c>
      <c r="B126" s="12" t="s">
        <v>113</v>
      </c>
      <c r="C126" s="12" t="s">
        <v>26</v>
      </c>
      <c r="D126" s="12">
        <v>28.38</v>
      </c>
      <c r="E126" s="12">
        <v>1996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21">
        <f t="shared" si="40"/>
        <v>0</v>
      </c>
      <c r="R126" s="15"/>
      <c r="S126" s="15"/>
      <c r="T126" s="15"/>
      <c r="U126" s="15"/>
      <c r="V126" s="15"/>
      <c r="W126" s="21">
        <f t="shared" si="41"/>
        <v>0</v>
      </c>
      <c r="X126" s="15">
        <v>1</v>
      </c>
      <c r="Y126" s="15"/>
      <c r="Z126" s="15"/>
      <c r="AA126" s="15"/>
      <c r="AB126" s="15"/>
      <c r="AC126" s="21">
        <f t="shared" si="42"/>
        <v>0</v>
      </c>
      <c r="AD126" s="15">
        <v>1</v>
      </c>
      <c r="AE126" s="21">
        <v>0</v>
      </c>
      <c r="AF126" s="21">
        <v>0</v>
      </c>
      <c r="AG126" s="21">
        <v>0</v>
      </c>
      <c r="AH126" s="21">
        <v>0</v>
      </c>
      <c r="AI126" s="21">
        <f t="shared" si="43"/>
        <v>0</v>
      </c>
      <c r="AJ126">
        <v>1</v>
      </c>
      <c r="AK126" s="128">
        <v>0</v>
      </c>
      <c r="AL126">
        <v>0</v>
      </c>
      <c r="AM126">
        <v>0</v>
      </c>
      <c r="AN126">
        <v>0</v>
      </c>
      <c r="AO126" s="21">
        <f t="shared" si="44"/>
        <v>0</v>
      </c>
      <c r="AP126">
        <v>1</v>
      </c>
      <c r="AQ126">
        <v>0</v>
      </c>
      <c r="AR126">
        <v>0</v>
      </c>
      <c r="AS126">
        <v>0</v>
      </c>
      <c r="AT126">
        <v>0</v>
      </c>
      <c r="AU126" s="21">
        <f t="shared" si="39"/>
        <v>0</v>
      </c>
    </row>
    <row r="127" spans="1:47" ht="15" customHeight="1" x14ac:dyDescent="0.2">
      <c r="A127" s="12">
        <v>3</v>
      </c>
      <c r="B127" s="12" t="s">
        <v>114</v>
      </c>
      <c r="C127" s="12" t="s">
        <v>26</v>
      </c>
      <c r="D127" s="12">
        <v>30.21</v>
      </c>
      <c r="E127" s="12">
        <v>1996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21">
        <f t="shared" si="40"/>
        <v>0</v>
      </c>
      <c r="R127" s="15"/>
      <c r="S127" s="15"/>
      <c r="T127" s="15"/>
      <c r="U127" s="15"/>
      <c r="V127" s="15"/>
      <c r="W127" s="21">
        <f t="shared" si="41"/>
        <v>0</v>
      </c>
      <c r="X127" s="15">
        <v>1</v>
      </c>
      <c r="Y127" s="15"/>
      <c r="Z127" s="15"/>
      <c r="AA127" s="15"/>
      <c r="AB127" s="15"/>
      <c r="AC127" s="21">
        <f t="shared" si="42"/>
        <v>0</v>
      </c>
      <c r="AD127" s="15">
        <v>0</v>
      </c>
      <c r="AE127" s="21">
        <v>0</v>
      </c>
      <c r="AF127" s="21">
        <v>4</v>
      </c>
      <c r="AG127" s="21">
        <v>0</v>
      </c>
      <c r="AH127" s="21">
        <v>0</v>
      </c>
      <c r="AI127" s="21">
        <f t="shared" si="43"/>
        <v>4</v>
      </c>
      <c r="AJ127">
        <v>0</v>
      </c>
      <c r="AK127" s="128">
        <v>0</v>
      </c>
      <c r="AL127">
        <v>0</v>
      </c>
      <c r="AM127">
        <v>0</v>
      </c>
      <c r="AN127">
        <v>1</v>
      </c>
      <c r="AO127" s="21">
        <f t="shared" si="44"/>
        <v>1</v>
      </c>
      <c r="AP127">
        <v>0</v>
      </c>
      <c r="AQ127">
        <v>1</v>
      </c>
      <c r="AR127">
        <v>2</v>
      </c>
      <c r="AS127">
        <v>0</v>
      </c>
      <c r="AT127">
        <v>0</v>
      </c>
      <c r="AU127" s="21">
        <f t="shared" si="39"/>
        <v>3</v>
      </c>
    </row>
    <row r="128" spans="1:47" ht="15" customHeight="1" x14ac:dyDescent="0.2">
      <c r="A128" s="12">
        <v>3</v>
      </c>
      <c r="B128" s="12" t="s">
        <v>115</v>
      </c>
      <c r="C128" s="12" t="s">
        <v>26</v>
      </c>
      <c r="D128" s="12">
        <v>29.59</v>
      </c>
      <c r="E128" s="12">
        <v>1996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21">
        <f t="shared" si="40"/>
        <v>0</v>
      </c>
      <c r="R128" s="15"/>
      <c r="S128" s="15"/>
      <c r="T128" s="15"/>
      <c r="U128" s="15"/>
      <c r="V128" s="15"/>
      <c r="W128" s="21">
        <f t="shared" si="41"/>
        <v>0</v>
      </c>
      <c r="X128" s="15">
        <v>1</v>
      </c>
      <c r="Y128" s="15"/>
      <c r="Z128" s="15"/>
      <c r="AA128" s="15"/>
      <c r="AB128" s="15"/>
      <c r="AC128" s="21">
        <f t="shared" si="42"/>
        <v>0</v>
      </c>
      <c r="AD128" s="15">
        <v>1</v>
      </c>
      <c r="AE128" s="21">
        <v>0</v>
      </c>
      <c r="AF128" s="21">
        <v>0</v>
      </c>
      <c r="AG128" s="21">
        <v>0</v>
      </c>
      <c r="AH128" s="21">
        <v>0</v>
      </c>
      <c r="AI128" s="21">
        <f t="shared" si="43"/>
        <v>0</v>
      </c>
      <c r="AK128" s="128">
        <v>1</v>
      </c>
      <c r="AL128">
        <v>4</v>
      </c>
      <c r="AM128">
        <v>0</v>
      </c>
      <c r="AN128">
        <v>0</v>
      </c>
      <c r="AO128" s="21">
        <f t="shared" si="44"/>
        <v>5</v>
      </c>
      <c r="AP128">
        <v>1</v>
      </c>
      <c r="AQ128">
        <v>0</v>
      </c>
      <c r="AR128">
        <v>0</v>
      </c>
      <c r="AS128">
        <v>0</v>
      </c>
      <c r="AT128">
        <v>0</v>
      </c>
      <c r="AU128" s="21">
        <f t="shared" si="39"/>
        <v>0</v>
      </c>
    </row>
    <row r="129" spans="1:48" ht="15" customHeight="1" x14ac:dyDescent="0.2">
      <c r="A129" s="12">
        <v>3</v>
      </c>
      <c r="B129" s="12" t="s">
        <v>116</v>
      </c>
      <c r="C129" s="12" t="s">
        <v>26</v>
      </c>
      <c r="D129" s="12">
        <v>29.73</v>
      </c>
      <c r="E129" s="12">
        <v>1996</v>
      </c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21">
        <f t="shared" si="40"/>
        <v>0</v>
      </c>
      <c r="R129" s="15"/>
      <c r="S129" s="15">
        <v>0</v>
      </c>
      <c r="T129" s="15"/>
      <c r="U129" s="15"/>
      <c r="V129" s="15">
        <v>1</v>
      </c>
      <c r="W129" s="21">
        <f t="shared" si="41"/>
        <v>1</v>
      </c>
      <c r="X129" s="15">
        <v>0</v>
      </c>
      <c r="Y129" s="15">
        <v>1</v>
      </c>
      <c r="Z129" s="15"/>
      <c r="AA129" s="15"/>
      <c r="AB129" s="15">
        <v>1</v>
      </c>
      <c r="AC129" s="21">
        <f t="shared" si="42"/>
        <v>2</v>
      </c>
      <c r="AD129" s="15">
        <v>1</v>
      </c>
      <c r="AE129" s="21">
        <v>0</v>
      </c>
      <c r="AF129" s="21">
        <v>0</v>
      </c>
      <c r="AG129" s="21">
        <v>0</v>
      </c>
      <c r="AH129" s="15">
        <v>1</v>
      </c>
      <c r="AI129" s="21">
        <f t="shared" si="43"/>
        <v>1</v>
      </c>
      <c r="AK129" s="128">
        <v>0</v>
      </c>
      <c r="AL129">
        <v>0</v>
      </c>
      <c r="AM129">
        <v>0</v>
      </c>
      <c r="AN129">
        <v>1</v>
      </c>
      <c r="AO129" s="21">
        <f t="shared" si="44"/>
        <v>1</v>
      </c>
      <c r="AP129">
        <v>0</v>
      </c>
      <c r="AQ129">
        <v>0</v>
      </c>
      <c r="AR129">
        <v>0</v>
      </c>
      <c r="AS129">
        <v>0</v>
      </c>
      <c r="AT129">
        <v>1</v>
      </c>
      <c r="AU129" s="21">
        <f t="shared" si="39"/>
        <v>1</v>
      </c>
    </row>
    <row r="130" spans="1:48" ht="15" customHeight="1" x14ac:dyDescent="0.2">
      <c r="A130" s="12">
        <v>3</v>
      </c>
      <c r="B130" s="12" t="s">
        <v>118</v>
      </c>
      <c r="C130" s="12" t="s">
        <v>26</v>
      </c>
      <c r="D130" s="12">
        <v>30.01</v>
      </c>
      <c r="E130" s="12">
        <v>1996</v>
      </c>
      <c r="F130" s="15"/>
      <c r="G130" s="15"/>
      <c r="H130" s="15"/>
      <c r="I130" s="15"/>
      <c r="J130" s="15"/>
      <c r="K130" s="15"/>
      <c r="L130" s="15">
        <v>1</v>
      </c>
      <c r="M130" s="15"/>
      <c r="N130" s="15"/>
      <c r="O130" s="15"/>
      <c r="P130" s="15"/>
      <c r="Q130" s="21">
        <f t="shared" si="40"/>
        <v>0</v>
      </c>
      <c r="R130" s="15">
        <v>1</v>
      </c>
      <c r="S130" s="15"/>
      <c r="T130" s="15"/>
      <c r="U130" s="15"/>
      <c r="V130" s="15"/>
      <c r="W130" s="21">
        <f t="shared" si="41"/>
        <v>0</v>
      </c>
      <c r="X130" s="15">
        <v>1</v>
      </c>
      <c r="Y130" s="15"/>
      <c r="Z130" s="15"/>
      <c r="AA130" s="15"/>
      <c r="AB130" s="15"/>
      <c r="AC130" s="21">
        <f t="shared" si="42"/>
        <v>0</v>
      </c>
      <c r="AD130" s="15">
        <v>1</v>
      </c>
      <c r="AE130" s="21">
        <v>0</v>
      </c>
      <c r="AF130" s="21">
        <v>0</v>
      </c>
      <c r="AG130" s="21">
        <v>0</v>
      </c>
      <c r="AH130" s="15">
        <v>1</v>
      </c>
      <c r="AI130" s="21">
        <f t="shared" si="43"/>
        <v>1</v>
      </c>
      <c r="AJ130">
        <v>0</v>
      </c>
      <c r="AK130" s="128">
        <v>0</v>
      </c>
      <c r="AL130">
        <v>0</v>
      </c>
      <c r="AM130">
        <v>0</v>
      </c>
      <c r="AN130">
        <v>1</v>
      </c>
      <c r="AO130" s="21">
        <f t="shared" si="44"/>
        <v>1</v>
      </c>
      <c r="AP130">
        <v>0</v>
      </c>
      <c r="AQ130">
        <v>0</v>
      </c>
      <c r="AR130">
        <v>0</v>
      </c>
      <c r="AS130">
        <v>0</v>
      </c>
      <c r="AT130">
        <v>1</v>
      </c>
      <c r="AU130" s="21">
        <f t="shared" si="39"/>
        <v>1</v>
      </c>
    </row>
    <row r="131" spans="1:48" ht="15" customHeight="1" x14ac:dyDescent="0.2">
      <c r="A131" s="12">
        <v>3</v>
      </c>
      <c r="B131" s="12" t="s">
        <v>120</v>
      </c>
      <c r="C131" s="12" t="s">
        <v>26</v>
      </c>
      <c r="D131" s="12">
        <v>30.38</v>
      </c>
      <c r="E131" s="12">
        <v>1996</v>
      </c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21">
        <f t="shared" si="40"/>
        <v>0</v>
      </c>
      <c r="R131" s="15"/>
      <c r="S131" s="15"/>
      <c r="T131" s="15"/>
      <c r="U131" s="15"/>
      <c r="V131" s="15"/>
      <c r="W131" s="21">
        <f t="shared" si="41"/>
        <v>0</v>
      </c>
      <c r="X131" s="15">
        <v>1</v>
      </c>
      <c r="Y131" s="15"/>
      <c r="Z131" s="15"/>
      <c r="AA131" s="15"/>
      <c r="AB131" s="15"/>
      <c r="AC131" s="21">
        <f t="shared" si="42"/>
        <v>0</v>
      </c>
      <c r="AD131" s="15">
        <v>1</v>
      </c>
      <c r="AE131" s="21">
        <v>0</v>
      </c>
      <c r="AF131" s="21">
        <v>0</v>
      </c>
      <c r="AG131" s="21">
        <v>0</v>
      </c>
      <c r="AH131" s="21">
        <v>0</v>
      </c>
      <c r="AI131" s="21">
        <f t="shared" si="43"/>
        <v>0</v>
      </c>
      <c r="AJ131">
        <v>1</v>
      </c>
      <c r="AK131" s="128">
        <v>0</v>
      </c>
      <c r="AL131">
        <v>0</v>
      </c>
      <c r="AM131">
        <v>0</v>
      </c>
      <c r="AN131">
        <v>0</v>
      </c>
      <c r="AO131" s="21">
        <f t="shared" si="44"/>
        <v>0</v>
      </c>
      <c r="AP131">
        <v>1</v>
      </c>
      <c r="AQ131">
        <v>0</v>
      </c>
      <c r="AR131">
        <v>0</v>
      </c>
      <c r="AS131">
        <v>0</v>
      </c>
      <c r="AT131">
        <v>0</v>
      </c>
      <c r="AU131" s="21">
        <f t="shared" si="39"/>
        <v>0</v>
      </c>
    </row>
    <row r="132" spans="1:48" ht="15" customHeight="1" x14ac:dyDescent="0.2">
      <c r="A132" s="12">
        <v>3</v>
      </c>
      <c r="B132" s="12" t="s">
        <v>121</v>
      </c>
      <c r="C132" s="12" t="s">
        <v>26</v>
      </c>
      <c r="D132" s="12">
        <v>30.61</v>
      </c>
      <c r="E132" s="12">
        <v>1996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21">
        <f t="shared" si="40"/>
        <v>0</v>
      </c>
      <c r="R132" s="15"/>
      <c r="S132" s="15"/>
      <c r="T132" s="15"/>
      <c r="U132" s="15"/>
      <c r="V132" s="15"/>
      <c r="W132" s="21">
        <f t="shared" si="41"/>
        <v>0</v>
      </c>
      <c r="X132" s="15">
        <v>1</v>
      </c>
      <c r="Y132" s="15"/>
      <c r="Z132" s="15"/>
      <c r="AA132" s="15"/>
      <c r="AB132" s="15"/>
      <c r="AC132" s="21">
        <f t="shared" si="42"/>
        <v>0</v>
      </c>
      <c r="AD132" s="15">
        <v>1</v>
      </c>
      <c r="AE132" s="21">
        <v>0</v>
      </c>
      <c r="AF132" s="21">
        <v>0</v>
      </c>
      <c r="AG132" s="21">
        <v>0</v>
      </c>
      <c r="AH132" s="15">
        <v>1</v>
      </c>
      <c r="AI132" s="21">
        <f t="shared" si="43"/>
        <v>1</v>
      </c>
      <c r="AK132" s="128">
        <v>0</v>
      </c>
      <c r="AL132">
        <v>0</v>
      </c>
      <c r="AM132">
        <v>0</v>
      </c>
      <c r="AN132">
        <v>1</v>
      </c>
      <c r="AO132" s="21">
        <f t="shared" si="44"/>
        <v>1</v>
      </c>
      <c r="AP132">
        <v>1</v>
      </c>
      <c r="AQ132">
        <v>0</v>
      </c>
      <c r="AR132">
        <v>0</v>
      </c>
      <c r="AS132">
        <v>0</v>
      </c>
      <c r="AT132">
        <v>1</v>
      </c>
      <c r="AU132" s="21">
        <f t="shared" si="39"/>
        <v>1</v>
      </c>
    </row>
    <row r="133" spans="1:48" ht="15" customHeight="1" x14ac:dyDescent="0.2">
      <c r="A133" s="12">
        <v>3</v>
      </c>
      <c r="B133" s="12" t="s">
        <v>122</v>
      </c>
      <c r="C133" s="12" t="s">
        <v>26</v>
      </c>
      <c r="D133" s="12">
        <v>29.7</v>
      </c>
      <c r="E133" s="12">
        <v>1996</v>
      </c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21">
        <f t="shared" si="40"/>
        <v>0</v>
      </c>
      <c r="R133" s="15"/>
      <c r="S133" s="15"/>
      <c r="T133" s="15"/>
      <c r="U133" s="15"/>
      <c r="V133" s="15"/>
      <c r="W133" s="21">
        <f t="shared" si="41"/>
        <v>0</v>
      </c>
      <c r="X133" s="15">
        <v>1</v>
      </c>
      <c r="Y133" s="15"/>
      <c r="Z133" s="15"/>
      <c r="AA133" s="15"/>
      <c r="AB133" s="15"/>
      <c r="AC133" s="21">
        <f t="shared" si="42"/>
        <v>0</v>
      </c>
      <c r="AD133" s="15">
        <v>0</v>
      </c>
      <c r="AE133" s="21">
        <v>0</v>
      </c>
      <c r="AF133" s="21">
        <v>0</v>
      </c>
      <c r="AG133" s="21">
        <v>0</v>
      </c>
      <c r="AH133" s="15">
        <v>1</v>
      </c>
      <c r="AI133" s="21">
        <f t="shared" si="43"/>
        <v>1</v>
      </c>
      <c r="AK133" s="128">
        <v>0</v>
      </c>
      <c r="AL133">
        <v>0</v>
      </c>
      <c r="AM133">
        <v>0</v>
      </c>
      <c r="AN133">
        <v>1</v>
      </c>
      <c r="AO133" s="21">
        <f t="shared" si="44"/>
        <v>1</v>
      </c>
      <c r="AP133">
        <v>0</v>
      </c>
      <c r="AQ133">
        <v>0</v>
      </c>
      <c r="AR133">
        <v>0</v>
      </c>
      <c r="AS133">
        <v>0</v>
      </c>
      <c r="AT133">
        <v>1</v>
      </c>
      <c r="AU133" s="21">
        <f t="shared" si="39"/>
        <v>1</v>
      </c>
    </row>
    <row r="134" spans="1:48" x14ac:dyDescent="0.2">
      <c r="A134" s="131" t="s">
        <v>71</v>
      </c>
      <c r="B134" s="131"/>
      <c r="C134" s="131"/>
      <c r="D134" s="13">
        <f>SUM(D95:D133)</f>
        <v>1168.1000000000001</v>
      </c>
      <c r="E134" s="13"/>
      <c r="F134" s="22"/>
      <c r="G134" s="22"/>
      <c r="H134" s="22"/>
      <c r="I134" s="22"/>
      <c r="J134" s="22"/>
      <c r="K134" s="22"/>
      <c r="L134" s="22">
        <f>SUM(L95:L133)</f>
        <v>6</v>
      </c>
      <c r="M134" s="22">
        <f t="shared" ref="M134" si="46">SUM(M95:M133)</f>
        <v>0</v>
      </c>
      <c r="N134" s="22">
        <f t="shared" ref="N134" si="47">SUM(N95:N133)</f>
        <v>0</v>
      </c>
      <c r="O134" s="22">
        <f t="shared" ref="O134" si="48">SUM(O95:O133)</f>
        <v>0</v>
      </c>
      <c r="P134" s="22">
        <f t="shared" ref="P134" si="49">SUM(P95:P133)</f>
        <v>0</v>
      </c>
      <c r="Q134" s="22">
        <f t="shared" ref="Q134" si="50">SUM(Q95:Q133)</f>
        <v>0</v>
      </c>
      <c r="R134" s="22">
        <f t="shared" ref="R134" si="51">SUM(R95:R133)</f>
        <v>5</v>
      </c>
      <c r="S134" s="22">
        <f t="shared" ref="S134" si="52">SUM(S95:S133)</f>
        <v>1</v>
      </c>
      <c r="T134" s="22">
        <f t="shared" ref="T134" si="53">SUM(T95:T133)</f>
        <v>0</v>
      </c>
      <c r="U134" s="22">
        <f t="shared" ref="U134" si="54">SUM(U95:U133)</f>
        <v>0</v>
      </c>
      <c r="V134" s="22">
        <f t="shared" ref="V134" si="55">SUM(V95:V133)</f>
        <v>2</v>
      </c>
      <c r="W134" s="22">
        <f t="shared" ref="W134" si="56">SUM(W95:W133)</f>
        <v>3</v>
      </c>
      <c r="X134" s="22">
        <f t="shared" ref="X134" si="57">SUM(X95:X133)</f>
        <v>37</v>
      </c>
      <c r="Y134" s="22">
        <f t="shared" ref="Y134" si="58">SUM(Y95:Y133)</f>
        <v>2</v>
      </c>
      <c r="Z134" s="22">
        <f t="shared" ref="Z134" si="59">SUM(Z95:Z133)</f>
        <v>0</v>
      </c>
      <c r="AA134" s="22">
        <f t="shared" ref="AA134" si="60">SUM(AA95:AA133)</f>
        <v>0</v>
      </c>
      <c r="AB134" s="22">
        <f t="shared" ref="AB134" si="61">SUM(AB95:AB133)</f>
        <v>2</v>
      </c>
      <c r="AC134" s="22">
        <f t="shared" ref="AC134" si="62">SUM(AC95:AC133)</f>
        <v>4</v>
      </c>
      <c r="AD134" s="22">
        <f t="shared" ref="AD134" si="63">SUM(AD95:AD133)</f>
        <v>28</v>
      </c>
      <c r="AE134" s="22">
        <f t="shared" ref="AE134" si="64">SUM(AE95:AE133)</f>
        <v>5</v>
      </c>
      <c r="AF134" s="22">
        <f t="shared" ref="AF134" si="65">SUM(AF95:AF133)</f>
        <v>4</v>
      </c>
      <c r="AG134" s="22">
        <f t="shared" ref="AG134" si="66">SUM(AG95:AG133)</f>
        <v>20</v>
      </c>
      <c r="AH134" s="22">
        <f t="shared" ref="AH134" si="67">SUM(AH95:AH133)</f>
        <v>12</v>
      </c>
      <c r="AI134" s="22">
        <f t="shared" ref="AI134" si="68">SUM(AI95:AI133)</f>
        <v>41</v>
      </c>
      <c r="AJ134" s="22">
        <f t="shared" ref="AJ134" si="69">SUM(AJ95:AJ133)</f>
        <v>18</v>
      </c>
      <c r="AK134" s="22">
        <f t="shared" ref="AK134" si="70">SUM(AK95:AK133)</f>
        <v>8</v>
      </c>
      <c r="AL134" s="22">
        <f t="shared" ref="AL134" si="71">SUM(AL95:AL133)</f>
        <v>8</v>
      </c>
      <c r="AM134" s="22">
        <f t="shared" ref="AM134" si="72">SUM(AM95:AM133)</f>
        <v>15</v>
      </c>
      <c r="AN134" s="22">
        <f t="shared" ref="AN134" si="73">SUM(AN95:AN133)</f>
        <v>14</v>
      </c>
      <c r="AO134" s="22">
        <f t="shared" ref="AO134" si="74">SUM(AO95:AO133)</f>
        <v>45</v>
      </c>
      <c r="AP134" s="22">
        <f t="shared" ref="AP134" si="75">SUM(AP95:AP133)</f>
        <v>22</v>
      </c>
      <c r="AQ134" s="22">
        <f t="shared" ref="AQ134" si="76">SUM(AQ95:AQ133)</f>
        <v>9</v>
      </c>
      <c r="AR134" s="22">
        <f t="shared" ref="AR134" si="77">SUM(AR95:AR133)</f>
        <v>17</v>
      </c>
      <c r="AS134" s="22">
        <f t="shared" ref="AS134" si="78">SUM(AS95:AS133)</f>
        <v>4</v>
      </c>
      <c r="AT134" s="22">
        <f t="shared" ref="AT134" si="79">SUM(AT95:AT133)</f>
        <v>16</v>
      </c>
      <c r="AU134" s="22">
        <f t="shared" ref="AU134" si="80">SUM(AU95:AU133)</f>
        <v>46</v>
      </c>
      <c r="AV134" s="22">
        <f t="shared" ref="AV134" si="81">SUM(AV95:AV133)</f>
        <v>0</v>
      </c>
    </row>
    <row r="135" spans="1:48" ht="15" customHeight="1" x14ac:dyDescent="0.2">
      <c r="A135" s="12">
        <v>4</v>
      </c>
      <c r="B135" s="12" t="s">
        <v>149</v>
      </c>
      <c r="C135" s="12" t="s">
        <v>26</v>
      </c>
      <c r="D135" s="12">
        <v>0.99</v>
      </c>
      <c r="E135" s="12">
        <v>1997</v>
      </c>
      <c r="F135" s="15"/>
      <c r="G135" s="15"/>
      <c r="H135" s="15"/>
      <c r="I135" s="15"/>
      <c r="J135" s="15"/>
      <c r="K135" s="15"/>
      <c r="L135" s="15">
        <v>1</v>
      </c>
      <c r="M135" s="21">
        <v>0</v>
      </c>
      <c r="N135" s="21">
        <v>0</v>
      </c>
      <c r="O135" s="21">
        <v>0</v>
      </c>
      <c r="P135" s="21">
        <v>0</v>
      </c>
      <c r="Q135" s="21">
        <f t="shared" si="40"/>
        <v>0</v>
      </c>
      <c r="R135" s="15">
        <v>1</v>
      </c>
      <c r="S135" s="21">
        <v>0</v>
      </c>
      <c r="T135" s="21">
        <v>0</v>
      </c>
      <c r="U135" s="21">
        <v>0</v>
      </c>
      <c r="V135" s="21">
        <v>0</v>
      </c>
      <c r="W135" s="21">
        <f t="shared" si="41"/>
        <v>0</v>
      </c>
      <c r="X135" s="15">
        <v>1</v>
      </c>
      <c r="Y135" s="21">
        <v>0</v>
      </c>
      <c r="Z135" s="21">
        <v>0</v>
      </c>
      <c r="AA135" s="21">
        <v>0</v>
      </c>
      <c r="AB135" s="21">
        <v>0</v>
      </c>
      <c r="AC135" s="21">
        <f t="shared" si="42"/>
        <v>0</v>
      </c>
      <c r="AD135" s="15"/>
      <c r="AE135" s="21">
        <v>0</v>
      </c>
      <c r="AF135" s="21">
        <v>0</v>
      </c>
      <c r="AG135" s="21">
        <v>0</v>
      </c>
      <c r="AH135" s="21">
        <v>0</v>
      </c>
      <c r="AI135" s="21">
        <f t="shared" si="43"/>
        <v>0</v>
      </c>
      <c r="AK135" s="128">
        <v>0</v>
      </c>
      <c r="AL135">
        <v>0</v>
      </c>
      <c r="AM135">
        <v>0</v>
      </c>
      <c r="AN135">
        <v>0</v>
      </c>
      <c r="AO135" s="21">
        <f t="shared" si="44"/>
        <v>0</v>
      </c>
      <c r="AQ135">
        <v>0</v>
      </c>
      <c r="AR135">
        <v>0</v>
      </c>
      <c r="AS135">
        <v>0</v>
      </c>
      <c r="AT135">
        <v>0</v>
      </c>
      <c r="AU135" s="21">
        <f t="shared" si="39"/>
        <v>0</v>
      </c>
    </row>
    <row r="136" spans="1:48" ht="15" customHeight="1" x14ac:dyDescent="0.2">
      <c r="A136" s="12">
        <v>4</v>
      </c>
      <c r="B136" s="12" t="s">
        <v>150</v>
      </c>
      <c r="C136" s="12" t="s">
        <v>26</v>
      </c>
      <c r="D136" s="12">
        <v>10.15</v>
      </c>
      <c r="E136" s="12">
        <v>1997</v>
      </c>
      <c r="F136" s="15"/>
      <c r="G136" s="15"/>
      <c r="H136" s="15"/>
      <c r="I136" s="15"/>
      <c r="J136" s="15"/>
      <c r="K136" s="15"/>
      <c r="L136" s="15">
        <v>1</v>
      </c>
      <c r="M136" s="21">
        <v>0</v>
      </c>
      <c r="N136" s="21">
        <v>0</v>
      </c>
      <c r="O136" s="21">
        <v>0</v>
      </c>
      <c r="P136" s="21">
        <v>0</v>
      </c>
      <c r="Q136" s="21">
        <f t="shared" si="40"/>
        <v>0</v>
      </c>
      <c r="R136" s="15">
        <v>1</v>
      </c>
      <c r="S136" s="21">
        <v>0</v>
      </c>
      <c r="T136" s="21">
        <v>0</v>
      </c>
      <c r="U136" s="21">
        <v>0</v>
      </c>
      <c r="V136" s="21">
        <v>0</v>
      </c>
      <c r="W136" s="21">
        <f t="shared" si="41"/>
        <v>0</v>
      </c>
      <c r="X136" s="15"/>
      <c r="Y136" s="21">
        <v>0</v>
      </c>
      <c r="Z136" s="21">
        <v>0</v>
      </c>
      <c r="AA136" s="21">
        <v>0</v>
      </c>
      <c r="AB136" s="21">
        <v>1</v>
      </c>
      <c r="AC136" s="21">
        <f t="shared" si="42"/>
        <v>1</v>
      </c>
      <c r="AD136" s="15"/>
      <c r="AE136" s="21">
        <v>0</v>
      </c>
      <c r="AF136" s="21">
        <v>0</v>
      </c>
      <c r="AG136" s="21">
        <v>0</v>
      </c>
      <c r="AH136" s="21">
        <v>0</v>
      </c>
      <c r="AI136" s="21">
        <f t="shared" si="43"/>
        <v>0</v>
      </c>
      <c r="AK136" s="128">
        <v>0</v>
      </c>
      <c r="AL136">
        <v>0</v>
      </c>
      <c r="AM136">
        <v>0</v>
      </c>
      <c r="AN136">
        <v>0</v>
      </c>
      <c r="AO136" s="21">
        <f t="shared" si="44"/>
        <v>0</v>
      </c>
      <c r="AQ136">
        <v>0</v>
      </c>
      <c r="AR136">
        <v>0</v>
      </c>
      <c r="AS136">
        <v>0</v>
      </c>
      <c r="AT136">
        <v>0</v>
      </c>
      <c r="AU136" s="21">
        <f t="shared" si="39"/>
        <v>0</v>
      </c>
    </row>
    <row r="137" spans="1:48" ht="15" customHeight="1" x14ac:dyDescent="0.2">
      <c r="A137" s="12">
        <v>4</v>
      </c>
      <c r="B137" s="12" t="s">
        <v>151</v>
      </c>
      <c r="C137" s="12" t="s">
        <v>26</v>
      </c>
      <c r="D137" s="12">
        <v>1.9</v>
      </c>
      <c r="E137" s="12">
        <v>1997</v>
      </c>
      <c r="F137" s="15"/>
      <c r="G137" s="15"/>
      <c r="H137" s="15"/>
      <c r="I137" s="15"/>
      <c r="J137" s="15"/>
      <c r="K137" s="15"/>
      <c r="L137" s="15">
        <v>1</v>
      </c>
      <c r="M137" s="21">
        <v>0</v>
      </c>
      <c r="N137" s="21">
        <v>0</v>
      </c>
      <c r="O137" s="21">
        <v>0</v>
      </c>
      <c r="P137" s="21">
        <v>0</v>
      </c>
      <c r="Q137" s="21">
        <f t="shared" si="40"/>
        <v>0</v>
      </c>
      <c r="R137" s="15">
        <v>1</v>
      </c>
      <c r="S137" s="21">
        <v>0</v>
      </c>
      <c r="T137" s="21">
        <v>0</v>
      </c>
      <c r="U137" s="21">
        <v>0</v>
      </c>
      <c r="V137" s="21">
        <v>0</v>
      </c>
      <c r="W137" s="21">
        <f t="shared" si="41"/>
        <v>0</v>
      </c>
      <c r="X137" s="15">
        <v>1</v>
      </c>
      <c r="Y137" s="21">
        <v>0</v>
      </c>
      <c r="Z137" s="21">
        <v>0</v>
      </c>
      <c r="AA137" s="21">
        <v>0</v>
      </c>
      <c r="AB137" s="21">
        <v>0</v>
      </c>
      <c r="AC137" s="21">
        <f t="shared" si="42"/>
        <v>0</v>
      </c>
      <c r="AD137" s="15"/>
      <c r="AE137" s="21">
        <v>0</v>
      </c>
      <c r="AF137" s="21">
        <v>0</v>
      </c>
      <c r="AG137" s="21">
        <v>0</v>
      </c>
      <c r="AH137" s="21">
        <v>0</v>
      </c>
      <c r="AI137" s="21">
        <f t="shared" si="43"/>
        <v>0</v>
      </c>
      <c r="AK137" s="128">
        <v>0</v>
      </c>
      <c r="AL137">
        <v>0</v>
      </c>
      <c r="AM137">
        <v>0</v>
      </c>
      <c r="AN137">
        <v>0</v>
      </c>
      <c r="AO137" s="21">
        <f t="shared" si="44"/>
        <v>0</v>
      </c>
      <c r="AQ137">
        <v>0</v>
      </c>
      <c r="AR137">
        <v>0</v>
      </c>
      <c r="AS137">
        <v>0</v>
      </c>
      <c r="AT137">
        <v>0</v>
      </c>
      <c r="AU137" s="21">
        <f t="shared" si="39"/>
        <v>0</v>
      </c>
    </row>
    <row r="138" spans="1:48" x14ac:dyDescent="0.2">
      <c r="A138" s="12">
        <v>4</v>
      </c>
      <c r="B138" s="12" t="s">
        <v>152</v>
      </c>
      <c r="C138" s="12" t="s">
        <v>26</v>
      </c>
      <c r="D138" s="12">
        <v>14.17</v>
      </c>
      <c r="E138" s="12">
        <v>1997</v>
      </c>
      <c r="F138" s="15"/>
      <c r="G138" s="15"/>
      <c r="H138" s="15"/>
      <c r="I138" s="15"/>
      <c r="J138" s="15"/>
      <c r="K138" s="15"/>
      <c r="L138" s="15"/>
      <c r="M138" s="21">
        <v>4</v>
      </c>
      <c r="N138" s="21">
        <v>0</v>
      </c>
      <c r="O138" s="21">
        <v>0</v>
      </c>
      <c r="P138" s="21">
        <v>1</v>
      </c>
      <c r="Q138" s="21">
        <f t="shared" si="40"/>
        <v>5</v>
      </c>
      <c r="R138" s="15"/>
      <c r="S138" s="21">
        <v>1</v>
      </c>
      <c r="T138" s="21">
        <v>0</v>
      </c>
      <c r="U138" s="21">
        <v>0</v>
      </c>
      <c r="V138" s="21">
        <v>1</v>
      </c>
      <c r="W138" s="21">
        <f t="shared" si="41"/>
        <v>2</v>
      </c>
      <c r="X138" s="15"/>
      <c r="Y138" s="21">
        <v>0</v>
      </c>
      <c r="Z138" s="21">
        <v>0</v>
      </c>
      <c r="AA138" s="21">
        <v>0</v>
      </c>
      <c r="AB138" s="21">
        <v>1</v>
      </c>
      <c r="AC138" s="21">
        <f t="shared" si="42"/>
        <v>1</v>
      </c>
      <c r="AD138" s="15"/>
      <c r="AE138" s="21">
        <v>1</v>
      </c>
      <c r="AF138" s="21">
        <v>0</v>
      </c>
      <c r="AG138" s="21">
        <v>0</v>
      </c>
      <c r="AH138" s="21">
        <v>0</v>
      </c>
      <c r="AI138" s="21">
        <f t="shared" si="43"/>
        <v>1</v>
      </c>
      <c r="AK138" s="128">
        <v>0</v>
      </c>
      <c r="AL138">
        <v>0</v>
      </c>
      <c r="AM138">
        <v>0</v>
      </c>
      <c r="AN138">
        <v>0</v>
      </c>
      <c r="AO138" s="21">
        <f t="shared" si="44"/>
        <v>0</v>
      </c>
      <c r="AQ138">
        <v>1</v>
      </c>
      <c r="AR138">
        <v>0</v>
      </c>
      <c r="AS138">
        <v>0</v>
      </c>
      <c r="AT138">
        <v>0</v>
      </c>
      <c r="AU138" s="21">
        <f t="shared" ref="AU138:AU201" si="82">SUM(AQ138:AT138)</f>
        <v>1</v>
      </c>
    </row>
    <row r="139" spans="1:48" x14ac:dyDescent="0.2">
      <c r="A139" s="12">
        <v>4</v>
      </c>
      <c r="B139" s="12" t="s">
        <v>153</v>
      </c>
      <c r="C139" s="12" t="s">
        <v>26</v>
      </c>
      <c r="D139" s="12">
        <v>27.74</v>
      </c>
      <c r="E139" s="12">
        <v>1997</v>
      </c>
      <c r="F139" s="15"/>
      <c r="G139" s="15"/>
      <c r="H139" s="15"/>
      <c r="I139" s="15"/>
      <c r="J139" s="15"/>
      <c r="K139" s="15"/>
      <c r="L139" s="15"/>
      <c r="M139" s="21">
        <v>0</v>
      </c>
      <c r="N139" s="21">
        <v>0</v>
      </c>
      <c r="O139" s="21">
        <v>0</v>
      </c>
      <c r="P139" s="21">
        <v>1</v>
      </c>
      <c r="Q139" s="21">
        <f t="shared" ref="Q139:Q202" si="83">SUM(M139:P139)</f>
        <v>1</v>
      </c>
      <c r="R139" s="15"/>
      <c r="S139" s="21">
        <v>1</v>
      </c>
      <c r="T139" s="21">
        <v>0</v>
      </c>
      <c r="U139" s="21">
        <v>2</v>
      </c>
      <c r="V139" s="21">
        <v>1</v>
      </c>
      <c r="W139" s="21">
        <f t="shared" ref="W139:W202" si="84">SUM(S139:V139)</f>
        <v>4</v>
      </c>
      <c r="X139" s="15"/>
      <c r="Y139" s="21">
        <v>1</v>
      </c>
      <c r="Z139" s="21">
        <v>0</v>
      </c>
      <c r="AA139" s="21">
        <v>0</v>
      </c>
      <c r="AB139" s="21">
        <v>1</v>
      </c>
      <c r="AC139" s="21">
        <f t="shared" ref="AC139:AC202" si="85">SUM(Y139:AB139)</f>
        <v>2</v>
      </c>
      <c r="AD139" s="15"/>
      <c r="AE139" s="21">
        <v>1</v>
      </c>
      <c r="AF139" s="21">
        <v>0</v>
      </c>
      <c r="AG139" s="21">
        <v>8</v>
      </c>
      <c r="AH139" s="21">
        <v>0</v>
      </c>
      <c r="AI139" s="21">
        <f t="shared" ref="AI139:AI202" si="86">SUM(AE139:AH139)</f>
        <v>9</v>
      </c>
      <c r="AK139" s="128">
        <v>0</v>
      </c>
      <c r="AL139">
        <v>8</v>
      </c>
      <c r="AM139">
        <v>0</v>
      </c>
      <c r="AN139">
        <v>0</v>
      </c>
      <c r="AO139" s="21">
        <f t="shared" ref="AO139:AO202" si="87">SUM(AK139:AN139)</f>
        <v>8</v>
      </c>
      <c r="AQ139">
        <v>0</v>
      </c>
      <c r="AR139">
        <v>5</v>
      </c>
      <c r="AS139">
        <v>0</v>
      </c>
      <c r="AT139">
        <v>0</v>
      </c>
      <c r="AU139" s="21">
        <f t="shared" si="82"/>
        <v>5</v>
      </c>
    </row>
    <row r="140" spans="1:48" x14ac:dyDescent="0.2">
      <c r="A140" s="12">
        <v>4</v>
      </c>
      <c r="B140" s="12" t="s">
        <v>154</v>
      </c>
      <c r="C140" s="12" t="s">
        <v>26</v>
      </c>
      <c r="D140" s="12">
        <v>29.3</v>
      </c>
      <c r="E140" s="12">
        <v>1997</v>
      </c>
      <c r="F140" s="15"/>
      <c r="G140" s="15"/>
      <c r="H140" s="15"/>
      <c r="I140" s="15"/>
      <c r="J140" s="15"/>
      <c r="K140" s="15"/>
      <c r="L140" s="15"/>
      <c r="M140" s="21">
        <v>0</v>
      </c>
      <c r="N140" s="21">
        <v>0</v>
      </c>
      <c r="O140" s="21">
        <v>0</v>
      </c>
      <c r="P140" s="21">
        <v>1</v>
      </c>
      <c r="Q140" s="21">
        <f t="shared" si="83"/>
        <v>1</v>
      </c>
      <c r="R140" s="15"/>
      <c r="S140" s="21">
        <v>1</v>
      </c>
      <c r="T140" s="21">
        <v>0</v>
      </c>
      <c r="U140" s="21">
        <v>0</v>
      </c>
      <c r="V140" s="21">
        <v>1</v>
      </c>
      <c r="W140" s="21">
        <f t="shared" si="84"/>
        <v>2</v>
      </c>
      <c r="X140" s="15"/>
      <c r="Y140" s="21">
        <v>0</v>
      </c>
      <c r="Z140" s="21">
        <v>0</v>
      </c>
      <c r="AA140" s="21">
        <v>0</v>
      </c>
      <c r="AB140" s="21">
        <v>1</v>
      </c>
      <c r="AC140" s="21">
        <f t="shared" si="85"/>
        <v>1</v>
      </c>
      <c r="AD140" s="15"/>
      <c r="AE140" s="21">
        <v>1</v>
      </c>
      <c r="AF140" s="21">
        <v>0</v>
      </c>
      <c r="AG140" s="21">
        <v>0</v>
      </c>
      <c r="AH140" s="21">
        <v>0</v>
      </c>
      <c r="AI140" s="21">
        <f t="shared" si="86"/>
        <v>1</v>
      </c>
      <c r="AK140" s="128">
        <v>0</v>
      </c>
      <c r="AL140">
        <v>0</v>
      </c>
      <c r="AM140">
        <v>0</v>
      </c>
      <c r="AN140">
        <v>0</v>
      </c>
      <c r="AO140" s="21">
        <f t="shared" si="87"/>
        <v>0</v>
      </c>
      <c r="AQ140">
        <v>1</v>
      </c>
      <c r="AR140">
        <v>0</v>
      </c>
      <c r="AS140">
        <v>0</v>
      </c>
      <c r="AT140">
        <v>0</v>
      </c>
      <c r="AU140" s="21">
        <f t="shared" si="82"/>
        <v>1</v>
      </c>
    </row>
    <row r="141" spans="1:48" ht="15" customHeight="1" x14ac:dyDescent="0.2">
      <c r="A141" s="12">
        <v>4</v>
      </c>
      <c r="B141" s="12" t="s">
        <v>155</v>
      </c>
      <c r="C141" s="12" t="s">
        <v>26</v>
      </c>
      <c r="D141" s="12">
        <v>1.48</v>
      </c>
      <c r="E141" s="12">
        <v>1997</v>
      </c>
      <c r="F141" s="15"/>
      <c r="G141" s="15"/>
      <c r="H141" s="15"/>
      <c r="I141" s="15"/>
      <c r="J141" s="15"/>
      <c r="K141" s="15"/>
      <c r="L141" s="15">
        <v>1</v>
      </c>
      <c r="M141" s="21">
        <v>0</v>
      </c>
      <c r="N141" s="21">
        <v>0</v>
      </c>
      <c r="O141" s="21">
        <v>0</v>
      </c>
      <c r="P141" s="21">
        <v>0</v>
      </c>
      <c r="Q141" s="21">
        <f t="shared" si="83"/>
        <v>0</v>
      </c>
      <c r="R141" s="15">
        <v>1</v>
      </c>
      <c r="S141" s="21">
        <v>0</v>
      </c>
      <c r="T141" s="21">
        <v>0</v>
      </c>
      <c r="U141" s="21">
        <v>0</v>
      </c>
      <c r="V141" s="21">
        <v>0</v>
      </c>
      <c r="W141" s="21">
        <f t="shared" si="84"/>
        <v>0</v>
      </c>
      <c r="X141" s="15">
        <v>1</v>
      </c>
      <c r="Y141" s="21">
        <v>0</v>
      </c>
      <c r="Z141" s="21">
        <v>0</v>
      </c>
      <c r="AA141" s="21">
        <v>0</v>
      </c>
      <c r="AB141" s="21">
        <v>0</v>
      </c>
      <c r="AC141" s="21">
        <f t="shared" si="85"/>
        <v>0</v>
      </c>
      <c r="AD141" s="15"/>
      <c r="AE141" s="21">
        <v>0</v>
      </c>
      <c r="AF141" s="21">
        <v>0</v>
      </c>
      <c r="AG141" s="21">
        <v>0</v>
      </c>
      <c r="AH141" s="21">
        <v>0</v>
      </c>
      <c r="AI141" s="21">
        <f t="shared" si="86"/>
        <v>0</v>
      </c>
      <c r="AK141" s="128">
        <v>0</v>
      </c>
      <c r="AL141">
        <v>0</v>
      </c>
      <c r="AM141">
        <v>0</v>
      </c>
      <c r="AN141">
        <v>0</v>
      </c>
      <c r="AO141" s="21">
        <f t="shared" si="87"/>
        <v>0</v>
      </c>
      <c r="AQ141">
        <v>0</v>
      </c>
      <c r="AR141">
        <v>0</v>
      </c>
      <c r="AS141">
        <v>0</v>
      </c>
      <c r="AT141">
        <v>0</v>
      </c>
      <c r="AU141" s="21">
        <f t="shared" si="82"/>
        <v>0</v>
      </c>
    </row>
    <row r="142" spans="1:48" ht="15" customHeight="1" x14ac:dyDescent="0.2">
      <c r="A142" s="12">
        <v>4</v>
      </c>
      <c r="B142" s="12" t="s">
        <v>156</v>
      </c>
      <c r="C142" s="12" t="s">
        <v>26</v>
      </c>
      <c r="D142" s="12">
        <v>13.88</v>
      </c>
      <c r="E142" s="12">
        <v>1997</v>
      </c>
      <c r="F142" s="15"/>
      <c r="G142" s="15"/>
      <c r="H142" s="15"/>
      <c r="I142" s="15"/>
      <c r="J142" s="15"/>
      <c r="K142" s="15"/>
      <c r="L142" s="15">
        <v>1</v>
      </c>
      <c r="M142" s="21">
        <v>0</v>
      </c>
      <c r="N142" s="21">
        <v>0</v>
      </c>
      <c r="O142" s="21">
        <v>0</v>
      </c>
      <c r="P142" s="21">
        <v>0</v>
      </c>
      <c r="Q142" s="21">
        <f t="shared" si="83"/>
        <v>0</v>
      </c>
      <c r="R142" s="15"/>
      <c r="S142" s="21">
        <v>1</v>
      </c>
      <c r="T142" s="21">
        <v>0</v>
      </c>
      <c r="U142" s="21">
        <v>0</v>
      </c>
      <c r="V142" s="21">
        <v>1</v>
      </c>
      <c r="W142" s="21">
        <f t="shared" si="84"/>
        <v>2</v>
      </c>
      <c r="X142" s="15"/>
      <c r="Y142" s="21">
        <v>0</v>
      </c>
      <c r="Z142" s="21">
        <v>0</v>
      </c>
      <c r="AA142" s="21">
        <v>5</v>
      </c>
      <c r="AB142" s="21">
        <v>1</v>
      </c>
      <c r="AC142" s="21">
        <f t="shared" si="85"/>
        <v>6</v>
      </c>
      <c r="AD142" s="15"/>
      <c r="AE142" s="21">
        <v>0</v>
      </c>
      <c r="AF142" s="21">
        <v>0</v>
      </c>
      <c r="AG142" s="21">
        <v>4</v>
      </c>
      <c r="AH142" s="21">
        <v>0</v>
      </c>
      <c r="AI142" s="21">
        <f t="shared" si="86"/>
        <v>4</v>
      </c>
      <c r="AK142" s="128">
        <v>0</v>
      </c>
      <c r="AL142">
        <v>0</v>
      </c>
      <c r="AM142">
        <v>4</v>
      </c>
      <c r="AN142">
        <v>0</v>
      </c>
      <c r="AO142" s="21">
        <f t="shared" si="87"/>
        <v>4</v>
      </c>
      <c r="AQ142">
        <v>0</v>
      </c>
      <c r="AR142">
        <v>0</v>
      </c>
      <c r="AS142">
        <v>0</v>
      </c>
      <c r="AT142">
        <v>1</v>
      </c>
      <c r="AU142" s="21">
        <f t="shared" si="82"/>
        <v>1</v>
      </c>
    </row>
    <row r="143" spans="1:48" ht="15" customHeight="1" x14ac:dyDescent="0.2">
      <c r="A143" s="12">
        <v>4</v>
      </c>
      <c r="B143" s="12" t="s">
        <v>157</v>
      </c>
      <c r="C143" s="12" t="s">
        <v>26</v>
      </c>
      <c r="D143" s="12">
        <v>27.64</v>
      </c>
      <c r="E143" s="12">
        <v>1997</v>
      </c>
      <c r="F143" s="15"/>
      <c r="G143" s="15"/>
      <c r="H143" s="15"/>
      <c r="I143" s="15"/>
      <c r="J143" s="15"/>
      <c r="K143" s="15"/>
      <c r="L143" s="15">
        <v>1</v>
      </c>
      <c r="M143" s="21">
        <v>0</v>
      </c>
      <c r="N143" s="21">
        <v>0</v>
      </c>
      <c r="O143" s="21">
        <v>0</v>
      </c>
      <c r="P143" s="21">
        <v>0</v>
      </c>
      <c r="Q143" s="21">
        <f t="shared" si="83"/>
        <v>0</v>
      </c>
      <c r="R143" s="15">
        <v>1</v>
      </c>
      <c r="S143" s="21">
        <v>0</v>
      </c>
      <c r="T143" s="21">
        <v>0</v>
      </c>
      <c r="U143" s="21">
        <v>0</v>
      </c>
      <c r="V143" s="21">
        <v>0</v>
      </c>
      <c r="W143" s="21">
        <f t="shared" si="84"/>
        <v>0</v>
      </c>
      <c r="X143" s="15"/>
      <c r="Y143" s="21">
        <v>1</v>
      </c>
      <c r="Z143" s="21">
        <v>0</v>
      </c>
      <c r="AA143" s="21">
        <v>0</v>
      </c>
      <c r="AB143" s="21">
        <v>1</v>
      </c>
      <c r="AC143" s="21">
        <f t="shared" si="85"/>
        <v>2</v>
      </c>
      <c r="AD143" s="15"/>
      <c r="AE143" s="21">
        <v>0</v>
      </c>
      <c r="AF143" s="21">
        <v>0</v>
      </c>
      <c r="AG143" s="21">
        <v>0</v>
      </c>
      <c r="AH143" s="21">
        <v>1</v>
      </c>
      <c r="AI143" s="21">
        <f t="shared" si="86"/>
        <v>1</v>
      </c>
      <c r="AK143" s="128">
        <v>0</v>
      </c>
      <c r="AL143">
        <v>0</v>
      </c>
      <c r="AM143">
        <v>1</v>
      </c>
      <c r="AN143">
        <v>0</v>
      </c>
      <c r="AO143" s="21">
        <f t="shared" si="87"/>
        <v>1</v>
      </c>
      <c r="AP143" t="s">
        <v>606</v>
      </c>
      <c r="AQ143">
        <v>0</v>
      </c>
      <c r="AR143">
        <v>0</v>
      </c>
      <c r="AS143">
        <v>0</v>
      </c>
      <c r="AT143">
        <v>1</v>
      </c>
      <c r="AU143" s="21">
        <f t="shared" si="82"/>
        <v>1</v>
      </c>
    </row>
    <row r="144" spans="1:48" x14ac:dyDescent="0.2">
      <c r="A144" s="12">
        <v>4</v>
      </c>
      <c r="B144" s="12" t="s">
        <v>158</v>
      </c>
      <c r="C144" s="12" t="s">
        <v>26</v>
      </c>
      <c r="D144" s="12">
        <v>28.08</v>
      </c>
      <c r="E144" s="12">
        <v>1997</v>
      </c>
      <c r="F144" s="15"/>
      <c r="G144" s="15"/>
      <c r="H144" s="15"/>
      <c r="I144" s="15"/>
      <c r="J144" s="15"/>
      <c r="K144" s="15"/>
      <c r="L144" s="15"/>
      <c r="M144" s="21">
        <v>1</v>
      </c>
      <c r="N144" s="21">
        <v>0</v>
      </c>
      <c r="O144" s="21">
        <v>0</v>
      </c>
      <c r="P144" s="21">
        <v>1</v>
      </c>
      <c r="Q144" s="21">
        <f t="shared" si="83"/>
        <v>2</v>
      </c>
      <c r="R144" s="15"/>
      <c r="S144" s="21">
        <v>1</v>
      </c>
      <c r="T144" s="21">
        <v>0</v>
      </c>
      <c r="U144" s="21">
        <v>0</v>
      </c>
      <c r="V144" s="21">
        <v>1</v>
      </c>
      <c r="W144" s="21">
        <f t="shared" si="84"/>
        <v>2</v>
      </c>
      <c r="X144" s="15">
        <v>1</v>
      </c>
      <c r="Y144" s="21">
        <v>0</v>
      </c>
      <c r="Z144" s="21">
        <v>0</v>
      </c>
      <c r="AA144" s="21">
        <v>0</v>
      </c>
      <c r="AB144" s="21">
        <v>0</v>
      </c>
      <c r="AC144" s="21">
        <f t="shared" si="85"/>
        <v>0</v>
      </c>
      <c r="AD144" s="15"/>
      <c r="AE144" s="21">
        <v>0</v>
      </c>
      <c r="AF144" s="21">
        <v>0</v>
      </c>
      <c r="AG144" s="21">
        <v>4</v>
      </c>
      <c r="AH144" s="21">
        <v>0</v>
      </c>
      <c r="AI144" s="21">
        <f t="shared" si="86"/>
        <v>4</v>
      </c>
      <c r="AK144" s="128">
        <v>0</v>
      </c>
      <c r="AL144">
        <v>0</v>
      </c>
      <c r="AM144">
        <v>4</v>
      </c>
      <c r="AN144">
        <v>0</v>
      </c>
      <c r="AO144" s="21">
        <f t="shared" si="87"/>
        <v>4</v>
      </c>
      <c r="AQ144">
        <v>0</v>
      </c>
      <c r="AR144">
        <v>0</v>
      </c>
      <c r="AS144">
        <v>4</v>
      </c>
      <c r="AT144">
        <v>0</v>
      </c>
      <c r="AU144" s="21">
        <f t="shared" si="82"/>
        <v>4</v>
      </c>
    </row>
    <row r="145" spans="1:47" ht="15" customHeight="1" x14ac:dyDescent="0.2">
      <c r="A145" s="12">
        <v>4</v>
      </c>
      <c r="B145" s="12" t="s">
        <v>159</v>
      </c>
      <c r="C145" s="12" t="s">
        <v>26</v>
      </c>
      <c r="D145" s="12">
        <v>28.21</v>
      </c>
      <c r="E145" s="12">
        <v>1997</v>
      </c>
      <c r="F145" s="15"/>
      <c r="G145" s="15"/>
      <c r="H145" s="15"/>
      <c r="I145" s="15"/>
      <c r="J145" s="15"/>
      <c r="K145" s="15"/>
      <c r="L145" s="15">
        <v>1</v>
      </c>
      <c r="M145" s="21">
        <v>0</v>
      </c>
      <c r="N145" s="21">
        <v>0</v>
      </c>
      <c r="O145" s="21">
        <v>0</v>
      </c>
      <c r="P145" s="21">
        <v>0</v>
      </c>
      <c r="Q145" s="21">
        <f t="shared" si="83"/>
        <v>0</v>
      </c>
      <c r="R145" s="15"/>
      <c r="S145" s="21">
        <v>1</v>
      </c>
      <c r="T145" s="21">
        <v>0</v>
      </c>
      <c r="U145" s="21">
        <v>6</v>
      </c>
      <c r="V145" s="21">
        <v>1</v>
      </c>
      <c r="W145" s="21">
        <f t="shared" si="84"/>
        <v>8</v>
      </c>
      <c r="X145" s="15">
        <v>1</v>
      </c>
      <c r="Y145" s="21">
        <v>0</v>
      </c>
      <c r="Z145" s="21">
        <v>0</v>
      </c>
      <c r="AA145" s="21">
        <v>0</v>
      </c>
      <c r="AB145" s="21">
        <v>0</v>
      </c>
      <c r="AC145" s="21">
        <f t="shared" si="85"/>
        <v>0</v>
      </c>
      <c r="AD145" s="15"/>
      <c r="AE145" s="21">
        <v>0</v>
      </c>
      <c r="AF145" s="21">
        <v>0</v>
      </c>
      <c r="AG145" s="21">
        <v>0</v>
      </c>
      <c r="AH145" s="21">
        <v>1</v>
      </c>
      <c r="AI145" s="21">
        <f t="shared" si="86"/>
        <v>1</v>
      </c>
      <c r="AK145" s="128">
        <v>0</v>
      </c>
      <c r="AL145">
        <v>0</v>
      </c>
      <c r="AM145">
        <v>0</v>
      </c>
      <c r="AN145">
        <v>1</v>
      </c>
      <c r="AO145" s="21">
        <f t="shared" si="87"/>
        <v>1</v>
      </c>
      <c r="AQ145">
        <v>0</v>
      </c>
      <c r="AR145">
        <v>0</v>
      </c>
      <c r="AS145">
        <v>0</v>
      </c>
      <c r="AT145">
        <v>1</v>
      </c>
      <c r="AU145" s="21">
        <f t="shared" si="82"/>
        <v>1</v>
      </c>
    </row>
    <row r="146" spans="1:47" x14ac:dyDescent="0.2">
      <c r="A146" s="12">
        <v>4</v>
      </c>
      <c r="B146" s="12" t="s">
        <v>160</v>
      </c>
      <c r="C146" s="12" t="s">
        <v>26</v>
      </c>
      <c r="D146" s="12">
        <v>27.4</v>
      </c>
      <c r="E146" s="12">
        <v>1997</v>
      </c>
      <c r="F146" s="15"/>
      <c r="G146" s="15"/>
      <c r="H146" s="15"/>
      <c r="I146" s="15"/>
      <c r="J146" s="15"/>
      <c r="K146" s="15"/>
      <c r="L146" s="15"/>
      <c r="M146" s="21">
        <v>2</v>
      </c>
      <c r="N146" s="21">
        <v>0</v>
      </c>
      <c r="O146" s="21">
        <v>4</v>
      </c>
      <c r="P146" s="21">
        <v>1</v>
      </c>
      <c r="Q146" s="21">
        <f t="shared" si="83"/>
        <v>7</v>
      </c>
      <c r="R146" s="15"/>
      <c r="S146" s="21">
        <v>1</v>
      </c>
      <c r="T146" s="21">
        <v>0</v>
      </c>
      <c r="U146" s="21">
        <v>2</v>
      </c>
      <c r="V146" s="21">
        <v>1</v>
      </c>
      <c r="W146" s="21">
        <f t="shared" si="84"/>
        <v>4</v>
      </c>
      <c r="X146" s="15">
        <v>1</v>
      </c>
      <c r="Y146" s="21">
        <v>0</v>
      </c>
      <c r="Z146" s="21">
        <v>0</v>
      </c>
      <c r="AA146" s="21">
        <v>0</v>
      </c>
      <c r="AB146" s="21">
        <v>0</v>
      </c>
      <c r="AC146" s="21">
        <f t="shared" si="85"/>
        <v>0</v>
      </c>
      <c r="AD146" s="15"/>
      <c r="AE146" s="21">
        <v>0</v>
      </c>
      <c r="AF146" s="21">
        <v>0</v>
      </c>
      <c r="AG146" s="21">
        <v>0</v>
      </c>
      <c r="AH146" s="21">
        <v>1</v>
      </c>
      <c r="AI146" s="21">
        <f t="shared" si="86"/>
        <v>1</v>
      </c>
      <c r="AK146" s="128">
        <v>0</v>
      </c>
      <c r="AL146">
        <v>0</v>
      </c>
      <c r="AM146">
        <v>0</v>
      </c>
      <c r="AN146">
        <v>1</v>
      </c>
      <c r="AO146" s="21">
        <f t="shared" si="87"/>
        <v>1</v>
      </c>
      <c r="AQ146">
        <v>0</v>
      </c>
      <c r="AR146">
        <v>0</v>
      </c>
      <c r="AS146">
        <v>0</v>
      </c>
      <c r="AT146">
        <v>1</v>
      </c>
      <c r="AU146" s="21">
        <f t="shared" si="82"/>
        <v>1</v>
      </c>
    </row>
    <row r="147" spans="1:47" ht="15" customHeight="1" x14ac:dyDescent="0.2">
      <c r="A147" s="12">
        <v>4</v>
      </c>
      <c r="B147" s="12" t="s">
        <v>161</v>
      </c>
      <c r="C147" s="12" t="s">
        <v>26</v>
      </c>
      <c r="D147" s="12">
        <v>3.92</v>
      </c>
      <c r="E147" s="12">
        <v>1997</v>
      </c>
      <c r="F147" s="15"/>
      <c r="G147" s="15"/>
      <c r="H147" s="15"/>
      <c r="I147" s="15"/>
      <c r="J147" s="15"/>
      <c r="K147" s="15"/>
      <c r="L147" s="15">
        <v>1</v>
      </c>
      <c r="M147" s="21">
        <v>0</v>
      </c>
      <c r="N147" s="21">
        <v>0</v>
      </c>
      <c r="O147" s="21">
        <v>0</v>
      </c>
      <c r="P147" s="21">
        <v>0</v>
      </c>
      <c r="Q147" s="21">
        <f t="shared" si="83"/>
        <v>0</v>
      </c>
      <c r="R147" s="15">
        <v>1</v>
      </c>
      <c r="S147" s="21">
        <v>0</v>
      </c>
      <c r="T147" s="21">
        <v>0</v>
      </c>
      <c r="U147" s="21">
        <v>0</v>
      </c>
      <c r="V147" s="21">
        <v>0</v>
      </c>
      <c r="W147" s="21">
        <f t="shared" si="84"/>
        <v>0</v>
      </c>
      <c r="X147" s="15">
        <v>1</v>
      </c>
      <c r="Y147" s="21">
        <v>0</v>
      </c>
      <c r="Z147" s="21">
        <v>0</v>
      </c>
      <c r="AA147" s="21">
        <v>0</v>
      </c>
      <c r="AB147" s="21">
        <v>0</v>
      </c>
      <c r="AC147" s="21">
        <f t="shared" si="85"/>
        <v>0</v>
      </c>
      <c r="AD147" s="15"/>
      <c r="AE147" s="21">
        <v>0</v>
      </c>
      <c r="AF147" s="21">
        <v>0</v>
      </c>
      <c r="AG147" s="21">
        <v>0</v>
      </c>
      <c r="AH147" s="21">
        <v>0</v>
      </c>
      <c r="AI147" s="21">
        <f t="shared" si="86"/>
        <v>0</v>
      </c>
      <c r="AK147" s="128">
        <v>0</v>
      </c>
      <c r="AL147">
        <v>0</v>
      </c>
      <c r="AM147">
        <v>0</v>
      </c>
      <c r="AN147">
        <v>0</v>
      </c>
      <c r="AO147" s="21">
        <f t="shared" si="87"/>
        <v>0</v>
      </c>
      <c r="AQ147">
        <v>0</v>
      </c>
      <c r="AR147">
        <v>0</v>
      </c>
      <c r="AS147">
        <v>0</v>
      </c>
      <c r="AT147">
        <v>0</v>
      </c>
      <c r="AU147" s="21">
        <f t="shared" si="82"/>
        <v>0</v>
      </c>
    </row>
    <row r="148" spans="1:47" x14ac:dyDescent="0.2">
      <c r="A148" s="12">
        <v>4</v>
      </c>
      <c r="B148" s="12" t="s">
        <v>162</v>
      </c>
      <c r="C148" s="12" t="s">
        <v>26</v>
      </c>
      <c r="D148" s="12">
        <v>16.7</v>
      </c>
      <c r="E148" s="12">
        <v>1997</v>
      </c>
      <c r="F148" s="15"/>
      <c r="G148" s="15"/>
      <c r="H148" s="15"/>
      <c r="I148" s="15"/>
      <c r="J148" s="15"/>
      <c r="K148" s="15"/>
      <c r="L148" s="15"/>
      <c r="M148" s="21">
        <v>0</v>
      </c>
      <c r="N148" s="21">
        <v>2</v>
      </c>
      <c r="O148" s="21">
        <v>0</v>
      </c>
      <c r="P148" s="21">
        <v>1</v>
      </c>
      <c r="Q148" s="21">
        <f t="shared" si="83"/>
        <v>3</v>
      </c>
      <c r="R148" s="15"/>
      <c r="S148" s="21">
        <v>0</v>
      </c>
      <c r="T148" s="21">
        <v>2</v>
      </c>
      <c r="U148" s="21">
        <v>0</v>
      </c>
      <c r="V148" s="21">
        <v>1</v>
      </c>
      <c r="W148" s="21">
        <f t="shared" si="84"/>
        <v>3</v>
      </c>
      <c r="X148" s="15"/>
      <c r="Y148" s="21">
        <v>0</v>
      </c>
      <c r="Z148" s="21">
        <v>0</v>
      </c>
      <c r="AA148" s="21">
        <v>0</v>
      </c>
      <c r="AB148" s="21">
        <v>1</v>
      </c>
      <c r="AC148" s="21">
        <f t="shared" si="85"/>
        <v>1</v>
      </c>
      <c r="AD148" s="15"/>
      <c r="AE148" s="21">
        <v>0</v>
      </c>
      <c r="AF148" s="21">
        <v>0</v>
      </c>
      <c r="AG148" s="21">
        <v>0</v>
      </c>
      <c r="AH148" s="21">
        <v>1</v>
      </c>
      <c r="AI148" s="21">
        <f t="shared" si="86"/>
        <v>1</v>
      </c>
      <c r="AK148" s="128">
        <v>0</v>
      </c>
      <c r="AL148">
        <v>0</v>
      </c>
      <c r="AM148">
        <v>0</v>
      </c>
      <c r="AN148">
        <v>1</v>
      </c>
      <c r="AO148" s="21">
        <f t="shared" si="87"/>
        <v>1</v>
      </c>
      <c r="AQ148">
        <v>0</v>
      </c>
      <c r="AR148">
        <v>0</v>
      </c>
      <c r="AS148">
        <v>0</v>
      </c>
      <c r="AT148">
        <v>1</v>
      </c>
      <c r="AU148" s="21">
        <f t="shared" si="82"/>
        <v>1</v>
      </c>
    </row>
    <row r="149" spans="1:47" ht="15" customHeight="1" x14ac:dyDescent="0.2">
      <c r="A149" s="12">
        <v>4</v>
      </c>
      <c r="B149" s="12" t="s">
        <v>163</v>
      </c>
      <c r="C149" s="12" t="s">
        <v>26</v>
      </c>
      <c r="D149" s="12">
        <v>29.13</v>
      </c>
      <c r="E149" s="12">
        <v>1997</v>
      </c>
      <c r="F149" s="15"/>
      <c r="G149" s="15"/>
      <c r="H149" s="15"/>
      <c r="I149" s="15"/>
      <c r="J149" s="15"/>
      <c r="K149" s="15"/>
      <c r="L149" s="15">
        <v>1</v>
      </c>
      <c r="M149" s="21">
        <v>0</v>
      </c>
      <c r="N149" s="21">
        <v>0</v>
      </c>
      <c r="O149" s="21">
        <v>0</v>
      </c>
      <c r="P149" s="21">
        <v>0</v>
      </c>
      <c r="Q149" s="21">
        <f t="shared" si="83"/>
        <v>0</v>
      </c>
      <c r="R149" s="15">
        <v>1</v>
      </c>
      <c r="S149" s="21">
        <v>0</v>
      </c>
      <c r="T149" s="21">
        <v>0</v>
      </c>
      <c r="U149" s="21">
        <v>0</v>
      </c>
      <c r="V149" s="21">
        <v>0</v>
      </c>
      <c r="W149" s="21">
        <f t="shared" si="84"/>
        <v>0</v>
      </c>
      <c r="X149" s="15">
        <v>1</v>
      </c>
      <c r="Y149" s="21">
        <v>0</v>
      </c>
      <c r="Z149" s="21">
        <v>0</v>
      </c>
      <c r="AA149" s="21">
        <v>0</v>
      </c>
      <c r="AB149" s="21">
        <v>0</v>
      </c>
      <c r="AC149" s="21">
        <f t="shared" si="85"/>
        <v>0</v>
      </c>
      <c r="AD149" s="15"/>
      <c r="AE149" s="21">
        <v>1</v>
      </c>
      <c r="AF149" s="21">
        <v>0</v>
      </c>
      <c r="AG149" s="21">
        <v>0</v>
      </c>
      <c r="AH149" s="21">
        <v>0</v>
      </c>
      <c r="AI149" s="21">
        <f t="shared" si="86"/>
        <v>1</v>
      </c>
      <c r="AK149" s="128">
        <v>0</v>
      </c>
      <c r="AL149">
        <v>0</v>
      </c>
      <c r="AM149">
        <v>0</v>
      </c>
      <c r="AN149">
        <v>1</v>
      </c>
      <c r="AO149" s="21">
        <f t="shared" si="87"/>
        <v>1</v>
      </c>
      <c r="AQ149">
        <v>0</v>
      </c>
      <c r="AR149">
        <v>0</v>
      </c>
      <c r="AS149">
        <v>0</v>
      </c>
      <c r="AT149">
        <v>1</v>
      </c>
      <c r="AU149" s="21">
        <f t="shared" si="82"/>
        <v>1</v>
      </c>
    </row>
    <row r="150" spans="1:47" x14ac:dyDescent="0.2">
      <c r="A150" s="12">
        <v>4</v>
      </c>
      <c r="B150" s="12" t="s">
        <v>164</v>
      </c>
      <c r="C150" s="12" t="s">
        <v>26</v>
      </c>
      <c r="D150" s="12">
        <v>31.27</v>
      </c>
      <c r="E150" s="12">
        <v>1997</v>
      </c>
      <c r="F150" s="15"/>
      <c r="G150" s="15"/>
      <c r="H150" s="15"/>
      <c r="I150" s="15"/>
      <c r="J150" s="15"/>
      <c r="K150" s="15"/>
      <c r="L150" s="15"/>
      <c r="M150" s="21">
        <v>0</v>
      </c>
      <c r="N150" s="21">
        <v>0</v>
      </c>
      <c r="O150" s="21">
        <v>1</v>
      </c>
      <c r="P150" s="21">
        <v>1</v>
      </c>
      <c r="Q150" s="21">
        <f t="shared" si="83"/>
        <v>2</v>
      </c>
      <c r="R150" s="15"/>
      <c r="S150" s="21">
        <v>0</v>
      </c>
      <c r="T150" s="21">
        <v>0</v>
      </c>
      <c r="U150" s="21">
        <v>1</v>
      </c>
      <c r="V150" s="21">
        <v>1</v>
      </c>
      <c r="W150" s="21">
        <f t="shared" si="84"/>
        <v>2</v>
      </c>
      <c r="X150" s="15"/>
      <c r="Y150" s="21">
        <v>0</v>
      </c>
      <c r="Z150" s="21">
        <v>0</v>
      </c>
      <c r="AA150" s="21">
        <v>2</v>
      </c>
      <c r="AB150" s="21">
        <v>1</v>
      </c>
      <c r="AC150" s="21">
        <f t="shared" si="85"/>
        <v>3</v>
      </c>
      <c r="AD150" s="15"/>
      <c r="AE150" s="21">
        <v>0</v>
      </c>
      <c r="AF150" s="21">
        <v>0</v>
      </c>
      <c r="AG150" s="21">
        <v>0</v>
      </c>
      <c r="AH150" s="21">
        <v>1</v>
      </c>
      <c r="AI150" s="21">
        <f t="shared" si="86"/>
        <v>1</v>
      </c>
      <c r="AK150" s="128">
        <v>0</v>
      </c>
      <c r="AL150">
        <v>0</v>
      </c>
      <c r="AM150">
        <v>1</v>
      </c>
      <c r="AN150">
        <v>0</v>
      </c>
      <c r="AO150" s="21">
        <f t="shared" si="87"/>
        <v>1</v>
      </c>
      <c r="AQ150">
        <v>0</v>
      </c>
      <c r="AR150">
        <v>0</v>
      </c>
      <c r="AS150">
        <v>0</v>
      </c>
      <c r="AT150">
        <v>1</v>
      </c>
      <c r="AU150" s="21">
        <f t="shared" si="82"/>
        <v>1</v>
      </c>
    </row>
    <row r="151" spans="1:47" x14ac:dyDescent="0.2">
      <c r="A151" s="12">
        <v>4</v>
      </c>
      <c r="B151" s="12" t="s">
        <v>165</v>
      </c>
      <c r="C151" s="12" t="s">
        <v>26</v>
      </c>
      <c r="D151" s="12">
        <v>31.22</v>
      </c>
      <c r="E151" s="12">
        <v>1997</v>
      </c>
      <c r="F151" s="15"/>
      <c r="G151" s="15"/>
      <c r="H151" s="15"/>
      <c r="I151" s="15"/>
      <c r="J151" s="15"/>
      <c r="K151" s="15"/>
      <c r="L151" s="15"/>
      <c r="M151" s="21">
        <v>0</v>
      </c>
      <c r="N151" s="21">
        <v>3</v>
      </c>
      <c r="O151" s="21">
        <v>0</v>
      </c>
      <c r="P151" s="21">
        <v>1</v>
      </c>
      <c r="Q151" s="21">
        <f t="shared" si="83"/>
        <v>4</v>
      </c>
      <c r="R151" s="15"/>
      <c r="S151" s="21">
        <v>1</v>
      </c>
      <c r="T151" s="21">
        <v>2</v>
      </c>
      <c r="U151" s="21">
        <v>0</v>
      </c>
      <c r="V151" s="21">
        <v>1</v>
      </c>
      <c r="W151" s="21">
        <f t="shared" si="84"/>
        <v>4</v>
      </c>
      <c r="X151" s="15"/>
      <c r="Y151" s="21">
        <v>0</v>
      </c>
      <c r="Z151" s="21">
        <v>0</v>
      </c>
      <c r="AA151" s="21">
        <v>0</v>
      </c>
      <c r="AB151" s="21">
        <v>1</v>
      </c>
      <c r="AC151" s="21">
        <f t="shared" si="85"/>
        <v>1</v>
      </c>
      <c r="AD151" s="15"/>
      <c r="AE151" s="21">
        <v>0</v>
      </c>
      <c r="AF151" s="21">
        <v>0</v>
      </c>
      <c r="AG151" s="21">
        <v>0</v>
      </c>
      <c r="AH151" s="21">
        <v>1</v>
      </c>
      <c r="AI151" s="21">
        <f t="shared" si="86"/>
        <v>1</v>
      </c>
      <c r="AK151" s="128">
        <v>0</v>
      </c>
      <c r="AL151">
        <v>0</v>
      </c>
      <c r="AM151">
        <v>7</v>
      </c>
      <c r="AN151">
        <v>0</v>
      </c>
      <c r="AO151" s="21">
        <f t="shared" si="87"/>
        <v>7</v>
      </c>
      <c r="AQ151">
        <v>0</v>
      </c>
      <c r="AR151">
        <v>0</v>
      </c>
      <c r="AS151">
        <v>4</v>
      </c>
      <c r="AT151">
        <v>0</v>
      </c>
      <c r="AU151" s="21">
        <f t="shared" si="82"/>
        <v>4</v>
      </c>
    </row>
    <row r="152" spans="1:47" x14ac:dyDescent="0.2">
      <c r="A152" s="12">
        <v>4</v>
      </c>
      <c r="B152" s="12" t="s">
        <v>166</v>
      </c>
      <c r="C152" s="12" t="s">
        <v>26</v>
      </c>
      <c r="D152" s="12">
        <v>31.24</v>
      </c>
      <c r="E152" s="12">
        <v>1997</v>
      </c>
      <c r="F152" s="15"/>
      <c r="G152" s="15"/>
      <c r="H152" s="15"/>
      <c r="I152" s="15"/>
      <c r="J152" s="15"/>
      <c r="K152" s="15"/>
      <c r="L152" s="15"/>
      <c r="M152" s="21">
        <v>0</v>
      </c>
      <c r="N152" s="21">
        <v>0</v>
      </c>
      <c r="O152" s="21">
        <v>0</v>
      </c>
      <c r="P152" s="21">
        <v>1</v>
      </c>
      <c r="Q152" s="21">
        <f t="shared" si="83"/>
        <v>1</v>
      </c>
      <c r="R152" s="15">
        <v>1</v>
      </c>
      <c r="S152" s="21">
        <v>0</v>
      </c>
      <c r="T152" s="21">
        <v>0</v>
      </c>
      <c r="U152" s="21">
        <v>0</v>
      </c>
      <c r="V152" s="21">
        <v>0</v>
      </c>
      <c r="W152" s="21">
        <f t="shared" si="84"/>
        <v>0</v>
      </c>
      <c r="X152" s="15"/>
      <c r="Y152" s="21">
        <v>0</v>
      </c>
      <c r="Z152" s="21">
        <v>0</v>
      </c>
      <c r="AA152" s="21">
        <v>0</v>
      </c>
      <c r="AB152" s="21">
        <v>1</v>
      </c>
      <c r="AC152" s="21">
        <f t="shared" si="85"/>
        <v>1</v>
      </c>
      <c r="AD152" s="15"/>
      <c r="AE152" s="21">
        <v>0</v>
      </c>
      <c r="AF152" s="21">
        <v>0</v>
      </c>
      <c r="AG152" s="21">
        <v>0</v>
      </c>
      <c r="AH152" s="21">
        <v>1</v>
      </c>
      <c r="AI152" s="21">
        <f t="shared" si="86"/>
        <v>1</v>
      </c>
      <c r="AK152" s="128">
        <v>0</v>
      </c>
      <c r="AL152">
        <v>0</v>
      </c>
      <c r="AM152">
        <v>0</v>
      </c>
      <c r="AN152">
        <v>1</v>
      </c>
      <c r="AO152" s="21">
        <f t="shared" si="87"/>
        <v>1</v>
      </c>
      <c r="AQ152">
        <v>0</v>
      </c>
      <c r="AR152">
        <v>0</v>
      </c>
      <c r="AS152">
        <v>0</v>
      </c>
      <c r="AT152">
        <v>1</v>
      </c>
      <c r="AU152" s="21">
        <f t="shared" si="82"/>
        <v>1</v>
      </c>
    </row>
    <row r="153" spans="1:47" x14ac:dyDescent="0.2">
      <c r="A153" s="12">
        <v>4</v>
      </c>
      <c r="B153" s="12" t="s">
        <v>167</v>
      </c>
      <c r="C153" s="12" t="s">
        <v>26</v>
      </c>
      <c r="D153" s="12">
        <v>30.91</v>
      </c>
      <c r="E153" s="12">
        <v>1997</v>
      </c>
      <c r="F153" s="15"/>
      <c r="G153" s="15"/>
      <c r="H153" s="15"/>
      <c r="I153" s="15"/>
      <c r="J153" s="15"/>
      <c r="K153" s="15"/>
      <c r="L153" s="15"/>
      <c r="M153" s="21">
        <v>0</v>
      </c>
      <c r="N153" s="21">
        <v>0</v>
      </c>
      <c r="O153" s="21">
        <v>0</v>
      </c>
      <c r="P153" s="21">
        <v>1</v>
      </c>
      <c r="Q153" s="21">
        <f t="shared" si="83"/>
        <v>1</v>
      </c>
      <c r="R153" s="15"/>
      <c r="S153" s="21">
        <v>1</v>
      </c>
      <c r="T153" s="21">
        <v>0</v>
      </c>
      <c r="U153" s="21">
        <v>0</v>
      </c>
      <c r="V153" s="21">
        <v>1</v>
      </c>
      <c r="W153" s="21">
        <f t="shared" si="84"/>
        <v>2</v>
      </c>
      <c r="X153" s="15"/>
      <c r="Y153" s="21">
        <v>0</v>
      </c>
      <c r="Z153" s="21">
        <v>0</v>
      </c>
      <c r="AA153" s="21">
        <v>0</v>
      </c>
      <c r="AB153" s="21">
        <v>1</v>
      </c>
      <c r="AC153" s="21">
        <f t="shared" si="85"/>
        <v>1</v>
      </c>
      <c r="AD153" s="15"/>
      <c r="AE153" s="21">
        <v>0</v>
      </c>
      <c r="AF153" s="21">
        <v>0</v>
      </c>
      <c r="AG153" s="21">
        <v>3</v>
      </c>
      <c r="AH153" s="21">
        <v>0</v>
      </c>
      <c r="AI153" s="21">
        <f t="shared" si="86"/>
        <v>3</v>
      </c>
      <c r="AK153" s="128">
        <v>0</v>
      </c>
      <c r="AL153">
        <v>0</v>
      </c>
      <c r="AM153">
        <v>0</v>
      </c>
      <c r="AN153">
        <v>1</v>
      </c>
      <c r="AO153" s="21">
        <f t="shared" si="87"/>
        <v>1</v>
      </c>
      <c r="AQ153">
        <v>1</v>
      </c>
      <c r="AR153">
        <v>0</v>
      </c>
      <c r="AS153">
        <v>0</v>
      </c>
      <c r="AT153">
        <v>0</v>
      </c>
      <c r="AU153" s="21">
        <f t="shared" si="82"/>
        <v>1</v>
      </c>
    </row>
    <row r="154" spans="1:47" x14ac:dyDescent="0.2">
      <c r="A154" s="12">
        <v>4</v>
      </c>
      <c r="B154" s="12" t="s">
        <v>168</v>
      </c>
      <c r="C154" s="12" t="s">
        <v>26</v>
      </c>
      <c r="D154" s="12">
        <v>30.15</v>
      </c>
      <c r="E154" s="12">
        <v>1997</v>
      </c>
      <c r="F154" s="15"/>
      <c r="G154" s="15"/>
      <c r="H154" s="15"/>
      <c r="I154" s="15"/>
      <c r="J154" s="15"/>
      <c r="K154" s="15"/>
      <c r="L154" s="15"/>
      <c r="M154" s="21">
        <v>0</v>
      </c>
      <c r="N154" s="21">
        <v>0</v>
      </c>
      <c r="O154" s="21">
        <v>0</v>
      </c>
      <c r="P154" s="21">
        <v>1</v>
      </c>
      <c r="Q154" s="21">
        <f t="shared" si="83"/>
        <v>1</v>
      </c>
      <c r="R154" s="15">
        <v>1</v>
      </c>
      <c r="S154" s="21">
        <v>0</v>
      </c>
      <c r="T154" s="21">
        <v>0</v>
      </c>
      <c r="U154" s="21">
        <v>0</v>
      </c>
      <c r="V154" s="21">
        <v>0</v>
      </c>
      <c r="W154" s="21">
        <f t="shared" si="84"/>
        <v>0</v>
      </c>
      <c r="X154" s="15">
        <v>1</v>
      </c>
      <c r="Y154" s="21">
        <v>0</v>
      </c>
      <c r="Z154" s="21">
        <v>0</v>
      </c>
      <c r="AA154" s="21">
        <v>0</v>
      </c>
      <c r="AB154" s="21">
        <v>0</v>
      </c>
      <c r="AC154" s="21">
        <f t="shared" si="85"/>
        <v>0</v>
      </c>
      <c r="AD154" s="15"/>
      <c r="AE154" s="21">
        <v>0</v>
      </c>
      <c r="AF154" s="21">
        <v>0</v>
      </c>
      <c r="AG154" s="21">
        <v>0</v>
      </c>
      <c r="AH154" s="21">
        <v>1</v>
      </c>
      <c r="AI154" s="21">
        <f t="shared" si="86"/>
        <v>1</v>
      </c>
      <c r="AK154" s="128">
        <v>0</v>
      </c>
      <c r="AL154">
        <v>0</v>
      </c>
      <c r="AM154">
        <v>0</v>
      </c>
      <c r="AN154">
        <v>1</v>
      </c>
      <c r="AO154" s="21">
        <f t="shared" si="87"/>
        <v>1</v>
      </c>
      <c r="AQ154">
        <v>0</v>
      </c>
      <c r="AR154">
        <v>0</v>
      </c>
      <c r="AS154">
        <v>0</v>
      </c>
      <c r="AT154">
        <v>1</v>
      </c>
      <c r="AU154" s="21">
        <f t="shared" si="82"/>
        <v>1</v>
      </c>
    </row>
    <row r="155" spans="1:47" x14ac:dyDescent="0.2">
      <c r="A155" s="12">
        <v>4</v>
      </c>
      <c r="B155" s="12" t="s">
        <v>169</v>
      </c>
      <c r="C155" s="12" t="s">
        <v>26</v>
      </c>
      <c r="D155" s="12">
        <v>33.74</v>
      </c>
      <c r="E155" s="12">
        <v>1997</v>
      </c>
      <c r="F155" s="15"/>
      <c r="G155" s="15"/>
      <c r="H155" s="15"/>
      <c r="I155" s="15"/>
      <c r="J155" s="15"/>
      <c r="K155" s="15"/>
      <c r="L155" s="15"/>
      <c r="M155" s="21">
        <v>0</v>
      </c>
      <c r="N155" s="21">
        <v>0</v>
      </c>
      <c r="O155" s="21">
        <v>0</v>
      </c>
      <c r="P155" s="21">
        <v>1</v>
      </c>
      <c r="Q155" s="21">
        <f t="shared" si="83"/>
        <v>1</v>
      </c>
      <c r="R155" s="15"/>
      <c r="S155" s="21">
        <v>1</v>
      </c>
      <c r="T155" s="21">
        <v>0</v>
      </c>
      <c r="U155" s="21">
        <v>0</v>
      </c>
      <c r="V155" s="21">
        <v>1</v>
      </c>
      <c r="W155" s="21">
        <f t="shared" si="84"/>
        <v>2</v>
      </c>
      <c r="X155" s="15"/>
      <c r="Y155" s="21">
        <v>0</v>
      </c>
      <c r="Z155" s="21">
        <v>3</v>
      </c>
      <c r="AA155" s="21">
        <v>2</v>
      </c>
      <c r="AB155" s="21">
        <v>1</v>
      </c>
      <c r="AC155" s="21">
        <f t="shared" si="85"/>
        <v>6</v>
      </c>
      <c r="AD155" s="15"/>
      <c r="AE155" s="21">
        <v>0</v>
      </c>
      <c r="AF155" s="21">
        <v>3</v>
      </c>
      <c r="AG155" s="21">
        <v>1</v>
      </c>
      <c r="AH155" s="21">
        <v>0</v>
      </c>
      <c r="AI155" s="21">
        <f t="shared" si="86"/>
        <v>4</v>
      </c>
      <c r="AJ155">
        <v>1</v>
      </c>
      <c r="AK155" s="128">
        <v>0</v>
      </c>
      <c r="AL155">
        <v>0</v>
      </c>
      <c r="AM155">
        <v>0</v>
      </c>
      <c r="AN155">
        <v>0</v>
      </c>
      <c r="AO155" s="21">
        <f t="shared" si="87"/>
        <v>0</v>
      </c>
      <c r="AQ155">
        <v>0</v>
      </c>
      <c r="AR155">
        <v>0</v>
      </c>
      <c r="AS155">
        <v>0</v>
      </c>
      <c r="AT155">
        <v>1</v>
      </c>
      <c r="AU155" s="21">
        <f t="shared" si="82"/>
        <v>1</v>
      </c>
    </row>
    <row r="156" spans="1:47" x14ac:dyDescent="0.2">
      <c r="A156" s="12">
        <v>4</v>
      </c>
      <c r="B156" s="12" t="s">
        <v>170</v>
      </c>
      <c r="C156" s="12" t="s">
        <v>26</v>
      </c>
      <c r="D156" s="12">
        <v>31.46</v>
      </c>
      <c r="E156" s="12">
        <v>1997</v>
      </c>
      <c r="F156" s="15"/>
      <c r="G156" s="15"/>
      <c r="H156" s="15"/>
      <c r="I156" s="15"/>
      <c r="J156" s="15"/>
      <c r="K156" s="15"/>
      <c r="L156" s="15"/>
      <c r="M156" s="21">
        <v>0</v>
      </c>
      <c r="N156" s="21">
        <v>0</v>
      </c>
      <c r="O156" s="21">
        <v>0</v>
      </c>
      <c r="P156" s="21">
        <v>1</v>
      </c>
      <c r="Q156" s="21">
        <f t="shared" si="83"/>
        <v>1</v>
      </c>
      <c r="R156" s="15"/>
      <c r="S156" s="21">
        <v>1</v>
      </c>
      <c r="T156" s="21">
        <v>0</v>
      </c>
      <c r="U156" s="21">
        <v>0</v>
      </c>
      <c r="V156" s="21">
        <v>1</v>
      </c>
      <c r="W156" s="21">
        <f t="shared" si="84"/>
        <v>2</v>
      </c>
      <c r="X156" s="15"/>
      <c r="Y156" s="21">
        <v>1</v>
      </c>
      <c r="Z156" s="21">
        <v>1</v>
      </c>
      <c r="AA156" s="21">
        <v>0</v>
      </c>
      <c r="AB156" s="21">
        <v>1</v>
      </c>
      <c r="AC156" s="21">
        <f t="shared" si="85"/>
        <v>3</v>
      </c>
      <c r="AD156" s="15"/>
      <c r="AE156" s="21">
        <v>0</v>
      </c>
      <c r="AF156" s="21">
        <v>4</v>
      </c>
      <c r="AG156" s="21">
        <v>0</v>
      </c>
      <c r="AH156" s="21">
        <v>0</v>
      </c>
      <c r="AI156" s="21">
        <f t="shared" si="86"/>
        <v>4</v>
      </c>
      <c r="AJ156">
        <v>1</v>
      </c>
      <c r="AK156" s="128">
        <v>0</v>
      </c>
      <c r="AL156">
        <v>0</v>
      </c>
      <c r="AM156">
        <v>0</v>
      </c>
      <c r="AN156">
        <v>0</v>
      </c>
      <c r="AO156" s="21">
        <f t="shared" si="87"/>
        <v>0</v>
      </c>
      <c r="AQ156">
        <v>1</v>
      </c>
      <c r="AR156">
        <v>0</v>
      </c>
      <c r="AS156">
        <v>0</v>
      </c>
      <c r="AT156">
        <v>0</v>
      </c>
      <c r="AU156" s="21">
        <f t="shared" si="82"/>
        <v>1</v>
      </c>
    </row>
    <row r="157" spans="1:47" x14ac:dyDescent="0.2">
      <c r="A157" s="12">
        <v>4</v>
      </c>
      <c r="B157" s="12" t="s">
        <v>171</v>
      </c>
      <c r="C157" s="12" t="s">
        <v>26</v>
      </c>
      <c r="D157" s="12">
        <v>34.21</v>
      </c>
      <c r="E157" s="12">
        <v>1997</v>
      </c>
      <c r="F157" s="15"/>
      <c r="G157" s="15"/>
      <c r="H157" s="15"/>
      <c r="I157" s="15"/>
      <c r="J157" s="15"/>
      <c r="K157" s="15"/>
      <c r="L157" s="15"/>
      <c r="M157" s="21">
        <v>0</v>
      </c>
      <c r="N157" s="21">
        <v>0</v>
      </c>
      <c r="O157" s="21">
        <v>0</v>
      </c>
      <c r="P157" s="21">
        <v>1</v>
      </c>
      <c r="Q157" s="21">
        <f t="shared" si="83"/>
        <v>1</v>
      </c>
      <c r="R157" s="15">
        <v>1</v>
      </c>
      <c r="S157" s="21">
        <v>0</v>
      </c>
      <c r="T157" s="21">
        <v>0</v>
      </c>
      <c r="U157" s="21">
        <v>0</v>
      </c>
      <c r="V157" s="21">
        <v>0</v>
      </c>
      <c r="W157" s="21">
        <f t="shared" si="84"/>
        <v>0</v>
      </c>
      <c r="X157" s="15"/>
      <c r="Y157" s="21">
        <v>0</v>
      </c>
      <c r="Z157" s="21">
        <v>0</v>
      </c>
      <c r="AA157" s="21">
        <v>0</v>
      </c>
      <c r="AB157" s="21">
        <v>1</v>
      </c>
      <c r="AC157" s="21">
        <f t="shared" si="85"/>
        <v>1</v>
      </c>
      <c r="AD157" s="15"/>
      <c r="AE157" s="21">
        <v>0</v>
      </c>
      <c r="AF157" s="21">
        <v>0</v>
      </c>
      <c r="AG157" s="21">
        <v>0</v>
      </c>
      <c r="AH157" s="21">
        <v>1</v>
      </c>
      <c r="AI157" s="21">
        <f t="shared" si="86"/>
        <v>1</v>
      </c>
      <c r="AK157" s="128">
        <v>1</v>
      </c>
      <c r="AL157">
        <v>3</v>
      </c>
      <c r="AM157">
        <v>0</v>
      </c>
      <c r="AN157">
        <v>0</v>
      </c>
      <c r="AO157" s="21">
        <f t="shared" si="87"/>
        <v>4</v>
      </c>
      <c r="AQ157">
        <v>1</v>
      </c>
      <c r="AR157">
        <v>3</v>
      </c>
      <c r="AS157">
        <v>0</v>
      </c>
      <c r="AT157">
        <v>0</v>
      </c>
      <c r="AU157" s="21">
        <f t="shared" si="82"/>
        <v>4</v>
      </c>
    </row>
    <row r="158" spans="1:47" x14ac:dyDescent="0.2">
      <c r="A158" s="12">
        <v>4</v>
      </c>
      <c r="B158" s="12" t="s">
        <v>172</v>
      </c>
      <c r="C158" s="12" t="s">
        <v>26</v>
      </c>
      <c r="D158" s="12">
        <v>33.81</v>
      </c>
      <c r="E158" s="12">
        <v>1997</v>
      </c>
      <c r="F158" s="15"/>
      <c r="G158" s="15"/>
      <c r="H158" s="15"/>
      <c r="I158" s="15"/>
      <c r="J158" s="15"/>
      <c r="K158" s="15"/>
      <c r="L158" s="15"/>
      <c r="M158" s="21">
        <v>0</v>
      </c>
      <c r="N158" s="21">
        <v>0</v>
      </c>
      <c r="O158" s="21">
        <v>0</v>
      </c>
      <c r="P158" s="21">
        <v>1</v>
      </c>
      <c r="Q158" s="21">
        <f t="shared" si="83"/>
        <v>1</v>
      </c>
      <c r="R158" s="15"/>
      <c r="S158" s="21">
        <v>1</v>
      </c>
      <c r="T158" s="21">
        <v>0</v>
      </c>
      <c r="U158" s="21">
        <v>5</v>
      </c>
      <c r="V158" s="21">
        <v>1</v>
      </c>
      <c r="W158" s="21">
        <f t="shared" si="84"/>
        <v>7</v>
      </c>
      <c r="X158" s="15"/>
      <c r="Y158" s="21">
        <v>0</v>
      </c>
      <c r="Z158" s="21">
        <v>0</v>
      </c>
      <c r="AA158" s="21">
        <v>0</v>
      </c>
      <c r="AB158" s="21">
        <v>1</v>
      </c>
      <c r="AC158" s="21">
        <f t="shared" si="85"/>
        <v>1</v>
      </c>
      <c r="AD158" s="15"/>
      <c r="AE158" s="21">
        <v>0</v>
      </c>
      <c r="AF158" s="21">
        <v>0</v>
      </c>
      <c r="AG158" s="21">
        <v>0</v>
      </c>
      <c r="AH158" s="21">
        <v>1</v>
      </c>
      <c r="AI158" s="21">
        <f t="shared" si="86"/>
        <v>1</v>
      </c>
      <c r="AK158" s="128">
        <v>1</v>
      </c>
      <c r="AL158">
        <v>0</v>
      </c>
      <c r="AM158">
        <v>4</v>
      </c>
      <c r="AN158">
        <v>0</v>
      </c>
      <c r="AO158" s="21">
        <f t="shared" si="87"/>
        <v>5</v>
      </c>
      <c r="AQ158">
        <v>1</v>
      </c>
      <c r="AR158">
        <v>0</v>
      </c>
      <c r="AS158">
        <v>4</v>
      </c>
      <c r="AT158">
        <v>0</v>
      </c>
      <c r="AU158" s="21">
        <f t="shared" si="82"/>
        <v>5</v>
      </c>
    </row>
    <row r="159" spans="1:47" x14ac:dyDescent="0.2">
      <c r="A159" s="12">
        <v>4</v>
      </c>
      <c r="B159" s="12" t="s">
        <v>173</v>
      </c>
      <c r="C159" s="12" t="s">
        <v>26</v>
      </c>
      <c r="D159" s="12">
        <v>31.48</v>
      </c>
      <c r="E159" s="12">
        <v>1997</v>
      </c>
      <c r="F159" s="15"/>
      <c r="G159" s="15"/>
      <c r="H159" s="15"/>
      <c r="I159" s="15"/>
      <c r="J159" s="15"/>
      <c r="K159" s="15"/>
      <c r="L159" s="15"/>
      <c r="M159" s="21">
        <v>0</v>
      </c>
      <c r="N159" s="21">
        <v>0</v>
      </c>
      <c r="O159" s="21">
        <v>1</v>
      </c>
      <c r="P159" s="21">
        <v>1</v>
      </c>
      <c r="Q159" s="21">
        <f t="shared" si="83"/>
        <v>2</v>
      </c>
      <c r="R159" s="15"/>
      <c r="S159" s="21">
        <v>0</v>
      </c>
      <c r="T159" s="21">
        <v>0</v>
      </c>
      <c r="U159" s="21">
        <v>2</v>
      </c>
      <c r="V159" s="21">
        <v>1</v>
      </c>
      <c r="W159" s="21">
        <f t="shared" si="84"/>
        <v>3</v>
      </c>
      <c r="X159" s="15"/>
      <c r="Y159" s="21">
        <v>0</v>
      </c>
      <c r="Z159" s="21">
        <v>0</v>
      </c>
      <c r="AA159" s="21">
        <v>0</v>
      </c>
      <c r="AB159" s="21">
        <v>1</v>
      </c>
      <c r="AC159" s="21">
        <f t="shared" si="85"/>
        <v>1</v>
      </c>
      <c r="AD159" s="15"/>
      <c r="AE159" s="21">
        <v>1</v>
      </c>
      <c r="AF159" s="21">
        <v>0</v>
      </c>
      <c r="AG159" s="21">
        <v>6</v>
      </c>
      <c r="AH159" s="21">
        <v>0</v>
      </c>
      <c r="AI159" s="21">
        <f t="shared" si="86"/>
        <v>7</v>
      </c>
      <c r="AK159" s="128">
        <v>0</v>
      </c>
      <c r="AL159">
        <v>0</v>
      </c>
      <c r="AM159">
        <v>0</v>
      </c>
      <c r="AN159">
        <v>1</v>
      </c>
      <c r="AO159" s="21">
        <f t="shared" si="87"/>
        <v>1</v>
      </c>
      <c r="AQ159">
        <v>0</v>
      </c>
      <c r="AR159">
        <v>0</v>
      </c>
      <c r="AS159">
        <v>0</v>
      </c>
      <c r="AT159">
        <v>1</v>
      </c>
      <c r="AU159" s="21">
        <f t="shared" si="82"/>
        <v>1</v>
      </c>
    </row>
    <row r="160" spans="1:47" x14ac:dyDescent="0.2">
      <c r="A160" s="12">
        <v>4</v>
      </c>
      <c r="B160" s="12" t="s">
        <v>174</v>
      </c>
      <c r="C160" s="12" t="s">
        <v>26</v>
      </c>
      <c r="D160" s="12">
        <v>30.7</v>
      </c>
      <c r="E160" s="12">
        <v>1997</v>
      </c>
      <c r="F160" s="15"/>
      <c r="G160" s="15"/>
      <c r="H160" s="15"/>
      <c r="I160" s="15"/>
      <c r="J160" s="15"/>
      <c r="K160" s="15"/>
      <c r="L160" s="15"/>
      <c r="M160" s="21">
        <v>0</v>
      </c>
      <c r="N160" s="21">
        <v>0</v>
      </c>
      <c r="O160" s="21">
        <v>0</v>
      </c>
      <c r="P160" s="21">
        <v>1</v>
      </c>
      <c r="Q160" s="21">
        <f t="shared" si="83"/>
        <v>1</v>
      </c>
      <c r="R160" s="15"/>
      <c r="S160" s="21">
        <v>1</v>
      </c>
      <c r="T160" s="21">
        <v>0</v>
      </c>
      <c r="U160" s="21">
        <v>0</v>
      </c>
      <c r="V160" s="21">
        <v>1</v>
      </c>
      <c r="W160" s="21">
        <f t="shared" si="84"/>
        <v>2</v>
      </c>
      <c r="X160" s="15"/>
      <c r="Y160" s="21">
        <v>0</v>
      </c>
      <c r="Z160" s="21">
        <v>0</v>
      </c>
      <c r="AA160" s="21">
        <v>0</v>
      </c>
      <c r="AB160" s="21">
        <v>1</v>
      </c>
      <c r="AC160" s="21">
        <f t="shared" si="85"/>
        <v>1</v>
      </c>
      <c r="AD160" s="15"/>
      <c r="AE160" s="21">
        <v>0</v>
      </c>
      <c r="AF160" s="21">
        <v>0</v>
      </c>
      <c r="AG160" s="21">
        <v>0</v>
      </c>
      <c r="AH160" s="21">
        <v>1</v>
      </c>
      <c r="AI160" s="21">
        <f t="shared" si="86"/>
        <v>1</v>
      </c>
      <c r="AK160" s="128">
        <v>0</v>
      </c>
      <c r="AL160">
        <v>0</v>
      </c>
      <c r="AM160">
        <v>0</v>
      </c>
      <c r="AN160">
        <v>1</v>
      </c>
      <c r="AO160" s="21">
        <f t="shared" si="87"/>
        <v>1</v>
      </c>
      <c r="AQ160">
        <v>0</v>
      </c>
      <c r="AR160">
        <v>0</v>
      </c>
      <c r="AS160">
        <v>0</v>
      </c>
      <c r="AT160">
        <v>1</v>
      </c>
      <c r="AU160" s="21">
        <f t="shared" si="82"/>
        <v>1</v>
      </c>
    </row>
    <row r="161" spans="1:47" x14ac:dyDescent="0.2">
      <c r="A161" s="12">
        <v>4</v>
      </c>
      <c r="B161" s="12" t="s">
        <v>175</v>
      </c>
      <c r="C161" s="12" t="s">
        <v>26</v>
      </c>
      <c r="D161" s="12">
        <v>31.98</v>
      </c>
      <c r="E161" s="12">
        <v>1997</v>
      </c>
      <c r="F161" s="15"/>
      <c r="G161" s="15"/>
      <c r="H161" s="15"/>
      <c r="I161" s="15"/>
      <c r="J161" s="15"/>
      <c r="K161" s="15"/>
      <c r="L161" s="15"/>
      <c r="M161" s="21">
        <v>3</v>
      </c>
      <c r="N161" s="21">
        <v>0</v>
      </c>
      <c r="O161" s="21">
        <v>0</v>
      </c>
      <c r="P161" s="21">
        <v>1</v>
      </c>
      <c r="Q161" s="21">
        <f t="shared" si="83"/>
        <v>4</v>
      </c>
      <c r="R161" s="15"/>
      <c r="S161" s="21">
        <v>1</v>
      </c>
      <c r="T161" s="21">
        <v>0</v>
      </c>
      <c r="U161" s="21">
        <v>0</v>
      </c>
      <c r="V161" s="21">
        <v>1</v>
      </c>
      <c r="W161" s="21">
        <f t="shared" si="84"/>
        <v>2</v>
      </c>
      <c r="X161" s="15"/>
      <c r="Y161" s="21">
        <v>0</v>
      </c>
      <c r="Z161" s="21">
        <v>0</v>
      </c>
      <c r="AA161" s="21">
        <v>0</v>
      </c>
      <c r="AB161" s="21">
        <v>1</v>
      </c>
      <c r="AC161" s="21">
        <f t="shared" si="85"/>
        <v>1</v>
      </c>
      <c r="AD161" s="15"/>
      <c r="AE161" s="21">
        <v>0</v>
      </c>
      <c r="AF161" s="21">
        <v>0</v>
      </c>
      <c r="AG161" s="21">
        <v>0</v>
      </c>
      <c r="AH161" s="21">
        <v>1</v>
      </c>
      <c r="AI161" s="21">
        <f t="shared" si="86"/>
        <v>1</v>
      </c>
      <c r="AK161" s="128">
        <v>0</v>
      </c>
      <c r="AL161">
        <v>0</v>
      </c>
      <c r="AM161">
        <v>4</v>
      </c>
      <c r="AN161">
        <v>0</v>
      </c>
      <c r="AO161" s="21">
        <f t="shared" si="87"/>
        <v>4</v>
      </c>
      <c r="AQ161">
        <v>0</v>
      </c>
      <c r="AR161">
        <v>0</v>
      </c>
      <c r="AS161">
        <v>0</v>
      </c>
      <c r="AT161">
        <v>1</v>
      </c>
      <c r="AU161" s="21">
        <f t="shared" si="82"/>
        <v>1</v>
      </c>
    </row>
    <row r="162" spans="1:47" x14ac:dyDescent="0.2">
      <c r="A162" s="12">
        <v>4</v>
      </c>
      <c r="B162" s="12" t="s">
        <v>176</v>
      </c>
      <c r="C162" s="12" t="s">
        <v>26</v>
      </c>
      <c r="D162" s="12">
        <v>31.15</v>
      </c>
      <c r="E162" s="12">
        <v>1997</v>
      </c>
      <c r="F162" s="15"/>
      <c r="G162" s="15"/>
      <c r="H162" s="15"/>
      <c r="I162" s="15"/>
      <c r="J162" s="15"/>
      <c r="K162" s="15"/>
      <c r="L162" s="15"/>
      <c r="M162" s="21">
        <v>0</v>
      </c>
      <c r="N162" s="21">
        <v>0</v>
      </c>
      <c r="O162" s="21">
        <v>0</v>
      </c>
      <c r="P162" s="21">
        <v>1</v>
      </c>
      <c r="Q162" s="21">
        <f t="shared" si="83"/>
        <v>1</v>
      </c>
      <c r="R162" s="15"/>
      <c r="S162" s="21">
        <v>2</v>
      </c>
      <c r="T162" s="21">
        <v>0</v>
      </c>
      <c r="U162" s="21">
        <v>0</v>
      </c>
      <c r="V162" s="21">
        <v>1</v>
      </c>
      <c r="W162" s="21">
        <f t="shared" si="84"/>
        <v>3</v>
      </c>
      <c r="X162" s="15"/>
      <c r="Y162" s="21">
        <v>0</v>
      </c>
      <c r="Z162" s="21">
        <v>0</v>
      </c>
      <c r="AA162" s="21">
        <v>0</v>
      </c>
      <c r="AB162" s="21">
        <v>1</v>
      </c>
      <c r="AC162" s="21">
        <f t="shared" si="85"/>
        <v>1</v>
      </c>
      <c r="AD162" s="15"/>
      <c r="AE162" s="21">
        <v>1</v>
      </c>
      <c r="AF162" s="21">
        <v>0</v>
      </c>
      <c r="AG162" s="21">
        <v>0</v>
      </c>
      <c r="AH162" s="21">
        <v>0</v>
      </c>
      <c r="AI162" s="21">
        <f t="shared" si="86"/>
        <v>1</v>
      </c>
      <c r="AK162" s="128">
        <v>0</v>
      </c>
      <c r="AL162">
        <v>0</v>
      </c>
      <c r="AM162">
        <v>0</v>
      </c>
      <c r="AN162">
        <v>1</v>
      </c>
      <c r="AO162" s="21">
        <f t="shared" si="87"/>
        <v>1</v>
      </c>
      <c r="AQ162">
        <v>0</v>
      </c>
      <c r="AR162">
        <v>0</v>
      </c>
      <c r="AS162">
        <v>0</v>
      </c>
      <c r="AT162">
        <v>1</v>
      </c>
      <c r="AU162" s="21">
        <f t="shared" si="82"/>
        <v>1</v>
      </c>
    </row>
    <row r="163" spans="1:47" x14ac:dyDescent="0.2">
      <c r="A163" s="12">
        <v>4</v>
      </c>
      <c r="B163" s="12" t="s">
        <v>177</v>
      </c>
      <c r="C163" s="12" t="s">
        <v>26</v>
      </c>
      <c r="D163" s="12">
        <v>31.97</v>
      </c>
      <c r="E163" s="12">
        <v>1997</v>
      </c>
      <c r="F163" s="15"/>
      <c r="G163" s="15"/>
      <c r="H163" s="15"/>
      <c r="I163" s="15"/>
      <c r="J163" s="15"/>
      <c r="K163" s="15"/>
      <c r="L163" s="15"/>
      <c r="M163" s="21">
        <v>0</v>
      </c>
      <c r="N163" s="21">
        <v>0</v>
      </c>
      <c r="O163" s="21">
        <v>0</v>
      </c>
      <c r="P163" s="21">
        <v>1</v>
      </c>
      <c r="Q163" s="21">
        <f t="shared" si="83"/>
        <v>1</v>
      </c>
      <c r="R163" s="15"/>
      <c r="S163" s="21">
        <v>1</v>
      </c>
      <c r="T163" s="21">
        <v>0</v>
      </c>
      <c r="U163" s="21">
        <v>0</v>
      </c>
      <c r="V163" s="21">
        <v>1</v>
      </c>
      <c r="W163" s="21">
        <f t="shared" si="84"/>
        <v>2</v>
      </c>
      <c r="X163" s="15"/>
      <c r="Y163" s="21">
        <v>0</v>
      </c>
      <c r="Z163" s="21">
        <v>0</v>
      </c>
      <c r="AA163" s="21">
        <v>0</v>
      </c>
      <c r="AB163" s="21">
        <v>1</v>
      </c>
      <c r="AC163" s="21">
        <f t="shared" si="85"/>
        <v>1</v>
      </c>
      <c r="AD163" s="15"/>
      <c r="AE163" s="21">
        <v>1</v>
      </c>
      <c r="AF163" s="21">
        <v>0</v>
      </c>
      <c r="AG163" s="21">
        <v>0</v>
      </c>
      <c r="AH163" s="21">
        <v>0</v>
      </c>
      <c r="AI163" s="21">
        <f t="shared" si="86"/>
        <v>1</v>
      </c>
      <c r="AK163" s="128">
        <v>0</v>
      </c>
      <c r="AL163">
        <v>0</v>
      </c>
      <c r="AM163">
        <v>0</v>
      </c>
      <c r="AN163">
        <v>1</v>
      </c>
      <c r="AO163" s="21">
        <f t="shared" si="87"/>
        <v>1</v>
      </c>
      <c r="AQ163">
        <v>0</v>
      </c>
      <c r="AR163">
        <v>0</v>
      </c>
      <c r="AS163">
        <v>0</v>
      </c>
      <c r="AT163">
        <v>1</v>
      </c>
      <c r="AU163" s="21">
        <f t="shared" si="82"/>
        <v>1</v>
      </c>
    </row>
    <row r="164" spans="1:47" x14ac:dyDescent="0.2">
      <c r="A164" s="12">
        <v>4</v>
      </c>
      <c r="B164" s="12" t="s">
        <v>178</v>
      </c>
      <c r="C164" s="12" t="s">
        <v>26</v>
      </c>
      <c r="D164" s="12">
        <v>30.79</v>
      </c>
      <c r="E164" s="12">
        <v>1997</v>
      </c>
      <c r="F164" s="15"/>
      <c r="G164" s="15"/>
      <c r="H164" s="15"/>
      <c r="I164" s="15"/>
      <c r="J164" s="15"/>
      <c r="K164" s="15"/>
      <c r="L164" s="15"/>
      <c r="M164" s="21">
        <v>0</v>
      </c>
      <c r="N164" s="21">
        <v>0</v>
      </c>
      <c r="O164" s="21">
        <v>0</v>
      </c>
      <c r="P164" s="21">
        <v>1</v>
      </c>
      <c r="Q164" s="21">
        <f t="shared" si="83"/>
        <v>1</v>
      </c>
      <c r="R164" s="15"/>
      <c r="S164" s="21">
        <v>1</v>
      </c>
      <c r="T164" s="21">
        <v>0</v>
      </c>
      <c r="U164" s="21">
        <v>0</v>
      </c>
      <c r="V164" s="21">
        <v>1</v>
      </c>
      <c r="W164" s="21">
        <f t="shared" si="84"/>
        <v>2</v>
      </c>
      <c r="X164" s="15"/>
      <c r="Y164" s="21">
        <v>0</v>
      </c>
      <c r="Z164" s="21">
        <v>0</v>
      </c>
      <c r="AA164" s="21">
        <v>0</v>
      </c>
      <c r="AB164" s="21">
        <v>1</v>
      </c>
      <c r="AC164" s="21">
        <f t="shared" si="85"/>
        <v>1</v>
      </c>
      <c r="AD164" s="15"/>
      <c r="AE164" s="21">
        <v>0</v>
      </c>
      <c r="AF164" s="21">
        <v>0</v>
      </c>
      <c r="AG164" s="21">
        <v>0</v>
      </c>
      <c r="AH164" s="21">
        <v>1</v>
      </c>
      <c r="AI164" s="21">
        <f t="shared" si="86"/>
        <v>1</v>
      </c>
      <c r="AK164" s="128">
        <v>0</v>
      </c>
      <c r="AL164">
        <v>0</v>
      </c>
      <c r="AM164">
        <v>0</v>
      </c>
      <c r="AN164">
        <v>1</v>
      </c>
      <c r="AO164" s="21">
        <f t="shared" si="87"/>
        <v>1</v>
      </c>
      <c r="AQ164">
        <v>0</v>
      </c>
      <c r="AR164">
        <v>0</v>
      </c>
      <c r="AS164">
        <v>0</v>
      </c>
      <c r="AT164">
        <v>1</v>
      </c>
      <c r="AU164" s="21">
        <f t="shared" si="82"/>
        <v>1</v>
      </c>
    </row>
    <row r="165" spans="1:47" x14ac:dyDescent="0.2">
      <c r="A165" s="12">
        <v>4</v>
      </c>
      <c r="B165" s="12" t="s">
        <v>179</v>
      </c>
      <c r="C165" s="12" t="s">
        <v>26</v>
      </c>
      <c r="D165" s="12">
        <v>29.13</v>
      </c>
      <c r="E165" s="12">
        <v>1997</v>
      </c>
      <c r="F165" s="15"/>
      <c r="G165" s="15"/>
      <c r="H165" s="15"/>
      <c r="I165" s="15"/>
      <c r="J165" s="15"/>
      <c r="K165" s="15"/>
      <c r="L165" s="15"/>
      <c r="M165" s="21">
        <v>0</v>
      </c>
      <c r="N165" s="21">
        <v>0</v>
      </c>
      <c r="O165" s="21">
        <v>0</v>
      </c>
      <c r="P165" s="21">
        <v>1</v>
      </c>
      <c r="Q165" s="21">
        <f t="shared" si="83"/>
        <v>1</v>
      </c>
      <c r="R165" s="15"/>
      <c r="S165" s="21">
        <v>1</v>
      </c>
      <c r="T165" s="21">
        <v>0</v>
      </c>
      <c r="U165" s="21">
        <v>0</v>
      </c>
      <c r="V165" s="21">
        <v>1</v>
      </c>
      <c r="W165" s="21">
        <f t="shared" si="84"/>
        <v>2</v>
      </c>
      <c r="X165" s="15"/>
      <c r="Y165" s="21">
        <v>0</v>
      </c>
      <c r="Z165" s="21">
        <v>0</v>
      </c>
      <c r="AA165" s="21">
        <v>0</v>
      </c>
      <c r="AB165" s="21">
        <v>1</v>
      </c>
      <c r="AC165" s="21">
        <f t="shared" si="85"/>
        <v>1</v>
      </c>
      <c r="AD165" s="15"/>
      <c r="AE165" s="21">
        <v>0</v>
      </c>
      <c r="AF165" s="21">
        <v>0</v>
      </c>
      <c r="AG165" s="21">
        <v>0</v>
      </c>
      <c r="AH165" s="21">
        <v>1</v>
      </c>
      <c r="AI165" s="21">
        <f t="shared" si="86"/>
        <v>1</v>
      </c>
      <c r="AK165" s="128">
        <v>0</v>
      </c>
      <c r="AL165">
        <v>0</v>
      </c>
      <c r="AM165">
        <v>0</v>
      </c>
      <c r="AN165">
        <v>1</v>
      </c>
      <c r="AO165" s="21">
        <f t="shared" si="87"/>
        <v>1</v>
      </c>
      <c r="AQ165">
        <v>0</v>
      </c>
      <c r="AR165">
        <v>0</v>
      </c>
      <c r="AS165">
        <v>0</v>
      </c>
      <c r="AT165">
        <v>1</v>
      </c>
      <c r="AU165" s="21">
        <f t="shared" si="82"/>
        <v>1</v>
      </c>
    </row>
    <row r="166" spans="1:47" x14ac:dyDescent="0.2">
      <c r="A166" s="12">
        <v>4</v>
      </c>
      <c r="B166" s="12" t="s">
        <v>180</v>
      </c>
      <c r="C166" s="12" t="s">
        <v>26</v>
      </c>
      <c r="D166" s="12">
        <v>28.99</v>
      </c>
      <c r="E166" s="12">
        <v>1997</v>
      </c>
      <c r="F166" s="15"/>
      <c r="G166" s="15"/>
      <c r="H166" s="15"/>
      <c r="I166" s="15"/>
      <c r="J166" s="15"/>
      <c r="K166" s="15"/>
      <c r="L166" s="15"/>
      <c r="M166" s="21">
        <v>0</v>
      </c>
      <c r="N166" s="21">
        <v>0</v>
      </c>
      <c r="O166" s="21">
        <v>0</v>
      </c>
      <c r="P166" s="21">
        <v>1</v>
      </c>
      <c r="Q166" s="21">
        <f t="shared" si="83"/>
        <v>1</v>
      </c>
      <c r="R166" s="15"/>
      <c r="S166" s="21">
        <v>1</v>
      </c>
      <c r="T166" s="21">
        <v>0</v>
      </c>
      <c r="U166" s="21">
        <v>0</v>
      </c>
      <c r="V166" s="21">
        <v>1</v>
      </c>
      <c r="W166" s="21">
        <f t="shared" si="84"/>
        <v>2</v>
      </c>
      <c r="X166" s="15"/>
      <c r="Y166" s="21">
        <v>0</v>
      </c>
      <c r="Z166" s="21">
        <v>0</v>
      </c>
      <c r="AA166" s="21">
        <v>0</v>
      </c>
      <c r="AB166" s="21">
        <v>1</v>
      </c>
      <c r="AC166" s="21">
        <f t="shared" si="85"/>
        <v>1</v>
      </c>
      <c r="AD166" s="15"/>
      <c r="AE166" s="21">
        <v>0</v>
      </c>
      <c r="AF166" s="21">
        <v>0</v>
      </c>
      <c r="AG166" s="21">
        <v>0</v>
      </c>
      <c r="AH166" s="21">
        <v>1</v>
      </c>
      <c r="AI166" s="21">
        <f t="shared" si="86"/>
        <v>1</v>
      </c>
      <c r="AK166" s="128">
        <v>0</v>
      </c>
      <c r="AL166">
        <v>0</v>
      </c>
      <c r="AM166">
        <v>0</v>
      </c>
      <c r="AN166">
        <v>1</v>
      </c>
      <c r="AO166" s="21">
        <f t="shared" si="87"/>
        <v>1</v>
      </c>
      <c r="AQ166">
        <v>0</v>
      </c>
      <c r="AR166">
        <v>0</v>
      </c>
      <c r="AS166">
        <v>0</v>
      </c>
      <c r="AT166">
        <v>1</v>
      </c>
      <c r="AU166" s="21">
        <f t="shared" si="82"/>
        <v>1</v>
      </c>
    </row>
    <row r="167" spans="1:47" x14ac:dyDescent="0.2">
      <c r="A167" s="12">
        <v>4</v>
      </c>
      <c r="B167" s="12" t="s">
        <v>181</v>
      </c>
      <c r="C167" s="12" t="s">
        <v>26</v>
      </c>
      <c r="D167" s="12">
        <v>29.09</v>
      </c>
      <c r="E167" s="12">
        <v>1997</v>
      </c>
      <c r="F167" s="15"/>
      <c r="G167" s="15"/>
      <c r="H167" s="15"/>
      <c r="I167" s="15"/>
      <c r="J167" s="15"/>
      <c r="K167" s="15"/>
      <c r="L167" s="15"/>
      <c r="M167" s="21">
        <v>0</v>
      </c>
      <c r="N167" s="21">
        <v>0</v>
      </c>
      <c r="O167" s="21">
        <v>1</v>
      </c>
      <c r="P167" s="21">
        <v>1</v>
      </c>
      <c r="Q167" s="21">
        <f t="shared" si="83"/>
        <v>2</v>
      </c>
      <c r="R167" s="15"/>
      <c r="S167" s="21">
        <v>0</v>
      </c>
      <c r="T167" s="21">
        <v>0</v>
      </c>
      <c r="U167" s="21">
        <v>1</v>
      </c>
      <c r="V167" s="21">
        <v>1</v>
      </c>
      <c r="W167" s="21">
        <f t="shared" si="84"/>
        <v>2</v>
      </c>
      <c r="X167" s="15"/>
      <c r="Y167" s="21">
        <v>0</v>
      </c>
      <c r="Z167" s="21">
        <v>0</v>
      </c>
      <c r="AA167" s="21">
        <v>0</v>
      </c>
      <c r="AB167" s="21">
        <v>1</v>
      </c>
      <c r="AC167" s="21">
        <f t="shared" si="85"/>
        <v>1</v>
      </c>
      <c r="AD167" s="15"/>
      <c r="AE167" s="21">
        <v>0</v>
      </c>
      <c r="AF167" s="21">
        <v>0</v>
      </c>
      <c r="AG167" s="21">
        <v>2</v>
      </c>
      <c r="AH167" s="21">
        <v>0</v>
      </c>
      <c r="AI167" s="21">
        <f t="shared" si="86"/>
        <v>2</v>
      </c>
      <c r="AK167" s="128">
        <v>0</v>
      </c>
      <c r="AL167">
        <v>0</v>
      </c>
      <c r="AM167">
        <v>3</v>
      </c>
      <c r="AN167">
        <v>0</v>
      </c>
      <c r="AO167" s="21">
        <f t="shared" si="87"/>
        <v>3</v>
      </c>
      <c r="AQ167">
        <v>1</v>
      </c>
      <c r="AR167">
        <v>0</v>
      </c>
      <c r="AS167">
        <v>3</v>
      </c>
      <c r="AT167">
        <v>0</v>
      </c>
      <c r="AU167" s="21">
        <f t="shared" si="82"/>
        <v>4</v>
      </c>
    </row>
    <row r="168" spans="1:47" x14ac:dyDescent="0.2">
      <c r="A168" s="12">
        <v>4</v>
      </c>
      <c r="B168" s="12" t="s">
        <v>182</v>
      </c>
      <c r="C168" s="12" t="s">
        <v>26</v>
      </c>
      <c r="D168" s="12">
        <v>29.76</v>
      </c>
      <c r="E168" s="12">
        <v>1997</v>
      </c>
      <c r="F168" s="15"/>
      <c r="G168" s="15"/>
      <c r="H168" s="15"/>
      <c r="I168" s="15"/>
      <c r="J168" s="15"/>
      <c r="K168" s="15"/>
      <c r="L168" s="15"/>
      <c r="M168" s="21">
        <v>0</v>
      </c>
      <c r="N168" s="21">
        <v>0</v>
      </c>
      <c r="O168" s="21">
        <v>5</v>
      </c>
      <c r="P168" s="21">
        <v>1</v>
      </c>
      <c r="Q168" s="21">
        <f t="shared" si="83"/>
        <v>6</v>
      </c>
      <c r="R168" s="15"/>
      <c r="S168" s="21">
        <v>0</v>
      </c>
      <c r="T168" s="21">
        <v>1</v>
      </c>
      <c r="U168" s="21">
        <v>0</v>
      </c>
      <c r="V168" s="21">
        <v>1</v>
      </c>
      <c r="W168" s="21">
        <f t="shared" si="84"/>
        <v>2</v>
      </c>
      <c r="X168" s="15"/>
      <c r="Y168" s="21">
        <v>0</v>
      </c>
      <c r="Z168" s="21">
        <v>1</v>
      </c>
      <c r="AA168" s="21">
        <v>0</v>
      </c>
      <c r="AB168" s="21">
        <v>1</v>
      </c>
      <c r="AC168" s="21">
        <f t="shared" si="85"/>
        <v>2</v>
      </c>
      <c r="AD168" s="15">
        <v>1</v>
      </c>
      <c r="AE168" s="21">
        <v>0</v>
      </c>
      <c r="AF168" s="21">
        <v>0</v>
      </c>
      <c r="AG168" s="21">
        <v>0</v>
      </c>
      <c r="AH168" s="21">
        <v>0</v>
      </c>
      <c r="AI168" s="21">
        <f t="shared" si="86"/>
        <v>0</v>
      </c>
      <c r="AJ168">
        <v>1</v>
      </c>
      <c r="AK168" s="128">
        <v>0</v>
      </c>
      <c r="AL168">
        <v>0</v>
      </c>
      <c r="AM168">
        <v>0</v>
      </c>
      <c r="AN168">
        <v>0</v>
      </c>
      <c r="AO168" s="21">
        <f t="shared" si="87"/>
        <v>0</v>
      </c>
      <c r="AP168" t="s">
        <v>468</v>
      </c>
      <c r="AQ168">
        <v>0</v>
      </c>
      <c r="AR168">
        <v>0</v>
      </c>
      <c r="AS168">
        <v>0</v>
      </c>
      <c r="AT168">
        <v>1</v>
      </c>
      <c r="AU168" s="21">
        <f t="shared" si="82"/>
        <v>1</v>
      </c>
    </row>
    <row r="169" spans="1:47" x14ac:dyDescent="0.2">
      <c r="A169" s="12">
        <v>4</v>
      </c>
      <c r="B169" s="12" t="s">
        <v>183</v>
      </c>
      <c r="C169" s="12" t="s">
        <v>26</v>
      </c>
      <c r="D169" s="12">
        <v>29.74</v>
      </c>
      <c r="E169" s="12">
        <v>1997</v>
      </c>
      <c r="F169" s="15"/>
      <c r="G169" s="15"/>
      <c r="H169" s="15"/>
      <c r="I169" s="15"/>
      <c r="J169" s="15"/>
      <c r="K169" s="15"/>
      <c r="L169" s="15"/>
      <c r="M169" s="21">
        <v>0</v>
      </c>
      <c r="N169" s="21">
        <v>0</v>
      </c>
      <c r="O169" s="21">
        <v>0</v>
      </c>
      <c r="P169" s="21">
        <v>1</v>
      </c>
      <c r="Q169" s="21">
        <f t="shared" si="83"/>
        <v>1</v>
      </c>
      <c r="R169" s="15">
        <v>1</v>
      </c>
      <c r="S169" s="21">
        <v>0</v>
      </c>
      <c r="T169" s="21">
        <v>0</v>
      </c>
      <c r="U169" s="21">
        <v>0</v>
      </c>
      <c r="V169" s="21">
        <v>0</v>
      </c>
      <c r="W169" s="21">
        <f t="shared" si="84"/>
        <v>0</v>
      </c>
      <c r="X169" s="15"/>
      <c r="Y169" s="21">
        <v>0</v>
      </c>
      <c r="Z169" s="21">
        <v>0</v>
      </c>
      <c r="AA169" s="21">
        <v>0</v>
      </c>
      <c r="AB169" s="21">
        <v>1</v>
      </c>
      <c r="AC169" s="21">
        <f t="shared" si="85"/>
        <v>1</v>
      </c>
      <c r="AD169" s="15"/>
      <c r="AE169" s="21">
        <v>0</v>
      </c>
      <c r="AF169" s="21">
        <v>0</v>
      </c>
      <c r="AG169" s="21">
        <v>0</v>
      </c>
      <c r="AH169" s="21">
        <v>1</v>
      </c>
      <c r="AI169" s="21">
        <f t="shared" si="86"/>
        <v>1</v>
      </c>
      <c r="AK169" s="128">
        <v>0</v>
      </c>
      <c r="AL169">
        <v>0</v>
      </c>
      <c r="AM169">
        <v>0</v>
      </c>
      <c r="AN169">
        <v>1</v>
      </c>
      <c r="AO169" s="21">
        <f t="shared" si="87"/>
        <v>1</v>
      </c>
      <c r="AQ169">
        <v>0</v>
      </c>
      <c r="AR169">
        <v>0</v>
      </c>
      <c r="AS169">
        <v>0</v>
      </c>
      <c r="AT169">
        <v>1</v>
      </c>
      <c r="AU169" s="21">
        <f t="shared" si="82"/>
        <v>1</v>
      </c>
    </row>
    <row r="170" spans="1:47" x14ac:dyDescent="0.2">
      <c r="A170" s="12">
        <v>4</v>
      </c>
      <c r="B170" s="12" t="s">
        <v>184</v>
      </c>
      <c r="C170" s="12" t="s">
        <v>26</v>
      </c>
      <c r="D170" s="12">
        <v>29.93</v>
      </c>
      <c r="E170" s="12">
        <v>1997</v>
      </c>
      <c r="F170" s="15"/>
      <c r="G170" s="15"/>
      <c r="H170" s="15"/>
      <c r="I170" s="15"/>
      <c r="J170" s="15"/>
      <c r="K170" s="15"/>
      <c r="L170" s="15"/>
      <c r="M170" s="21">
        <v>0</v>
      </c>
      <c r="N170" s="21">
        <v>0</v>
      </c>
      <c r="O170" s="21">
        <v>0</v>
      </c>
      <c r="P170" s="21">
        <v>1</v>
      </c>
      <c r="Q170" s="21">
        <f t="shared" si="83"/>
        <v>1</v>
      </c>
      <c r="R170" s="15">
        <v>1</v>
      </c>
      <c r="S170" s="21">
        <v>0</v>
      </c>
      <c r="T170" s="21">
        <v>0</v>
      </c>
      <c r="U170" s="21">
        <v>0</v>
      </c>
      <c r="V170" s="21">
        <v>0</v>
      </c>
      <c r="W170" s="21">
        <f t="shared" si="84"/>
        <v>0</v>
      </c>
      <c r="X170" s="15">
        <v>1</v>
      </c>
      <c r="Y170" s="21">
        <v>0</v>
      </c>
      <c r="Z170" s="21">
        <v>0</v>
      </c>
      <c r="AA170" s="21">
        <v>0</v>
      </c>
      <c r="AB170" s="21">
        <v>0</v>
      </c>
      <c r="AC170" s="21">
        <f t="shared" si="85"/>
        <v>0</v>
      </c>
      <c r="AD170" s="15">
        <v>1</v>
      </c>
      <c r="AE170" s="21">
        <v>0</v>
      </c>
      <c r="AF170" s="21">
        <v>0</v>
      </c>
      <c r="AG170" s="21">
        <v>0</v>
      </c>
      <c r="AH170" s="21">
        <v>0</v>
      </c>
      <c r="AI170" s="21">
        <f t="shared" si="86"/>
        <v>0</v>
      </c>
      <c r="AJ170">
        <v>1</v>
      </c>
      <c r="AK170" s="128">
        <v>0</v>
      </c>
      <c r="AL170">
        <v>0</v>
      </c>
      <c r="AM170">
        <v>0</v>
      </c>
      <c r="AN170">
        <v>0</v>
      </c>
      <c r="AO170" s="21">
        <f t="shared" si="87"/>
        <v>0</v>
      </c>
      <c r="AP170" t="s">
        <v>468</v>
      </c>
      <c r="AQ170">
        <v>0</v>
      </c>
      <c r="AR170">
        <v>0</v>
      </c>
      <c r="AS170">
        <v>0</v>
      </c>
      <c r="AT170">
        <v>1</v>
      </c>
      <c r="AU170" s="21">
        <f t="shared" si="82"/>
        <v>1</v>
      </c>
    </row>
    <row r="171" spans="1:47" x14ac:dyDescent="0.2">
      <c r="A171" s="12">
        <v>4</v>
      </c>
      <c r="B171" s="12" t="s">
        <v>185</v>
      </c>
      <c r="C171" s="12" t="s">
        <v>26</v>
      </c>
      <c r="D171" s="12">
        <v>27.65</v>
      </c>
      <c r="E171" s="12">
        <v>1997</v>
      </c>
      <c r="F171" s="15"/>
      <c r="G171" s="15"/>
      <c r="H171" s="15"/>
      <c r="I171" s="15"/>
      <c r="J171" s="15"/>
      <c r="K171" s="15"/>
      <c r="L171" s="15"/>
      <c r="M171" s="21">
        <v>0</v>
      </c>
      <c r="N171" s="21">
        <v>0</v>
      </c>
      <c r="O171" s="21">
        <v>0</v>
      </c>
      <c r="P171" s="21">
        <v>1</v>
      </c>
      <c r="Q171" s="21">
        <f t="shared" si="83"/>
        <v>1</v>
      </c>
      <c r="R171" s="15"/>
      <c r="S171" s="21">
        <v>1</v>
      </c>
      <c r="T171" s="21">
        <v>0</v>
      </c>
      <c r="U171" s="21">
        <v>2</v>
      </c>
      <c r="V171" s="21">
        <v>1</v>
      </c>
      <c r="W171" s="21">
        <f t="shared" si="84"/>
        <v>4</v>
      </c>
      <c r="X171" s="15"/>
      <c r="Y171" s="21">
        <v>0</v>
      </c>
      <c r="Z171" s="21">
        <v>0</v>
      </c>
      <c r="AA171" s="21">
        <v>0</v>
      </c>
      <c r="AB171" s="21">
        <v>1</v>
      </c>
      <c r="AC171" s="21">
        <f t="shared" si="85"/>
        <v>1</v>
      </c>
      <c r="AD171" s="15"/>
      <c r="AE171" s="21">
        <v>0</v>
      </c>
      <c r="AF171" s="21">
        <v>0</v>
      </c>
      <c r="AG171" s="21">
        <v>0</v>
      </c>
      <c r="AH171" s="21">
        <v>1</v>
      </c>
      <c r="AI171" s="21">
        <f t="shared" si="86"/>
        <v>1</v>
      </c>
      <c r="AK171" s="128">
        <v>0</v>
      </c>
      <c r="AL171">
        <v>0</v>
      </c>
      <c r="AM171">
        <v>0</v>
      </c>
      <c r="AN171">
        <v>1</v>
      </c>
      <c r="AO171" s="21">
        <f t="shared" si="87"/>
        <v>1</v>
      </c>
      <c r="AQ171">
        <v>0</v>
      </c>
      <c r="AR171">
        <v>0</v>
      </c>
      <c r="AS171">
        <v>0</v>
      </c>
      <c r="AT171">
        <v>1</v>
      </c>
      <c r="AU171" s="21">
        <f t="shared" si="82"/>
        <v>1</v>
      </c>
    </row>
    <row r="172" spans="1:47" x14ac:dyDescent="0.2">
      <c r="A172" s="12">
        <v>4</v>
      </c>
      <c r="B172" s="12" t="s">
        <v>186</v>
      </c>
      <c r="C172" s="12" t="s">
        <v>26</v>
      </c>
      <c r="D172" s="12">
        <v>30.55</v>
      </c>
      <c r="E172" s="12">
        <v>1997</v>
      </c>
      <c r="F172" s="15"/>
      <c r="G172" s="15"/>
      <c r="H172" s="15"/>
      <c r="I172" s="15"/>
      <c r="J172" s="15"/>
      <c r="K172" s="15"/>
      <c r="L172" s="15"/>
      <c r="M172" s="21">
        <v>0</v>
      </c>
      <c r="N172" s="21">
        <v>0</v>
      </c>
      <c r="O172" s="21">
        <v>0</v>
      </c>
      <c r="P172" s="21">
        <v>1</v>
      </c>
      <c r="Q172" s="21">
        <f t="shared" si="83"/>
        <v>1</v>
      </c>
      <c r="R172" s="15"/>
      <c r="S172" s="21">
        <v>1</v>
      </c>
      <c r="T172" s="21">
        <v>1</v>
      </c>
      <c r="U172" s="21">
        <v>0</v>
      </c>
      <c r="V172" s="21">
        <v>1</v>
      </c>
      <c r="W172" s="21">
        <f t="shared" si="84"/>
        <v>3</v>
      </c>
      <c r="X172" s="15"/>
      <c r="Y172" s="21">
        <v>0</v>
      </c>
      <c r="Z172" s="21">
        <v>0</v>
      </c>
      <c r="AA172" s="21">
        <v>5</v>
      </c>
      <c r="AB172" s="21">
        <v>1</v>
      </c>
      <c r="AC172" s="21">
        <f t="shared" si="85"/>
        <v>6</v>
      </c>
      <c r="AD172" s="15"/>
      <c r="AE172" s="21">
        <v>0</v>
      </c>
      <c r="AF172" s="21">
        <v>5</v>
      </c>
      <c r="AG172" s="21">
        <v>0</v>
      </c>
      <c r="AH172" s="21">
        <v>0</v>
      </c>
      <c r="AI172" s="21">
        <f t="shared" si="86"/>
        <v>5</v>
      </c>
      <c r="AK172" s="128">
        <v>0</v>
      </c>
      <c r="AL172">
        <v>3</v>
      </c>
      <c r="AM172">
        <v>0</v>
      </c>
      <c r="AN172">
        <v>0</v>
      </c>
      <c r="AO172" s="21">
        <f t="shared" si="87"/>
        <v>3</v>
      </c>
      <c r="AQ172">
        <v>0</v>
      </c>
      <c r="AR172">
        <v>2</v>
      </c>
      <c r="AS172">
        <v>0</v>
      </c>
      <c r="AT172">
        <v>0</v>
      </c>
      <c r="AU172" s="21">
        <f t="shared" si="82"/>
        <v>2</v>
      </c>
    </row>
    <row r="173" spans="1:47" ht="15" customHeight="1" x14ac:dyDescent="0.2">
      <c r="A173" s="12">
        <v>4</v>
      </c>
      <c r="B173" s="12" t="s">
        <v>187</v>
      </c>
      <c r="C173" s="12" t="s">
        <v>26</v>
      </c>
      <c r="D173" s="12">
        <v>31.22</v>
      </c>
      <c r="E173" s="12">
        <v>1997</v>
      </c>
      <c r="F173" s="15"/>
      <c r="G173" s="15"/>
      <c r="H173" s="15"/>
      <c r="I173" s="15"/>
      <c r="J173" s="15"/>
      <c r="K173" s="15"/>
      <c r="L173" s="15">
        <v>1</v>
      </c>
      <c r="M173" s="21">
        <v>0</v>
      </c>
      <c r="N173" s="21">
        <v>0</v>
      </c>
      <c r="O173" s="21">
        <v>0</v>
      </c>
      <c r="P173" s="21">
        <v>0</v>
      </c>
      <c r="Q173" s="21">
        <f t="shared" si="83"/>
        <v>0</v>
      </c>
      <c r="R173" s="15"/>
      <c r="S173" s="21">
        <v>1</v>
      </c>
      <c r="T173" s="21">
        <v>0</v>
      </c>
      <c r="U173" s="21">
        <v>0</v>
      </c>
      <c r="V173" s="21">
        <v>1</v>
      </c>
      <c r="W173" s="21">
        <f t="shared" si="84"/>
        <v>2</v>
      </c>
      <c r="X173" s="15"/>
      <c r="Y173" s="21">
        <v>0</v>
      </c>
      <c r="Z173" s="21">
        <v>0</v>
      </c>
      <c r="AA173" s="21">
        <v>0</v>
      </c>
      <c r="AB173" s="21">
        <v>1</v>
      </c>
      <c r="AC173" s="21">
        <f t="shared" si="85"/>
        <v>1</v>
      </c>
      <c r="AD173" s="15"/>
      <c r="AE173" s="21">
        <v>0</v>
      </c>
      <c r="AF173" s="21">
        <v>0</v>
      </c>
      <c r="AG173" s="21">
        <v>0</v>
      </c>
      <c r="AH173" s="21">
        <v>1</v>
      </c>
      <c r="AI173" s="21">
        <f t="shared" si="86"/>
        <v>1</v>
      </c>
      <c r="AK173" s="128">
        <v>0</v>
      </c>
      <c r="AL173">
        <v>0</v>
      </c>
      <c r="AM173">
        <v>0</v>
      </c>
      <c r="AN173">
        <v>1</v>
      </c>
      <c r="AO173" s="21">
        <f t="shared" si="87"/>
        <v>1</v>
      </c>
      <c r="AQ173">
        <v>0</v>
      </c>
      <c r="AR173">
        <v>0</v>
      </c>
      <c r="AS173">
        <v>0</v>
      </c>
      <c r="AT173">
        <v>1</v>
      </c>
      <c r="AU173" s="21">
        <f t="shared" si="82"/>
        <v>1</v>
      </c>
    </row>
    <row r="174" spans="1:47" x14ac:dyDescent="0.2">
      <c r="A174" s="12">
        <v>4</v>
      </c>
      <c r="B174" s="12" t="s">
        <v>188</v>
      </c>
      <c r="C174" s="12" t="s">
        <v>26</v>
      </c>
      <c r="D174" s="12">
        <v>28.55</v>
      </c>
      <c r="E174" s="12">
        <v>1997</v>
      </c>
      <c r="F174" s="15"/>
      <c r="G174" s="15"/>
      <c r="H174" s="15"/>
      <c r="I174" s="15"/>
      <c r="J174" s="15"/>
      <c r="K174" s="15"/>
      <c r="L174" s="15"/>
      <c r="M174" s="21">
        <v>0</v>
      </c>
      <c r="N174" s="21">
        <v>0</v>
      </c>
      <c r="O174" s="21">
        <v>0</v>
      </c>
      <c r="P174" s="15">
        <v>1</v>
      </c>
      <c r="Q174" s="21">
        <f t="shared" si="83"/>
        <v>1</v>
      </c>
      <c r="R174" s="15"/>
      <c r="S174" s="21">
        <v>2</v>
      </c>
      <c r="T174" s="21">
        <v>0</v>
      </c>
      <c r="U174" s="21">
        <v>1</v>
      </c>
      <c r="V174" s="21">
        <v>1</v>
      </c>
      <c r="W174" s="21">
        <f t="shared" si="84"/>
        <v>4</v>
      </c>
      <c r="X174" s="15"/>
      <c r="Y174" s="21">
        <v>0</v>
      </c>
      <c r="Z174" s="21">
        <v>0</v>
      </c>
      <c r="AA174" s="21">
        <v>0</v>
      </c>
      <c r="AB174" s="21">
        <v>1</v>
      </c>
      <c r="AC174" s="21">
        <f t="shared" si="85"/>
        <v>1</v>
      </c>
      <c r="AD174" s="15"/>
      <c r="AE174" s="21">
        <v>0</v>
      </c>
      <c r="AF174" s="21">
        <v>0</v>
      </c>
      <c r="AG174" s="21">
        <v>1</v>
      </c>
      <c r="AH174" s="21">
        <v>0</v>
      </c>
      <c r="AI174" s="21">
        <f t="shared" si="86"/>
        <v>1</v>
      </c>
      <c r="AK174" s="128">
        <v>0</v>
      </c>
      <c r="AL174">
        <v>0</v>
      </c>
      <c r="AM174">
        <v>0</v>
      </c>
      <c r="AN174">
        <v>1</v>
      </c>
      <c r="AO174" s="21">
        <f t="shared" si="87"/>
        <v>1</v>
      </c>
      <c r="AQ174">
        <v>0</v>
      </c>
      <c r="AR174">
        <v>0</v>
      </c>
      <c r="AS174">
        <v>0</v>
      </c>
      <c r="AT174">
        <v>1</v>
      </c>
      <c r="AU174" s="21">
        <f t="shared" si="82"/>
        <v>1</v>
      </c>
    </row>
    <row r="175" spans="1:47" ht="15" customHeight="1" x14ac:dyDescent="0.2">
      <c r="A175" s="12">
        <v>4</v>
      </c>
      <c r="B175" s="12" t="s">
        <v>189</v>
      </c>
      <c r="C175" s="12" t="s">
        <v>26</v>
      </c>
      <c r="D175" s="12">
        <v>26.15</v>
      </c>
      <c r="E175" s="12">
        <v>1997</v>
      </c>
      <c r="F175" s="15"/>
      <c r="G175" s="15"/>
      <c r="H175" s="15"/>
      <c r="I175" s="15"/>
      <c r="J175" s="15"/>
      <c r="K175" s="15"/>
      <c r="L175" s="15">
        <v>1</v>
      </c>
      <c r="M175" s="21">
        <v>0</v>
      </c>
      <c r="N175" s="21">
        <v>0</v>
      </c>
      <c r="O175" s="21">
        <v>0</v>
      </c>
      <c r="P175" s="21">
        <v>0</v>
      </c>
      <c r="Q175" s="21">
        <f t="shared" si="83"/>
        <v>0</v>
      </c>
      <c r="R175" s="15"/>
      <c r="S175" s="21">
        <v>1</v>
      </c>
      <c r="T175" s="21">
        <v>0</v>
      </c>
      <c r="U175" s="21">
        <v>0</v>
      </c>
      <c r="V175" s="21">
        <v>1</v>
      </c>
      <c r="W175" s="21">
        <f t="shared" si="84"/>
        <v>2</v>
      </c>
      <c r="X175" s="15"/>
      <c r="Y175" s="21">
        <v>0</v>
      </c>
      <c r="Z175" s="21">
        <v>0</v>
      </c>
      <c r="AA175" s="21">
        <v>1</v>
      </c>
      <c r="AB175" s="21">
        <v>1</v>
      </c>
      <c r="AC175" s="21">
        <f t="shared" si="85"/>
        <v>2</v>
      </c>
      <c r="AD175" s="15"/>
      <c r="AE175" s="21">
        <v>0</v>
      </c>
      <c r="AF175" s="21">
        <v>0</v>
      </c>
      <c r="AG175" s="21">
        <v>0</v>
      </c>
      <c r="AH175" s="21">
        <v>1</v>
      </c>
      <c r="AI175" s="21">
        <f t="shared" si="86"/>
        <v>1</v>
      </c>
      <c r="AK175" s="128">
        <v>0</v>
      </c>
      <c r="AL175">
        <v>0</v>
      </c>
      <c r="AM175">
        <v>1</v>
      </c>
      <c r="AN175">
        <v>0</v>
      </c>
      <c r="AO175" s="21">
        <f t="shared" si="87"/>
        <v>1</v>
      </c>
      <c r="AQ175">
        <v>0</v>
      </c>
      <c r="AR175">
        <v>0</v>
      </c>
      <c r="AS175">
        <v>1</v>
      </c>
      <c r="AT175">
        <v>0</v>
      </c>
      <c r="AU175" s="21">
        <f t="shared" si="82"/>
        <v>1</v>
      </c>
    </row>
    <row r="176" spans="1:47" ht="15" customHeight="1" x14ac:dyDescent="0.2">
      <c r="A176" s="12">
        <v>4</v>
      </c>
      <c r="B176" s="12" t="s">
        <v>190</v>
      </c>
      <c r="C176" s="12" t="s">
        <v>26</v>
      </c>
      <c r="D176" s="12">
        <v>25.94</v>
      </c>
      <c r="E176" s="12">
        <v>1997</v>
      </c>
      <c r="F176" s="15"/>
      <c r="G176" s="15"/>
      <c r="H176" s="15"/>
      <c r="I176" s="15"/>
      <c r="J176" s="15"/>
      <c r="K176" s="15"/>
      <c r="L176" s="15">
        <v>1</v>
      </c>
      <c r="M176" s="21">
        <v>0</v>
      </c>
      <c r="N176" s="21">
        <v>0</v>
      </c>
      <c r="O176" s="21">
        <v>0</v>
      </c>
      <c r="P176" s="21">
        <v>0</v>
      </c>
      <c r="Q176" s="21">
        <f t="shared" si="83"/>
        <v>0</v>
      </c>
      <c r="R176" s="15">
        <v>1</v>
      </c>
      <c r="S176" s="21">
        <v>0</v>
      </c>
      <c r="T176" s="21">
        <v>0</v>
      </c>
      <c r="U176" s="21">
        <v>0</v>
      </c>
      <c r="V176" s="21">
        <v>0</v>
      </c>
      <c r="W176" s="21">
        <f t="shared" si="84"/>
        <v>0</v>
      </c>
      <c r="X176" s="15"/>
      <c r="Y176" s="21">
        <v>1</v>
      </c>
      <c r="Z176" s="21">
        <v>0</v>
      </c>
      <c r="AA176" s="21">
        <v>0</v>
      </c>
      <c r="AB176" s="21">
        <v>1</v>
      </c>
      <c r="AC176" s="21">
        <f t="shared" si="85"/>
        <v>2</v>
      </c>
      <c r="AD176" s="15"/>
      <c r="AE176" s="21">
        <v>0</v>
      </c>
      <c r="AF176" s="21">
        <v>0</v>
      </c>
      <c r="AG176" s="21">
        <v>0</v>
      </c>
      <c r="AH176" s="21">
        <v>0</v>
      </c>
      <c r="AI176" s="21">
        <f t="shared" si="86"/>
        <v>0</v>
      </c>
      <c r="AK176" s="128">
        <v>0</v>
      </c>
      <c r="AL176">
        <v>0</v>
      </c>
      <c r="AM176">
        <v>0</v>
      </c>
      <c r="AN176">
        <v>0</v>
      </c>
      <c r="AO176" s="21">
        <f t="shared" si="87"/>
        <v>0</v>
      </c>
      <c r="AQ176">
        <v>0</v>
      </c>
      <c r="AR176">
        <v>0</v>
      </c>
      <c r="AS176">
        <v>0</v>
      </c>
      <c r="AT176">
        <v>0</v>
      </c>
      <c r="AU176" s="21">
        <f t="shared" si="82"/>
        <v>0</v>
      </c>
    </row>
    <row r="177" spans="1:47" x14ac:dyDescent="0.2">
      <c r="A177" s="131" t="s">
        <v>71</v>
      </c>
      <c r="B177" s="131"/>
      <c r="C177" s="131"/>
      <c r="D177" s="13">
        <f>SUM(D135:D176)</f>
        <v>1083.4700000000003</v>
      </c>
      <c r="E177" s="13"/>
      <c r="F177" s="22"/>
      <c r="G177" s="22"/>
      <c r="H177" s="22"/>
      <c r="I177" s="22"/>
      <c r="J177" s="22"/>
      <c r="K177" s="22"/>
      <c r="L177" s="22">
        <f>SUM(L138:L176)</f>
        <v>9</v>
      </c>
      <c r="M177" s="22">
        <f t="shared" ref="M177" si="88">SUM(M138:M176)</f>
        <v>10</v>
      </c>
      <c r="N177" s="22">
        <f t="shared" ref="N177" si="89">SUM(N138:N176)</f>
        <v>5</v>
      </c>
      <c r="O177" s="22">
        <f t="shared" ref="O177" si="90">SUM(O138:O176)</f>
        <v>12</v>
      </c>
      <c r="P177" s="22">
        <f t="shared" ref="P177" si="91">SUM(P138:P176)</f>
        <v>30</v>
      </c>
      <c r="Q177" s="22">
        <f t="shared" ref="Q177" si="92">SUM(Q138:Q176)</f>
        <v>57</v>
      </c>
      <c r="R177" s="22">
        <f t="shared" ref="R177" si="93">SUM(R138:R176)</f>
        <v>10</v>
      </c>
      <c r="S177" s="22">
        <f t="shared" ref="S177" si="94">SUM(S138:S176)</f>
        <v>26</v>
      </c>
      <c r="T177" s="22">
        <f t="shared" ref="T177" si="95">SUM(T138:T176)</f>
        <v>6</v>
      </c>
      <c r="U177" s="22">
        <f t="shared" ref="U177" si="96">SUM(U138:U176)</f>
        <v>22</v>
      </c>
      <c r="V177" s="22">
        <f t="shared" ref="V177" si="97">SUM(V138:V176)</f>
        <v>29</v>
      </c>
      <c r="W177" s="22">
        <f t="shared" ref="W177" si="98">SUM(W138:W176)</f>
        <v>83</v>
      </c>
      <c r="X177" s="22">
        <f t="shared" ref="X177" si="99">SUM(X138:X176)</f>
        <v>8</v>
      </c>
      <c r="Y177" s="22">
        <f t="shared" ref="Y177" si="100">SUM(Y138:Y176)</f>
        <v>4</v>
      </c>
      <c r="Z177" s="22">
        <f t="shared" ref="Z177" si="101">SUM(Z138:Z176)</f>
        <v>5</v>
      </c>
      <c r="AA177" s="22">
        <f t="shared" ref="AA177" si="102">SUM(AA138:AA176)</f>
        <v>15</v>
      </c>
      <c r="AB177" s="22">
        <f t="shared" ref="AB177" si="103">SUM(AB138:AB176)</f>
        <v>31</v>
      </c>
      <c r="AC177" s="22">
        <f t="shared" ref="AC177" si="104">SUM(AC138:AC176)</f>
        <v>55</v>
      </c>
      <c r="AD177" s="22">
        <f t="shared" ref="AD177" si="105">SUM(AD138:AD176)</f>
        <v>2</v>
      </c>
      <c r="AE177" s="22">
        <f t="shared" ref="AE177" si="106">SUM(AE138:AE176)</f>
        <v>7</v>
      </c>
      <c r="AF177" s="22">
        <f t="shared" ref="AF177" si="107">SUM(AF138:AF176)</f>
        <v>12</v>
      </c>
      <c r="AG177" s="22">
        <f t="shared" ref="AG177" si="108">SUM(AG138:AG176)</f>
        <v>29</v>
      </c>
      <c r="AH177" s="22">
        <f t="shared" ref="AH177" si="109">SUM(AH138:AH176)</f>
        <v>19</v>
      </c>
      <c r="AI177" s="22">
        <f t="shared" ref="AI177" si="110">SUM(AI138:AI176)</f>
        <v>67</v>
      </c>
      <c r="AJ177" s="22">
        <f t="shared" ref="AJ177" si="111">SUM(AJ138:AJ176)</f>
        <v>4</v>
      </c>
      <c r="AK177" s="22">
        <f t="shared" ref="AK177" si="112">SUM(AK138:AK176)</f>
        <v>2</v>
      </c>
      <c r="AL177" s="22">
        <f t="shared" ref="AL177" si="113">SUM(AL138:AL176)</f>
        <v>14</v>
      </c>
      <c r="AM177" s="22">
        <f t="shared" ref="AM177" si="114">SUM(AM138:AM176)</f>
        <v>29</v>
      </c>
      <c r="AN177" s="22">
        <f t="shared" ref="AN177" si="115">SUM(AN138:AN176)</f>
        <v>18</v>
      </c>
      <c r="AO177" s="22">
        <f t="shared" ref="AO177" si="116">SUM(AO138:AO176)</f>
        <v>63</v>
      </c>
      <c r="AP177" s="22">
        <f t="shared" ref="AP177" si="117">SUM(AP138:AP176)</f>
        <v>0</v>
      </c>
      <c r="AQ177" s="22">
        <f t="shared" ref="AQ177" si="118">SUM(AQ138:AQ176)</f>
        <v>7</v>
      </c>
      <c r="AR177" s="22">
        <f t="shared" ref="AR177" si="119">SUM(AR138:AR176)</f>
        <v>10</v>
      </c>
      <c r="AS177" s="22">
        <f t="shared" ref="AS177" si="120">SUM(AS138:AS176)</f>
        <v>16</v>
      </c>
      <c r="AT177" s="22">
        <f t="shared" ref="AT177" si="121">SUM(AT138:AT176)</f>
        <v>24</v>
      </c>
      <c r="AU177" s="22">
        <f t="shared" ref="AU177" si="122">SUM(AU138:AU176)</f>
        <v>57</v>
      </c>
    </row>
    <row r="178" spans="1:47" ht="15" customHeight="1" x14ac:dyDescent="0.2">
      <c r="A178" s="12">
        <v>5</v>
      </c>
      <c r="B178" s="12" t="s">
        <v>198</v>
      </c>
      <c r="C178" s="12" t="s">
        <v>26</v>
      </c>
      <c r="D178" s="12">
        <v>29.83</v>
      </c>
      <c r="E178" s="12">
        <v>1997</v>
      </c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21">
        <f t="shared" si="83"/>
        <v>0</v>
      </c>
      <c r="R178" s="15">
        <v>1</v>
      </c>
      <c r="S178" s="15"/>
      <c r="T178" s="15"/>
      <c r="U178" s="15"/>
      <c r="V178" s="15"/>
      <c r="W178" s="21">
        <f t="shared" si="84"/>
        <v>0</v>
      </c>
      <c r="X178" s="15">
        <v>1</v>
      </c>
      <c r="Y178" s="15"/>
      <c r="Z178" s="15"/>
      <c r="AA178" s="15"/>
      <c r="AB178" s="15"/>
      <c r="AC178" s="21">
        <f t="shared" si="85"/>
        <v>0</v>
      </c>
      <c r="AD178" s="15">
        <v>1</v>
      </c>
      <c r="AE178" s="15"/>
      <c r="AF178" s="15"/>
      <c r="AG178" s="15"/>
      <c r="AH178" s="15"/>
      <c r="AI178" s="21">
        <f t="shared" si="86"/>
        <v>0</v>
      </c>
      <c r="AK178" s="128"/>
      <c r="AO178" s="21">
        <f t="shared" si="87"/>
        <v>0</v>
      </c>
      <c r="AP178">
        <v>1</v>
      </c>
      <c r="AU178" s="21">
        <f t="shared" si="82"/>
        <v>0</v>
      </c>
    </row>
    <row r="179" spans="1:47" ht="15" customHeight="1" x14ac:dyDescent="0.2">
      <c r="A179" s="12">
        <v>5</v>
      </c>
      <c r="B179" s="12" t="s">
        <v>199</v>
      </c>
      <c r="C179" s="12" t="s">
        <v>26</v>
      </c>
      <c r="D179" s="12">
        <v>9.02</v>
      </c>
      <c r="E179" s="12">
        <v>1997</v>
      </c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21">
        <f t="shared" si="83"/>
        <v>0</v>
      </c>
      <c r="R179" s="15"/>
      <c r="S179" s="15"/>
      <c r="T179" s="15"/>
      <c r="U179" s="15"/>
      <c r="V179" s="15"/>
      <c r="W179" s="21">
        <f t="shared" si="84"/>
        <v>0</v>
      </c>
      <c r="X179" s="15"/>
      <c r="Y179" s="15"/>
      <c r="Z179" s="15"/>
      <c r="AA179" s="15"/>
      <c r="AB179" s="15"/>
      <c r="AC179" s="21">
        <f t="shared" si="85"/>
        <v>0</v>
      </c>
      <c r="AD179" s="15"/>
      <c r="AE179" s="15"/>
      <c r="AF179" s="15"/>
      <c r="AG179" s="15"/>
      <c r="AH179" s="15"/>
      <c r="AI179" s="21">
        <f t="shared" si="86"/>
        <v>0</v>
      </c>
      <c r="AK179" s="128"/>
      <c r="AO179" s="21">
        <f t="shared" si="87"/>
        <v>0</v>
      </c>
      <c r="AU179" s="21">
        <f t="shared" si="82"/>
        <v>0</v>
      </c>
    </row>
    <row r="180" spans="1:47" ht="15" customHeight="1" x14ac:dyDescent="0.2">
      <c r="A180" s="12">
        <v>5</v>
      </c>
      <c r="B180" s="12" t="s">
        <v>191</v>
      </c>
      <c r="C180" s="12" t="s">
        <v>26</v>
      </c>
      <c r="D180" s="12">
        <v>29.8</v>
      </c>
      <c r="E180" s="12">
        <v>1997</v>
      </c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21">
        <f t="shared" si="83"/>
        <v>0</v>
      </c>
      <c r="R180" s="15">
        <v>1</v>
      </c>
      <c r="S180" s="15"/>
      <c r="T180" s="15"/>
      <c r="U180" s="15"/>
      <c r="V180" s="15"/>
      <c r="W180" s="21">
        <f t="shared" si="84"/>
        <v>0</v>
      </c>
      <c r="X180" s="15">
        <v>1</v>
      </c>
      <c r="Y180" s="15"/>
      <c r="Z180" s="15"/>
      <c r="AA180" s="15"/>
      <c r="AB180" s="15"/>
      <c r="AC180" s="21">
        <f t="shared" si="85"/>
        <v>0</v>
      </c>
      <c r="AD180" s="15">
        <v>1</v>
      </c>
      <c r="AE180" s="15"/>
      <c r="AF180" s="15"/>
      <c r="AG180" s="15"/>
      <c r="AH180" s="15"/>
      <c r="AI180" s="21">
        <f t="shared" si="86"/>
        <v>0</v>
      </c>
      <c r="AK180" s="128"/>
      <c r="AO180" s="21">
        <f t="shared" si="87"/>
        <v>0</v>
      </c>
      <c r="AP180">
        <v>1</v>
      </c>
      <c r="AU180" s="21">
        <f t="shared" si="82"/>
        <v>0</v>
      </c>
    </row>
    <row r="181" spans="1:47" ht="15" customHeight="1" x14ac:dyDescent="0.2">
      <c r="A181" s="12">
        <v>5</v>
      </c>
      <c r="B181" s="12" t="s">
        <v>192</v>
      </c>
      <c r="C181" s="12" t="s">
        <v>26</v>
      </c>
      <c r="D181" s="12">
        <v>33.049999999999997</v>
      </c>
      <c r="E181" s="12">
        <v>1997</v>
      </c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21">
        <f t="shared" si="83"/>
        <v>0</v>
      </c>
      <c r="R181" s="15">
        <v>1</v>
      </c>
      <c r="S181" s="15"/>
      <c r="T181" s="15"/>
      <c r="U181" s="15"/>
      <c r="V181" s="15"/>
      <c r="W181" s="21">
        <f t="shared" si="84"/>
        <v>0</v>
      </c>
      <c r="X181" s="15">
        <v>1</v>
      </c>
      <c r="Y181" s="15"/>
      <c r="Z181" s="15"/>
      <c r="AA181" s="15"/>
      <c r="AB181" s="15"/>
      <c r="AC181" s="21">
        <f t="shared" si="85"/>
        <v>0</v>
      </c>
      <c r="AD181" s="15">
        <v>1</v>
      </c>
      <c r="AE181" s="15"/>
      <c r="AF181" s="15"/>
      <c r="AG181" s="15"/>
      <c r="AH181" s="15"/>
      <c r="AI181" s="21">
        <f t="shared" si="86"/>
        <v>0</v>
      </c>
      <c r="AK181" s="128"/>
      <c r="AO181" s="21">
        <f t="shared" si="87"/>
        <v>0</v>
      </c>
      <c r="AP181">
        <v>1</v>
      </c>
      <c r="AU181" s="21">
        <f t="shared" si="82"/>
        <v>0</v>
      </c>
    </row>
    <row r="182" spans="1:47" ht="15" customHeight="1" x14ac:dyDescent="0.2">
      <c r="A182" s="12">
        <v>5</v>
      </c>
      <c r="B182" s="12" t="s">
        <v>193</v>
      </c>
      <c r="C182" s="12" t="s">
        <v>26</v>
      </c>
      <c r="D182" s="12">
        <v>31.59</v>
      </c>
      <c r="E182" s="12">
        <v>1997</v>
      </c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21">
        <f t="shared" si="83"/>
        <v>0</v>
      </c>
      <c r="R182" s="15">
        <v>1</v>
      </c>
      <c r="S182" s="15"/>
      <c r="T182" s="15"/>
      <c r="U182" s="15"/>
      <c r="V182" s="15"/>
      <c r="W182" s="21">
        <f t="shared" si="84"/>
        <v>0</v>
      </c>
      <c r="X182" s="15">
        <v>1</v>
      </c>
      <c r="Y182" s="15"/>
      <c r="Z182" s="15"/>
      <c r="AA182" s="15"/>
      <c r="AB182" s="15"/>
      <c r="AC182" s="21">
        <f t="shared" si="85"/>
        <v>0</v>
      </c>
      <c r="AD182" s="15">
        <v>1</v>
      </c>
      <c r="AE182" s="15"/>
      <c r="AF182" s="15"/>
      <c r="AG182" s="15"/>
      <c r="AH182" s="15"/>
      <c r="AI182" s="21">
        <f t="shared" si="86"/>
        <v>0</v>
      </c>
      <c r="AK182" s="128"/>
      <c r="AO182" s="21">
        <f t="shared" si="87"/>
        <v>0</v>
      </c>
      <c r="AP182">
        <v>1</v>
      </c>
      <c r="AU182" s="21">
        <f t="shared" si="82"/>
        <v>0</v>
      </c>
    </row>
    <row r="183" spans="1:47" ht="15" customHeight="1" x14ac:dyDescent="0.2">
      <c r="A183" s="12">
        <v>5</v>
      </c>
      <c r="B183" s="12" t="s">
        <v>194</v>
      </c>
      <c r="C183" s="12" t="s">
        <v>26</v>
      </c>
      <c r="D183" s="12">
        <v>32.659999999999997</v>
      </c>
      <c r="E183" s="12">
        <v>1997</v>
      </c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21">
        <f t="shared" si="83"/>
        <v>0</v>
      </c>
      <c r="R183" s="15">
        <v>1</v>
      </c>
      <c r="S183" s="15"/>
      <c r="T183" s="15"/>
      <c r="U183" s="15"/>
      <c r="V183" s="15"/>
      <c r="W183" s="21">
        <f t="shared" si="84"/>
        <v>0</v>
      </c>
      <c r="X183" s="15">
        <v>1</v>
      </c>
      <c r="Y183" s="15"/>
      <c r="Z183" s="15"/>
      <c r="AA183" s="15"/>
      <c r="AB183" s="15"/>
      <c r="AC183" s="21">
        <f t="shared" si="85"/>
        <v>0</v>
      </c>
      <c r="AD183" s="15">
        <v>1</v>
      </c>
      <c r="AE183" s="15"/>
      <c r="AF183" s="15"/>
      <c r="AG183" s="15"/>
      <c r="AH183" s="15"/>
      <c r="AI183" s="21">
        <f t="shared" si="86"/>
        <v>0</v>
      </c>
      <c r="AK183" s="128"/>
      <c r="AO183" s="21">
        <f t="shared" si="87"/>
        <v>0</v>
      </c>
      <c r="AP183">
        <v>1</v>
      </c>
      <c r="AU183" s="21">
        <f t="shared" si="82"/>
        <v>0</v>
      </c>
    </row>
    <row r="184" spans="1:47" ht="15" customHeight="1" x14ac:dyDescent="0.2">
      <c r="A184" s="12">
        <v>5</v>
      </c>
      <c r="B184" s="12" t="s">
        <v>195</v>
      </c>
      <c r="C184" s="12" t="s">
        <v>26</v>
      </c>
      <c r="D184" s="12">
        <v>30.89</v>
      </c>
      <c r="E184" s="12">
        <v>1997</v>
      </c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21">
        <f t="shared" si="83"/>
        <v>0</v>
      </c>
      <c r="R184" s="15">
        <v>1</v>
      </c>
      <c r="S184" s="15"/>
      <c r="T184" s="15"/>
      <c r="U184" s="15"/>
      <c r="V184" s="15"/>
      <c r="W184" s="21">
        <f t="shared" si="84"/>
        <v>0</v>
      </c>
      <c r="X184" s="15">
        <v>1</v>
      </c>
      <c r="Y184" s="15"/>
      <c r="Z184" s="15"/>
      <c r="AA184" s="15"/>
      <c r="AB184" s="15"/>
      <c r="AC184" s="21">
        <f t="shared" si="85"/>
        <v>0</v>
      </c>
      <c r="AD184" s="15">
        <v>1</v>
      </c>
      <c r="AE184" s="15"/>
      <c r="AF184" s="15"/>
      <c r="AG184" s="15"/>
      <c r="AH184" s="15"/>
      <c r="AI184" s="21">
        <f t="shared" si="86"/>
        <v>0</v>
      </c>
      <c r="AK184" s="128"/>
      <c r="AO184" s="21">
        <f t="shared" si="87"/>
        <v>0</v>
      </c>
      <c r="AT184">
        <v>1</v>
      </c>
      <c r="AU184" s="21">
        <f t="shared" si="82"/>
        <v>1</v>
      </c>
    </row>
    <row r="185" spans="1:47" ht="15" customHeight="1" x14ac:dyDescent="0.2">
      <c r="A185" s="12">
        <v>5</v>
      </c>
      <c r="B185" s="12" t="s">
        <v>196</v>
      </c>
      <c r="C185" s="12" t="s">
        <v>26</v>
      </c>
      <c r="D185" s="12">
        <v>31.54</v>
      </c>
      <c r="E185" s="12">
        <v>1997</v>
      </c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21">
        <f t="shared" si="83"/>
        <v>0</v>
      </c>
      <c r="R185" s="15">
        <v>1</v>
      </c>
      <c r="S185" s="15"/>
      <c r="T185" s="15"/>
      <c r="U185" s="15"/>
      <c r="V185" s="15"/>
      <c r="W185" s="21">
        <f t="shared" si="84"/>
        <v>0</v>
      </c>
      <c r="X185" s="15">
        <v>1</v>
      </c>
      <c r="Y185" s="15"/>
      <c r="Z185" s="15"/>
      <c r="AA185" s="15"/>
      <c r="AB185" s="15"/>
      <c r="AC185" s="21">
        <f t="shared" si="85"/>
        <v>0</v>
      </c>
      <c r="AD185" s="15">
        <v>1</v>
      </c>
      <c r="AE185" s="15"/>
      <c r="AF185" s="15"/>
      <c r="AG185" s="15"/>
      <c r="AH185" s="15"/>
      <c r="AI185" s="21">
        <f t="shared" si="86"/>
        <v>0</v>
      </c>
      <c r="AK185" s="128"/>
      <c r="AO185" s="21">
        <f t="shared" si="87"/>
        <v>0</v>
      </c>
      <c r="AT185">
        <v>1</v>
      </c>
      <c r="AU185" s="21">
        <f t="shared" si="82"/>
        <v>1</v>
      </c>
    </row>
    <row r="186" spans="1:47" ht="15" customHeight="1" x14ac:dyDescent="0.2">
      <c r="A186" s="12">
        <v>5</v>
      </c>
      <c r="B186" s="12" t="s">
        <v>197</v>
      </c>
      <c r="C186" s="12" t="s">
        <v>26</v>
      </c>
      <c r="D186" s="12">
        <v>30.18</v>
      </c>
      <c r="E186" s="12">
        <v>1997</v>
      </c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21">
        <f t="shared" si="83"/>
        <v>0</v>
      </c>
      <c r="R186" s="15">
        <v>1</v>
      </c>
      <c r="S186" s="15"/>
      <c r="T186" s="15"/>
      <c r="U186" s="15"/>
      <c r="V186" s="15"/>
      <c r="W186" s="21">
        <f t="shared" si="84"/>
        <v>0</v>
      </c>
      <c r="X186" s="15">
        <v>1</v>
      </c>
      <c r="Y186" s="15"/>
      <c r="Z186" s="15"/>
      <c r="AA186" s="15"/>
      <c r="AB186" s="15"/>
      <c r="AC186" s="21">
        <f t="shared" si="85"/>
        <v>0</v>
      </c>
      <c r="AD186" s="15">
        <v>1</v>
      </c>
      <c r="AE186" s="15"/>
      <c r="AF186" s="15"/>
      <c r="AG186" s="15"/>
      <c r="AH186" s="15"/>
      <c r="AI186" s="21">
        <f t="shared" si="86"/>
        <v>0</v>
      </c>
      <c r="AK186" s="128"/>
      <c r="AO186" s="21">
        <f t="shared" si="87"/>
        <v>0</v>
      </c>
      <c r="AT186">
        <v>1</v>
      </c>
      <c r="AU186" s="21">
        <f t="shared" si="82"/>
        <v>1</v>
      </c>
    </row>
    <row r="187" spans="1:47" ht="15" customHeight="1" x14ac:dyDescent="0.2">
      <c r="A187" s="12">
        <v>5</v>
      </c>
      <c r="B187" s="12" t="s">
        <v>200</v>
      </c>
      <c r="C187" s="12" t="s">
        <v>26</v>
      </c>
      <c r="D187" s="12">
        <v>31.88</v>
      </c>
      <c r="E187" s="12">
        <v>1997</v>
      </c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21">
        <f t="shared" si="83"/>
        <v>0</v>
      </c>
      <c r="R187" s="15">
        <v>1</v>
      </c>
      <c r="S187" s="15"/>
      <c r="T187" s="15"/>
      <c r="U187" s="15"/>
      <c r="V187" s="15"/>
      <c r="W187" s="21">
        <f t="shared" si="84"/>
        <v>0</v>
      </c>
      <c r="X187" s="15">
        <v>1</v>
      </c>
      <c r="Y187" s="15"/>
      <c r="Z187" s="15"/>
      <c r="AA187" s="15"/>
      <c r="AB187" s="15"/>
      <c r="AC187" s="21">
        <f t="shared" si="85"/>
        <v>0</v>
      </c>
      <c r="AD187" s="15">
        <v>1</v>
      </c>
      <c r="AE187" s="15"/>
      <c r="AF187" s="15"/>
      <c r="AG187" s="15"/>
      <c r="AH187" s="15"/>
      <c r="AI187" s="21">
        <f t="shared" si="86"/>
        <v>0</v>
      </c>
      <c r="AK187" s="128"/>
      <c r="AO187" s="21">
        <f t="shared" si="87"/>
        <v>0</v>
      </c>
      <c r="AT187">
        <v>1</v>
      </c>
      <c r="AU187" s="21">
        <f t="shared" si="82"/>
        <v>1</v>
      </c>
    </row>
    <row r="188" spans="1:47" ht="15" customHeight="1" x14ac:dyDescent="0.2">
      <c r="A188" s="12">
        <v>5</v>
      </c>
      <c r="B188" s="12" t="s">
        <v>201</v>
      </c>
      <c r="C188" s="12" t="s">
        <v>26</v>
      </c>
      <c r="D188" s="12">
        <v>26.81</v>
      </c>
      <c r="E188" s="12">
        <v>1997</v>
      </c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21">
        <f t="shared" si="83"/>
        <v>0</v>
      </c>
      <c r="R188" s="15">
        <v>1</v>
      </c>
      <c r="S188" s="15"/>
      <c r="T188" s="15"/>
      <c r="U188" s="15"/>
      <c r="V188" s="15"/>
      <c r="W188" s="21">
        <f t="shared" si="84"/>
        <v>0</v>
      </c>
      <c r="X188" s="15">
        <v>1</v>
      </c>
      <c r="Y188" s="15"/>
      <c r="Z188" s="15"/>
      <c r="AA188" s="15"/>
      <c r="AB188" s="15"/>
      <c r="AC188" s="21">
        <f t="shared" si="85"/>
        <v>0</v>
      </c>
      <c r="AD188" s="15">
        <v>1</v>
      </c>
      <c r="AE188" s="15"/>
      <c r="AF188" s="15"/>
      <c r="AG188" s="15"/>
      <c r="AH188" s="15"/>
      <c r="AI188" s="21">
        <f t="shared" si="86"/>
        <v>0</v>
      </c>
      <c r="AK188" s="128"/>
      <c r="AO188" s="21">
        <f t="shared" si="87"/>
        <v>0</v>
      </c>
      <c r="AT188">
        <v>1</v>
      </c>
      <c r="AU188" s="21">
        <f t="shared" si="82"/>
        <v>1</v>
      </c>
    </row>
    <row r="189" spans="1:47" ht="15" customHeight="1" x14ac:dyDescent="0.2">
      <c r="A189" s="12">
        <v>5</v>
      </c>
      <c r="B189" s="12" t="s">
        <v>202</v>
      </c>
      <c r="C189" s="12" t="s">
        <v>26</v>
      </c>
      <c r="D189" s="12">
        <v>27.6</v>
      </c>
      <c r="E189" s="12">
        <v>1997</v>
      </c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21">
        <f t="shared" si="83"/>
        <v>0</v>
      </c>
      <c r="R189" s="15">
        <v>1</v>
      </c>
      <c r="S189" s="15"/>
      <c r="T189" s="15"/>
      <c r="U189" s="15"/>
      <c r="V189" s="15"/>
      <c r="W189" s="21">
        <f t="shared" si="84"/>
        <v>0</v>
      </c>
      <c r="X189" s="15">
        <v>1</v>
      </c>
      <c r="Y189" s="15"/>
      <c r="Z189" s="15"/>
      <c r="AA189" s="15"/>
      <c r="AB189" s="15"/>
      <c r="AC189" s="21">
        <f t="shared" si="85"/>
        <v>0</v>
      </c>
      <c r="AD189" s="15">
        <v>1</v>
      </c>
      <c r="AE189" s="15"/>
      <c r="AF189" s="15"/>
      <c r="AG189" s="15"/>
      <c r="AH189" s="15"/>
      <c r="AI189" s="21">
        <f t="shared" si="86"/>
        <v>0</v>
      </c>
      <c r="AK189" s="128"/>
      <c r="AO189" s="21">
        <f t="shared" si="87"/>
        <v>0</v>
      </c>
      <c r="AT189">
        <v>1</v>
      </c>
      <c r="AU189" s="21">
        <f t="shared" si="82"/>
        <v>1</v>
      </c>
    </row>
    <row r="190" spans="1:47" ht="15" customHeight="1" x14ac:dyDescent="0.2">
      <c r="A190" s="12">
        <v>5</v>
      </c>
      <c r="B190" s="12" t="s">
        <v>203</v>
      </c>
      <c r="C190" s="12" t="s">
        <v>26</v>
      </c>
      <c r="D190" s="12">
        <v>27.88</v>
      </c>
      <c r="E190" s="12">
        <v>1997</v>
      </c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21">
        <f t="shared" si="83"/>
        <v>0</v>
      </c>
      <c r="R190" s="15">
        <v>1</v>
      </c>
      <c r="S190" s="15"/>
      <c r="T190" s="15"/>
      <c r="U190" s="15"/>
      <c r="V190" s="15"/>
      <c r="W190" s="21">
        <f t="shared" si="84"/>
        <v>0</v>
      </c>
      <c r="X190" s="15">
        <v>1</v>
      </c>
      <c r="Y190" s="15"/>
      <c r="Z190" s="15"/>
      <c r="AA190" s="15"/>
      <c r="AB190" s="15"/>
      <c r="AC190" s="21">
        <f t="shared" si="85"/>
        <v>0</v>
      </c>
      <c r="AD190" s="15">
        <v>1</v>
      </c>
      <c r="AE190" s="15"/>
      <c r="AF190" s="15"/>
      <c r="AG190" s="15"/>
      <c r="AH190" s="15"/>
      <c r="AI190" s="21">
        <f t="shared" si="86"/>
        <v>0</v>
      </c>
      <c r="AK190" s="128"/>
      <c r="AO190" s="21">
        <f t="shared" si="87"/>
        <v>0</v>
      </c>
      <c r="AT190">
        <v>1</v>
      </c>
      <c r="AU190" s="21">
        <f t="shared" si="82"/>
        <v>1</v>
      </c>
    </row>
    <row r="191" spans="1:47" ht="15" customHeight="1" x14ac:dyDescent="0.2">
      <c r="A191" s="12">
        <v>5</v>
      </c>
      <c r="B191" s="12" t="s">
        <v>204</v>
      </c>
      <c r="C191" s="12" t="s">
        <v>26</v>
      </c>
      <c r="D191" s="12">
        <v>28.2</v>
      </c>
      <c r="E191" s="12">
        <v>1997</v>
      </c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21">
        <f t="shared" si="83"/>
        <v>0</v>
      </c>
      <c r="R191" s="15">
        <v>1</v>
      </c>
      <c r="S191" s="15"/>
      <c r="T191" s="15"/>
      <c r="U191" s="15"/>
      <c r="V191" s="15"/>
      <c r="W191" s="21">
        <f t="shared" si="84"/>
        <v>0</v>
      </c>
      <c r="X191" s="15">
        <v>1</v>
      </c>
      <c r="Y191" s="15"/>
      <c r="Z191" s="15"/>
      <c r="AA191" s="15"/>
      <c r="AB191" s="15"/>
      <c r="AC191" s="21">
        <f t="shared" si="85"/>
        <v>0</v>
      </c>
      <c r="AD191" s="15">
        <v>1</v>
      </c>
      <c r="AE191" s="15"/>
      <c r="AF191" s="15"/>
      <c r="AG191" s="15"/>
      <c r="AH191" s="15"/>
      <c r="AI191" s="21">
        <f t="shared" si="86"/>
        <v>0</v>
      </c>
      <c r="AK191" s="128"/>
      <c r="AO191" s="21">
        <f t="shared" si="87"/>
        <v>0</v>
      </c>
      <c r="AT191">
        <v>1</v>
      </c>
      <c r="AU191" s="21">
        <f t="shared" si="82"/>
        <v>1</v>
      </c>
    </row>
    <row r="192" spans="1:47" ht="15" customHeight="1" x14ac:dyDescent="0.2">
      <c r="A192" s="12">
        <v>5</v>
      </c>
      <c r="B192" s="12" t="s">
        <v>205</v>
      </c>
      <c r="C192" s="12" t="s">
        <v>26</v>
      </c>
      <c r="D192" s="12">
        <v>27.98</v>
      </c>
      <c r="E192" s="12">
        <v>1997</v>
      </c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21">
        <f t="shared" si="83"/>
        <v>0</v>
      </c>
      <c r="R192" s="15">
        <v>1</v>
      </c>
      <c r="S192" s="15"/>
      <c r="T192" s="15"/>
      <c r="U192" s="15"/>
      <c r="V192" s="15"/>
      <c r="W192" s="21">
        <f t="shared" si="84"/>
        <v>0</v>
      </c>
      <c r="X192" s="15">
        <v>1</v>
      </c>
      <c r="Y192" s="15"/>
      <c r="Z192" s="15"/>
      <c r="AA192" s="15"/>
      <c r="AB192" s="15"/>
      <c r="AC192" s="21">
        <f t="shared" si="85"/>
        <v>0</v>
      </c>
      <c r="AD192" s="15">
        <v>1</v>
      </c>
      <c r="AE192" s="15"/>
      <c r="AF192" s="15"/>
      <c r="AG192" s="15"/>
      <c r="AH192" s="15"/>
      <c r="AI192" s="21">
        <f t="shared" si="86"/>
        <v>0</v>
      </c>
      <c r="AK192" s="128"/>
      <c r="AO192" s="21">
        <f t="shared" si="87"/>
        <v>0</v>
      </c>
      <c r="AT192">
        <v>1</v>
      </c>
      <c r="AU192" s="21">
        <f t="shared" si="82"/>
        <v>1</v>
      </c>
    </row>
    <row r="193" spans="1:47" ht="15" customHeight="1" x14ac:dyDescent="0.2">
      <c r="A193" s="12">
        <v>5</v>
      </c>
      <c r="B193" s="12" t="s">
        <v>206</v>
      </c>
      <c r="C193" s="12" t="s">
        <v>26</v>
      </c>
      <c r="D193" s="12">
        <v>26.14</v>
      </c>
      <c r="E193" s="12">
        <v>1997</v>
      </c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21">
        <f t="shared" si="83"/>
        <v>0</v>
      </c>
      <c r="R193" s="15">
        <v>1</v>
      </c>
      <c r="S193" s="15"/>
      <c r="T193" s="15"/>
      <c r="U193" s="15"/>
      <c r="V193" s="15"/>
      <c r="W193" s="21">
        <f t="shared" si="84"/>
        <v>0</v>
      </c>
      <c r="X193" s="15">
        <v>1</v>
      </c>
      <c r="Y193" s="15"/>
      <c r="Z193" s="15"/>
      <c r="AA193" s="15"/>
      <c r="AB193" s="15"/>
      <c r="AC193" s="21">
        <f t="shared" si="85"/>
        <v>0</v>
      </c>
      <c r="AD193" s="15">
        <v>1</v>
      </c>
      <c r="AE193" s="15"/>
      <c r="AF193" s="15"/>
      <c r="AG193" s="15"/>
      <c r="AH193" s="15"/>
      <c r="AI193" s="21">
        <f t="shared" si="86"/>
        <v>0</v>
      </c>
      <c r="AK193" s="128"/>
      <c r="AO193" s="21">
        <f t="shared" si="87"/>
        <v>0</v>
      </c>
      <c r="AT193">
        <v>1</v>
      </c>
      <c r="AU193" s="21">
        <f t="shared" si="82"/>
        <v>1</v>
      </c>
    </row>
    <row r="194" spans="1:47" ht="15" customHeight="1" x14ac:dyDescent="0.2">
      <c r="A194" s="12">
        <v>5</v>
      </c>
      <c r="B194" s="12" t="s">
        <v>207</v>
      </c>
      <c r="C194" s="12" t="s">
        <v>26</v>
      </c>
      <c r="D194" s="12">
        <v>13.97</v>
      </c>
      <c r="E194" s="12">
        <v>1997</v>
      </c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21">
        <f t="shared" si="83"/>
        <v>0</v>
      </c>
      <c r="R194" s="15"/>
      <c r="S194" s="15"/>
      <c r="T194" s="15"/>
      <c r="U194" s="15"/>
      <c r="V194" s="15"/>
      <c r="W194" s="21">
        <f t="shared" si="84"/>
        <v>0</v>
      </c>
      <c r="X194" s="15"/>
      <c r="Y194" s="15"/>
      <c r="Z194" s="15"/>
      <c r="AA194" s="15"/>
      <c r="AB194" s="15"/>
      <c r="AC194" s="21">
        <f t="shared" si="85"/>
        <v>0</v>
      </c>
      <c r="AD194" s="15"/>
      <c r="AE194" s="15"/>
      <c r="AF194" s="15"/>
      <c r="AG194" s="15"/>
      <c r="AH194" s="15"/>
      <c r="AI194" s="21">
        <f t="shared" si="86"/>
        <v>0</v>
      </c>
      <c r="AK194" s="128"/>
      <c r="AO194" s="21">
        <f t="shared" si="87"/>
        <v>0</v>
      </c>
      <c r="AU194" s="21">
        <f t="shared" si="82"/>
        <v>0</v>
      </c>
    </row>
    <row r="195" spans="1:47" ht="15" customHeight="1" x14ac:dyDescent="0.2">
      <c r="A195" s="12">
        <v>5</v>
      </c>
      <c r="B195" s="12" t="s">
        <v>208</v>
      </c>
      <c r="C195" s="12" t="s">
        <v>26</v>
      </c>
      <c r="D195" s="12">
        <v>30.07</v>
      </c>
      <c r="E195" s="12">
        <v>1997</v>
      </c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21">
        <f t="shared" si="83"/>
        <v>0</v>
      </c>
      <c r="R195" s="15">
        <v>1</v>
      </c>
      <c r="S195" s="15"/>
      <c r="T195" s="15"/>
      <c r="U195" s="15"/>
      <c r="V195" s="15"/>
      <c r="W195" s="21">
        <f t="shared" si="84"/>
        <v>0</v>
      </c>
      <c r="X195" s="15">
        <v>1</v>
      </c>
      <c r="Y195" s="15"/>
      <c r="Z195" s="15"/>
      <c r="AA195" s="15"/>
      <c r="AB195" s="15"/>
      <c r="AC195" s="21">
        <f t="shared" si="85"/>
        <v>0</v>
      </c>
      <c r="AD195" s="15">
        <v>1</v>
      </c>
      <c r="AE195" s="15"/>
      <c r="AF195" s="15"/>
      <c r="AG195" s="15"/>
      <c r="AH195" s="15"/>
      <c r="AI195" s="21">
        <f t="shared" si="86"/>
        <v>0</v>
      </c>
      <c r="AK195" s="128"/>
      <c r="AO195" s="21">
        <f t="shared" si="87"/>
        <v>0</v>
      </c>
      <c r="AT195">
        <v>1</v>
      </c>
      <c r="AU195" s="21">
        <f t="shared" si="82"/>
        <v>1</v>
      </c>
    </row>
    <row r="196" spans="1:47" ht="15" customHeight="1" x14ac:dyDescent="0.2">
      <c r="A196" s="12">
        <v>5</v>
      </c>
      <c r="B196" s="12" t="s">
        <v>209</v>
      </c>
      <c r="C196" s="12" t="s">
        <v>26</v>
      </c>
      <c r="D196" s="12">
        <v>31.77</v>
      </c>
      <c r="E196" s="12">
        <v>1997</v>
      </c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21">
        <f t="shared" si="83"/>
        <v>0</v>
      </c>
      <c r="R196" s="15">
        <v>1</v>
      </c>
      <c r="S196" s="15"/>
      <c r="T196" s="15"/>
      <c r="U196" s="15"/>
      <c r="V196" s="15"/>
      <c r="W196" s="21">
        <f t="shared" si="84"/>
        <v>0</v>
      </c>
      <c r="X196" s="15">
        <v>1</v>
      </c>
      <c r="Y196" s="15"/>
      <c r="Z196" s="15"/>
      <c r="AA196" s="15"/>
      <c r="AB196" s="15"/>
      <c r="AC196" s="21">
        <f t="shared" si="85"/>
        <v>0</v>
      </c>
      <c r="AD196" s="15">
        <v>1</v>
      </c>
      <c r="AE196" s="15"/>
      <c r="AF196" s="15"/>
      <c r="AG196" s="15"/>
      <c r="AH196" s="15"/>
      <c r="AI196" s="21">
        <f t="shared" si="86"/>
        <v>0</v>
      </c>
      <c r="AK196" s="128"/>
      <c r="AO196" s="21">
        <f t="shared" si="87"/>
        <v>0</v>
      </c>
      <c r="AT196">
        <v>1</v>
      </c>
      <c r="AU196" s="21">
        <f t="shared" si="82"/>
        <v>1</v>
      </c>
    </row>
    <row r="197" spans="1:47" ht="15" customHeight="1" x14ac:dyDescent="0.2">
      <c r="A197" s="12">
        <v>5</v>
      </c>
      <c r="B197" s="12" t="s">
        <v>210</v>
      </c>
      <c r="C197" s="12" t="s">
        <v>26</v>
      </c>
      <c r="D197" s="12">
        <v>27.92</v>
      </c>
      <c r="E197" s="12">
        <v>1997</v>
      </c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21">
        <f t="shared" si="83"/>
        <v>0</v>
      </c>
      <c r="R197" s="15">
        <v>1</v>
      </c>
      <c r="S197" s="15"/>
      <c r="T197" s="15"/>
      <c r="U197" s="15"/>
      <c r="V197" s="15"/>
      <c r="W197" s="21">
        <f t="shared" si="84"/>
        <v>0</v>
      </c>
      <c r="X197" s="15">
        <v>1</v>
      </c>
      <c r="Y197" s="15"/>
      <c r="Z197" s="15"/>
      <c r="AA197" s="15"/>
      <c r="AB197" s="15"/>
      <c r="AC197" s="21">
        <f t="shared" si="85"/>
        <v>0</v>
      </c>
      <c r="AD197" s="15">
        <v>1</v>
      </c>
      <c r="AE197" s="15"/>
      <c r="AF197" s="15"/>
      <c r="AG197" s="15"/>
      <c r="AH197" s="15"/>
      <c r="AI197" s="21">
        <f t="shared" si="86"/>
        <v>0</v>
      </c>
      <c r="AK197" s="128"/>
      <c r="AO197" s="21">
        <f t="shared" si="87"/>
        <v>0</v>
      </c>
      <c r="AT197">
        <v>1</v>
      </c>
      <c r="AU197" s="21">
        <f t="shared" si="82"/>
        <v>1</v>
      </c>
    </row>
    <row r="198" spans="1:47" ht="15" customHeight="1" x14ac:dyDescent="0.2">
      <c r="A198" s="12">
        <v>5</v>
      </c>
      <c r="B198" s="12" t="s">
        <v>211</v>
      </c>
      <c r="C198" s="12" t="s">
        <v>26</v>
      </c>
      <c r="D198" s="12">
        <v>29.41</v>
      </c>
      <c r="E198" s="12">
        <v>1997</v>
      </c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21">
        <f t="shared" si="83"/>
        <v>0</v>
      </c>
      <c r="R198" s="15">
        <v>1</v>
      </c>
      <c r="S198" s="15"/>
      <c r="T198" s="15"/>
      <c r="U198" s="15"/>
      <c r="V198" s="15"/>
      <c r="W198" s="21">
        <f t="shared" si="84"/>
        <v>0</v>
      </c>
      <c r="X198" s="15">
        <v>1</v>
      </c>
      <c r="Y198" s="15"/>
      <c r="Z198" s="15"/>
      <c r="AA198" s="15"/>
      <c r="AB198" s="15"/>
      <c r="AC198" s="21">
        <f t="shared" si="85"/>
        <v>0</v>
      </c>
      <c r="AD198" s="15">
        <v>1</v>
      </c>
      <c r="AE198" s="15"/>
      <c r="AF198" s="15"/>
      <c r="AG198" s="15"/>
      <c r="AH198" s="15"/>
      <c r="AI198" s="21">
        <f t="shared" si="86"/>
        <v>0</v>
      </c>
      <c r="AK198" s="128"/>
      <c r="AO198" s="21">
        <f t="shared" si="87"/>
        <v>0</v>
      </c>
      <c r="AT198">
        <v>1</v>
      </c>
      <c r="AU198" s="21">
        <f t="shared" si="82"/>
        <v>1</v>
      </c>
    </row>
    <row r="199" spans="1:47" ht="15" customHeight="1" x14ac:dyDescent="0.2">
      <c r="A199" s="12">
        <v>5</v>
      </c>
      <c r="B199" s="12" t="s">
        <v>212</v>
      </c>
      <c r="C199" s="12" t="s">
        <v>26</v>
      </c>
      <c r="D199" s="12">
        <v>29.67</v>
      </c>
      <c r="E199" s="12">
        <v>1997</v>
      </c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21">
        <f t="shared" si="83"/>
        <v>0</v>
      </c>
      <c r="R199" s="15">
        <v>1</v>
      </c>
      <c r="S199" s="15"/>
      <c r="T199" s="15"/>
      <c r="U199" s="15"/>
      <c r="V199" s="15"/>
      <c r="W199" s="21">
        <f t="shared" si="84"/>
        <v>0</v>
      </c>
      <c r="X199" s="15">
        <v>1</v>
      </c>
      <c r="Y199" s="15"/>
      <c r="Z199" s="15"/>
      <c r="AA199" s="15"/>
      <c r="AB199" s="15"/>
      <c r="AC199" s="21">
        <f t="shared" si="85"/>
        <v>0</v>
      </c>
      <c r="AD199" s="15">
        <v>1</v>
      </c>
      <c r="AE199" s="15"/>
      <c r="AF199" s="15"/>
      <c r="AG199" s="15"/>
      <c r="AH199" s="15"/>
      <c r="AI199" s="21">
        <f t="shared" si="86"/>
        <v>0</v>
      </c>
      <c r="AK199" s="128"/>
      <c r="AO199" s="21">
        <f t="shared" si="87"/>
        <v>0</v>
      </c>
      <c r="AT199">
        <v>1</v>
      </c>
      <c r="AU199" s="21">
        <f t="shared" si="82"/>
        <v>1</v>
      </c>
    </row>
    <row r="200" spans="1:47" ht="15" customHeight="1" x14ac:dyDescent="0.2">
      <c r="A200" s="12">
        <v>5</v>
      </c>
      <c r="B200" s="12" t="s">
        <v>213</v>
      </c>
      <c r="C200" s="12" t="s">
        <v>26</v>
      </c>
      <c r="D200" s="12">
        <v>28.73</v>
      </c>
      <c r="E200" s="12">
        <v>1997</v>
      </c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21">
        <f t="shared" si="83"/>
        <v>0</v>
      </c>
      <c r="R200" s="15">
        <v>1</v>
      </c>
      <c r="S200" s="15"/>
      <c r="T200" s="15"/>
      <c r="U200" s="15"/>
      <c r="V200" s="15"/>
      <c r="W200" s="21">
        <f t="shared" si="84"/>
        <v>0</v>
      </c>
      <c r="X200" s="15">
        <v>1</v>
      </c>
      <c r="Y200" s="15"/>
      <c r="Z200" s="15"/>
      <c r="AA200" s="15"/>
      <c r="AB200" s="15"/>
      <c r="AC200" s="21">
        <f t="shared" si="85"/>
        <v>0</v>
      </c>
      <c r="AD200" s="15">
        <v>1</v>
      </c>
      <c r="AE200" s="15"/>
      <c r="AF200" s="15"/>
      <c r="AG200" s="15"/>
      <c r="AH200" s="15"/>
      <c r="AI200" s="21">
        <f t="shared" si="86"/>
        <v>0</v>
      </c>
      <c r="AK200" s="128"/>
      <c r="AO200" s="21">
        <f t="shared" si="87"/>
        <v>0</v>
      </c>
      <c r="AT200">
        <v>1</v>
      </c>
      <c r="AU200" s="21">
        <f t="shared" si="82"/>
        <v>1</v>
      </c>
    </row>
    <row r="201" spans="1:47" ht="15" customHeight="1" x14ac:dyDescent="0.2">
      <c r="A201" s="12">
        <v>5</v>
      </c>
      <c r="B201" s="12" t="s">
        <v>214</v>
      </c>
      <c r="C201" s="12" t="s">
        <v>26</v>
      </c>
      <c r="D201" s="12">
        <v>30.67</v>
      </c>
      <c r="E201" s="12">
        <v>1997</v>
      </c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21">
        <f t="shared" si="83"/>
        <v>0</v>
      </c>
      <c r="R201" s="15">
        <v>1</v>
      </c>
      <c r="S201" s="15"/>
      <c r="T201" s="15"/>
      <c r="U201" s="15"/>
      <c r="V201" s="15"/>
      <c r="W201" s="21">
        <f t="shared" si="84"/>
        <v>0</v>
      </c>
      <c r="X201" s="15">
        <v>1</v>
      </c>
      <c r="Y201" s="15"/>
      <c r="Z201" s="15"/>
      <c r="AA201" s="15"/>
      <c r="AB201" s="15"/>
      <c r="AC201" s="21">
        <f t="shared" si="85"/>
        <v>0</v>
      </c>
      <c r="AD201" s="15">
        <v>1</v>
      </c>
      <c r="AE201" s="15"/>
      <c r="AF201" s="15"/>
      <c r="AG201" s="15"/>
      <c r="AH201" s="15"/>
      <c r="AI201" s="21">
        <f t="shared" si="86"/>
        <v>0</v>
      </c>
      <c r="AK201" s="128"/>
      <c r="AO201" s="21">
        <f t="shared" si="87"/>
        <v>0</v>
      </c>
      <c r="AT201">
        <v>1</v>
      </c>
      <c r="AU201" s="21">
        <f t="shared" si="82"/>
        <v>1</v>
      </c>
    </row>
    <row r="202" spans="1:47" ht="15" customHeight="1" x14ac:dyDescent="0.2">
      <c r="A202" s="12">
        <v>5</v>
      </c>
      <c r="B202" s="12" t="s">
        <v>215</v>
      </c>
      <c r="C202" s="12" t="s">
        <v>26</v>
      </c>
      <c r="D202" s="12">
        <v>27.34</v>
      </c>
      <c r="E202" s="12">
        <v>1997</v>
      </c>
      <c r="F202" s="15"/>
      <c r="G202" s="15"/>
      <c r="H202" s="15"/>
      <c r="I202" s="15"/>
      <c r="J202" s="15"/>
      <c r="K202" s="15"/>
      <c r="L202" s="15">
        <v>1</v>
      </c>
      <c r="M202" s="15">
        <v>0</v>
      </c>
      <c r="N202" s="15">
        <v>0</v>
      </c>
      <c r="O202" s="15">
        <v>0</v>
      </c>
      <c r="P202" s="15">
        <v>0</v>
      </c>
      <c r="Q202" s="21">
        <f t="shared" si="83"/>
        <v>0</v>
      </c>
      <c r="R202" s="15">
        <v>1</v>
      </c>
      <c r="S202" s="15"/>
      <c r="T202" s="15"/>
      <c r="U202" s="15"/>
      <c r="V202" s="15"/>
      <c r="W202" s="21">
        <f t="shared" si="84"/>
        <v>0</v>
      </c>
      <c r="X202" s="15">
        <v>1</v>
      </c>
      <c r="Y202" s="15"/>
      <c r="Z202" s="15"/>
      <c r="AA202" s="15"/>
      <c r="AB202" s="15"/>
      <c r="AC202" s="21">
        <f t="shared" si="85"/>
        <v>0</v>
      </c>
      <c r="AD202" s="15">
        <v>1</v>
      </c>
      <c r="AE202" s="15"/>
      <c r="AF202" s="15"/>
      <c r="AG202" s="15"/>
      <c r="AH202" s="15"/>
      <c r="AI202" s="21">
        <f t="shared" si="86"/>
        <v>0</v>
      </c>
      <c r="AK202" s="128"/>
      <c r="AO202" s="21">
        <f t="shared" si="87"/>
        <v>0</v>
      </c>
      <c r="AT202">
        <v>1</v>
      </c>
      <c r="AU202" s="21">
        <f t="shared" ref="AU202:AU265" si="123">SUM(AQ202:AT202)</f>
        <v>1</v>
      </c>
    </row>
    <row r="203" spans="1:47" ht="15" customHeight="1" x14ac:dyDescent="0.2">
      <c r="A203" s="12">
        <v>5</v>
      </c>
      <c r="B203" s="12" t="s">
        <v>216</v>
      </c>
      <c r="C203" s="12" t="s">
        <v>26</v>
      </c>
      <c r="D203" s="12">
        <v>32.119999999999997</v>
      </c>
      <c r="E203" s="12">
        <v>1997</v>
      </c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21">
        <f t="shared" ref="Q203:Q266" si="124">SUM(M203:P203)</f>
        <v>0</v>
      </c>
      <c r="R203" s="15">
        <v>1</v>
      </c>
      <c r="S203" s="15"/>
      <c r="T203" s="15"/>
      <c r="U203" s="15"/>
      <c r="V203" s="15"/>
      <c r="W203" s="21">
        <f t="shared" ref="W203:W266" si="125">SUM(S203:V203)</f>
        <v>0</v>
      </c>
      <c r="X203" s="15">
        <v>1</v>
      </c>
      <c r="Y203" s="15"/>
      <c r="Z203" s="15"/>
      <c r="AA203" s="15"/>
      <c r="AB203" s="15"/>
      <c r="AC203" s="21">
        <f t="shared" ref="AC203:AC266" si="126">SUM(Y203:AB203)</f>
        <v>0</v>
      </c>
      <c r="AD203" s="15">
        <v>1</v>
      </c>
      <c r="AE203" s="15"/>
      <c r="AF203" s="15"/>
      <c r="AG203" s="15"/>
      <c r="AH203" s="15"/>
      <c r="AI203" s="21">
        <f t="shared" ref="AI203:AI266" si="127">SUM(AE203:AH203)</f>
        <v>0</v>
      </c>
      <c r="AK203" s="128"/>
      <c r="AO203" s="21">
        <f t="shared" ref="AO203:AO266" si="128">SUM(AK203:AN203)</f>
        <v>0</v>
      </c>
      <c r="AT203">
        <v>1</v>
      </c>
      <c r="AU203" s="21">
        <f t="shared" si="123"/>
        <v>1</v>
      </c>
    </row>
    <row r="204" spans="1:47" ht="15" customHeight="1" x14ac:dyDescent="0.2">
      <c r="A204" s="12">
        <v>5</v>
      </c>
      <c r="B204" s="12" t="s">
        <v>217</v>
      </c>
      <c r="C204" s="12" t="s">
        <v>26</v>
      </c>
      <c r="D204" s="12">
        <v>27.2</v>
      </c>
      <c r="E204" s="12">
        <v>1997</v>
      </c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21">
        <f t="shared" si="124"/>
        <v>0</v>
      </c>
      <c r="R204" s="15"/>
      <c r="S204" s="15"/>
      <c r="T204" s="15"/>
      <c r="U204" s="15"/>
      <c r="V204" s="15"/>
      <c r="W204" s="21">
        <f t="shared" si="125"/>
        <v>0</v>
      </c>
      <c r="X204" s="15"/>
      <c r="Y204" s="15"/>
      <c r="Z204" s="15"/>
      <c r="AA204" s="15"/>
      <c r="AB204" s="15"/>
      <c r="AC204" s="21">
        <f t="shared" si="126"/>
        <v>0</v>
      </c>
      <c r="AD204" s="15"/>
      <c r="AE204" s="15"/>
      <c r="AF204" s="15"/>
      <c r="AG204" s="15"/>
      <c r="AH204" s="15"/>
      <c r="AI204" s="21">
        <f t="shared" si="127"/>
        <v>0</v>
      </c>
      <c r="AK204" s="128"/>
      <c r="AO204" s="21">
        <f t="shared" si="128"/>
        <v>0</v>
      </c>
      <c r="AU204" s="21">
        <f t="shared" si="123"/>
        <v>0</v>
      </c>
    </row>
    <row r="205" spans="1:47" ht="15" customHeight="1" x14ac:dyDescent="0.2">
      <c r="A205" s="12">
        <v>5</v>
      </c>
      <c r="B205" s="12" t="s">
        <v>218</v>
      </c>
      <c r="C205" s="12" t="s">
        <v>26</v>
      </c>
      <c r="D205" s="12">
        <v>29.91</v>
      </c>
      <c r="E205" s="12">
        <v>1997</v>
      </c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21">
        <f t="shared" si="124"/>
        <v>0</v>
      </c>
      <c r="R205" s="15"/>
      <c r="S205" s="15">
        <v>1</v>
      </c>
      <c r="T205" s="15">
        <v>0</v>
      </c>
      <c r="U205" s="15">
        <v>2</v>
      </c>
      <c r="V205" s="15">
        <v>1</v>
      </c>
      <c r="W205" s="21">
        <f t="shared" si="125"/>
        <v>4</v>
      </c>
      <c r="X205" s="15"/>
      <c r="Y205" s="15">
        <v>1</v>
      </c>
      <c r="Z205" s="15">
        <v>0</v>
      </c>
      <c r="AA205" s="15">
        <v>2</v>
      </c>
      <c r="AB205" s="15">
        <v>1</v>
      </c>
      <c r="AC205" s="21">
        <f t="shared" si="126"/>
        <v>4</v>
      </c>
      <c r="AD205" s="15"/>
      <c r="AE205" s="15"/>
      <c r="AF205" s="15">
        <v>3</v>
      </c>
      <c r="AG205" s="15"/>
      <c r="AH205" s="15"/>
      <c r="AI205" s="21">
        <f t="shared" si="127"/>
        <v>3</v>
      </c>
      <c r="AK205" s="128"/>
      <c r="AO205" s="21">
        <f t="shared" si="128"/>
        <v>0</v>
      </c>
      <c r="AR205">
        <v>2</v>
      </c>
      <c r="AU205" s="21">
        <f t="shared" si="123"/>
        <v>2</v>
      </c>
    </row>
    <row r="206" spans="1:47" ht="15" customHeight="1" x14ac:dyDescent="0.2">
      <c r="A206" s="12">
        <v>5</v>
      </c>
      <c r="B206" s="12" t="s">
        <v>219</v>
      </c>
      <c r="C206" s="12" t="s">
        <v>26</v>
      </c>
      <c r="D206" s="12">
        <v>29.53</v>
      </c>
      <c r="E206" s="12">
        <v>1997</v>
      </c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21">
        <f t="shared" si="124"/>
        <v>0</v>
      </c>
      <c r="R206" s="15">
        <v>1</v>
      </c>
      <c r="S206" s="15"/>
      <c r="T206" s="15"/>
      <c r="U206" s="15"/>
      <c r="V206" s="15"/>
      <c r="W206" s="21">
        <f t="shared" si="125"/>
        <v>0</v>
      </c>
      <c r="X206" s="15">
        <v>1</v>
      </c>
      <c r="Y206" s="15"/>
      <c r="Z206" s="15"/>
      <c r="AA206" s="15"/>
      <c r="AB206" s="15"/>
      <c r="AC206" s="21">
        <f t="shared" si="126"/>
        <v>0</v>
      </c>
      <c r="AD206" s="15">
        <v>1</v>
      </c>
      <c r="AE206" s="15"/>
      <c r="AF206" s="15"/>
      <c r="AG206" s="15"/>
      <c r="AH206" s="15"/>
      <c r="AI206" s="21">
        <f t="shared" si="127"/>
        <v>0</v>
      </c>
      <c r="AK206" s="128"/>
      <c r="AO206" s="21">
        <f t="shared" si="128"/>
        <v>0</v>
      </c>
      <c r="AT206">
        <v>1</v>
      </c>
      <c r="AU206" s="21">
        <f t="shared" si="123"/>
        <v>1</v>
      </c>
    </row>
    <row r="207" spans="1:47" ht="15" customHeight="1" x14ac:dyDescent="0.2">
      <c r="A207" s="12">
        <v>5</v>
      </c>
      <c r="B207" s="12" t="s">
        <v>220</v>
      </c>
      <c r="C207" s="12" t="s">
        <v>26</v>
      </c>
      <c r="D207" s="12">
        <v>21.14</v>
      </c>
      <c r="E207" s="12">
        <v>1997</v>
      </c>
      <c r="F207" s="15"/>
      <c r="G207" s="15"/>
      <c r="H207" s="15"/>
      <c r="I207" s="15"/>
      <c r="J207" s="15"/>
      <c r="K207" s="15"/>
      <c r="L207" s="15">
        <v>1</v>
      </c>
      <c r="M207" s="15">
        <v>0</v>
      </c>
      <c r="N207" s="15">
        <v>0</v>
      </c>
      <c r="O207" s="15">
        <v>0</v>
      </c>
      <c r="P207" s="15">
        <v>0</v>
      </c>
      <c r="Q207" s="21">
        <f t="shared" si="124"/>
        <v>0</v>
      </c>
      <c r="R207" s="15">
        <v>1</v>
      </c>
      <c r="S207" s="15"/>
      <c r="T207" s="15"/>
      <c r="U207" s="15"/>
      <c r="V207" s="15"/>
      <c r="W207" s="21">
        <f t="shared" si="125"/>
        <v>0</v>
      </c>
      <c r="X207" s="15">
        <v>1</v>
      </c>
      <c r="Y207" s="15"/>
      <c r="Z207" s="15"/>
      <c r="AA207" s="15"/>
      <c r="AB207" s="15"/>
      <c r="AC207" s="21">
        <f t="shared" si="126"/>
        <v>0</v>
      </c>
      <c r="AD207" s="15">
        <v>1</v>
      </c>
      <c r="AE207" s="15"/>
      <c r="AF207" s="15"/>
      <c r="AG207" s="15"/>
      <c r="AH207" s="15"/>
      <c r="AI207" s="21">
        <f t="shared" si="127"/>
        <v>0</v>
      </c>
      <c r="AK207" s="128"/>
      <c r="AO207" s="21">
        <f t="shared" si="128"/>
        <v>0</v>
      </c>
      <c r="AT207">
        <v>1</v>
      </c>
      <c r="AU207" s="21">
        <f t="shared" si="123"/>
        <v>1</v>
      </c>
    </row>
    <row r="208" spans="1:47" ht="15" customHeight="1" x14ac:dyDescent="0.2">
      <c r="A208" s="12">
        <v>5</v>
      </c>
      <c r="B208" s="12" t="s">
        <v>221</v>
      </c>
      <c r="C208" s="12" t="s">
        <v>26</v>
      </c>
      <c r="D208" s="12">
        <v>10.68</v>
      </c>
      <c r="E208" s="12">
        <v>1997</v>
      </c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21">
        <f t="shared" si="124"/>
        <v>0</v>
      </c>
      <c r="R208" s="15">
        <v>1</v>
      </c>
      <c r="S208" s="15"/>
      <c r="T208" s="15"/>
      <c r="U208" s="15"/>
      <c r="V208" s="15"/>
      <c r="W208" s="21">
        <f t="shared" si="125"/>
        <v>0</v>
      </c>
      <c r="X208" s="15">
        <v>1</v>
      </c>
      <c r="Y208" s="15"/>
      <c r="Z208" s="15"/>
      <c r="AA208" s="15"/>
      <c r="AB208" s="15"/>
      <c r="AC208" s="21">
        <f t="shared" si="126"/>
        <v>0</v>
      </c>
      <c r="AD208" s="15"/>
      <c r="AE208" s="15"/>
      <c r="AF208" s="15">
        <v>1</v>
      </c>
      <c r="AG208" s="15"/>
      <c r="AH208" s="15"/>
      <c r="AI208" s="21">
        <f t="shared" si="127"/>
        <v>1</v>
      </c>
      <c r="AK208" s="128"/>
      <c r="AO208" s="21">
        <f t="shared" si="128"/>
        <v>0</v>
      </c>
      <c r="AT208">
        <v>1</v>
      </c>
      <c r="AU208" s="21">
        <f t="shared" si="123"/>
        <v>1</v>
      </c>
    </row>
    <row r="209" spans="1:48" ht="15" customHeight="1" x14ac:dyDescent="0.2">
      <c r="A209" s="12">
        <v>5</v>
      </c>
      <c r="B209" s="12" t="s">
        <v>222</v>
      </c>
      <c r="C209" s="12" t="s">
        <v>26</v>
      </c>
      <c r="D209" s="12">
        <v>28.14</v>
      </c>
      <c r="E209" s="12">
        <v>1997</v>
      </c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21">
        <f t="shared" si="124"/>
        <v>0</v>
      </c>
      <c r="R209" s="15">
        <v>1</v>
      </c>
      <c r="S209" s="15"/>
      <c r="T209" s="15"/>
      <c r="U209" s="15"/>
      <c r="V209" s="15"/>
      <c r="W209" s="21">
        <f t="shared" si="125"/>
        <v>0</v>
      </c>
      <c r="X209" s="15">
        <v>1</v>
      </c>
      <c r="Y209" s="15"/>
      <c r="Z209" s="15"/>
      <c r="AA209" s="15"/>
      <c r="AB209" s="15"/>
      <c r="AC209" s="21">
        <f t="shared" si="126"/>
        <v>0</v>
      </c>
      <c r="AD209" s="15">
        <v>1</v>
      </c>
      <c r="AE209" s="15"/>
      <c r="AF209" s="15"/>
      <c r="AG209" s="15"/>
      <c r="AH209" s="15"/>
      <c r="AI209" s="21">
        <f t="shared" si="127"/>
        <v>0</v>
      </c>
      <c r="AK209" s="128"/>
      <c r="AO209" s="21">
        <f t="shared" si="128"/>
        <v>0</v>
      </c>
      <c r="AT209">
        <v>1</v>
      </c>
      <c r="AU209" s="21">
        <f t="shared" si="123"/>
        <v>1</v>
      </c>
    </row>
    <row r="210" spans="1:48" ht="15" customHeight="1" x14ac:dyDescent="0.2">
      <c r="A210" s="12">
        <v>5</v>
      </c>
      <c r="B210" s="12" t="s">
        <v>223</v>
      </c>
      <c r="C210" s="12" t="s">
        <v>26</v>
      </c>
      <c r="D210" s="12">
        <v>31.7</v>
      </c>
      <c r="E210" s="12">
        <v>1997</v>
      </c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21">
        <f t="shared" si="124"/>
        <v>0</v>
      </c>
      <c r="R210" s="15">
        <v>1</v>
      </c>
      <c r="S210" s="15"/>
      <c r="T210" s="15"/>
      <c r="U210" s="15"/>
      <c r="V210" s="15"/>
      <c r="W210" s="21">
        <f t="shared" si="125"/>
        <v>0</v>
      </c>
      <c r="X210" s="15">
        <v>1</v>
      </c>
      <c r="Y210" s="15"/>
      <c r="Z210" s="15"/>
      <c r="AA210" s="15"/>
      <c r="AB210" s="15"/>
      <c r="AC210" s="21">
        <f t="shared" si="126"/>
        <v>0</v>
      </c>
      <c r="AD210" s="15">
        <v>1</v>
      </c>
      <c r="AE210" s="15"/>
      <c r="AF210" s="15"/>
      <c r="AG210" s="15"/>
      <c r="AH210" s="15"/>
      <c r="AI210" s="21">
        <f t="shared" si="127"/>
        <v>0</v>
      </c>
      <c r="AK210" s="128"/>
      <c r="AO210" s="21">
        <f t="shared" si="128"/>
        <v>0</v>
      </c>
      <c r="AT210">
        <v>1</v>
      </c>
      <c r="AU210" s="21">
        <f t="shared" si="123"/>
        <v>1</v>
      </c>
    </row>
    <row r="211" spans="1:48" ht="15" customHeight="1" x14ac:dyDescent="0.2">
      <c r="A211" s="12">
        <v>5</v>
      </c>
      <c r="B211" s="12" t="s">
        <v>224</v>
      </c>
      <c r="C211" s="12" t="s">
        <v>26</v>
      </c>
      <c r="D211" s="12">
        <v>25.73</v>
      </c>
      <c r="E211" s="12">
        <v>1997</v>
      </c>
      <c r="F211" s="15"/>
      <c r="G211" s="15"/>
      <c r="H211" s="15"/>
      <c r="I211" s="15"/>
      <c r="J211" s="15"/>
      <c r="K211" s="15"/>
      <c r="L211" s="15">
        <v>1</v>
      </c>
      <c r="M211" s="15">
        <v>0</v>
      </c>
      <c r="N211" s="15">
        <v>0</v>
      </c>
      <c r="O211" s="15">
        <v>0</v>
      </c>
      <c r="P211" s="15">
        <v>0</v>
      </c>
      <c r="Q211" s="21">
        <f t="shared" si="124"/>
        <v>0</v>
      </c>
      <c r="R211" s="15">
        <v>1</v>
      </c>
      <c r="S211" s="15"/>
      <c r="T211" s="15"/>
      <c r="U211" s="15"/>
      <c r="V211" s="15"/>
      <c r="W211" s="21">
        <f t="shared" si="125"/>
        <v>0</v>
      </c>
      <c r="X211" s="15">
        <v>1</v>
      </c>
      <c r="Y211" s="15"/>
      <c r="Z211" s="15"/>
      <c r="AA211" s="15"/>
      <c r="AB211" s="15"/>
      <c r="AC211" s="21">
        <f t="shared" si="126"/>
        <v>0</v>
      </c>
      <c r="AD211" s="15">
        <v>1</v>
      </c>
      <c r="AE211" s="15"/>
      <c r="AF211" s="15"/>
      <c r="AG211" s="15"/>
      <c r="AH211" s="15"/>
      <c r="AI211" s="21">
        <f t="shared" si="127"/>
        <v>0</v>
      </c>
      <c r="AK211" s="128"/>
      <c r="AO211" s="21">
        <f t="shared" si="128"/>
        <v>0</v>
      </c>
      <c r="AT211">
        <v>1</v>
      </c>
      <c r="AU211" s="21">
        <f t="shared" si="123"/>
        <v>1</v>
      </c>
    </row>
    <row r="212" spans="1:48" ht="15" customHeight="1" x14ac:dyDescent="0.2">
      <c r="A212" s="12">
        <v>5</v>
      </c>
      <c r="B212" s="12" t="s">
        <v>225</v>
      </c>
      <c r="C212" s="12" t="s">
        <v>26</v>
      </c>
      <c r="D212" s="12">
        <v>26.37</v>
      </c>
      <c r="E212" s="12">
        <v>1997</v>
      </c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21">
        <f t="shared" si="124"/>
        <v>0</v>
      </c>
      <c r="R212" s="15">
        <v>1</v>
      </c>
      <c r="S212" s="15"/>
      <c r="T212" s="15"/>
      <c r="U212" s="15"/>
      <c r="V212" s="15"/>
      <c r="W212" s="21">
        <f t="shared" si="125"/>
        <v>0</v>
      </c>
      <c r="X212" s="15">
        <v>1</v>
      </c>
      <c r="Y212" s="15"/>
      <c r="Z212" s="15"/>
      <c r="AA212" s="15"/>
      <c r="AB212" s="15"/>
      <c r="AC212" s="21">
        <f t="shared" si="126"/>
        <v>0</v>
      </c>
      <c r="AD212" s="15">
        <v>1</v>
      </c>
      <c r="AE212" s="15"/>
      <c r="AF212" s="15"/>
      <c r="AG212" s="15"/>
      <c r="AH212" s="15"/>
      <c r="AI212" s="21">
        <f t="shared" si="127"/>
        <v>0</v>
      </c>
      <c r="AK212" s="128"/>
      <c r="AO212" s="21">
        <f t="shared" si="128"/>
        <v>0</v>
      </c>
      <c r="AT212">
        <v>1</v>
      </c>
      <c r="AU212" s="21">
        <f t="shared" si="123"/>
        <v>1</v>
      </c>
    </row>
    <row r="213" spans="1:48" ht="15" customHeight="1" x14ac:dyDescent="0.2">
      <c r="A213" s="12">
        <v>5</v>
      </c>
      <c r="B213" s="12" t="s">
        <v>226</v>
      </c>
      <c r="C213" s="12" t="s">
        <v>26</v>
      </c>
      <c r="D213" s="12">
        <v>15.17</v>
      </c>
      <c r="E213" s="12">
        <v>1997</v>
      </c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21">
        <f t="shared" si="124"/>
        <v>0</v>
      </c>
      <c r="R213" s="15"/>
      <c r="S213" s="15"/>
      <c r="T213" s="15"/>
      <c r="U213" s="15"/>
      <c r="V213" s="15"/>
      <c r="W213" s="21">
        <f t="shared" si="125"/>
        <v>0</v>
      </c>
      <c r="X213" s="15"/>
      <c r="Y213" s="15"/>
      <c r="Z213" s="15"/>
      <c r="AA213" s="15"/>
      <c r="AB213" s="15"/>
      <c r="AC213" s="21">
        <f t="shared" si="126"/>
        <v>0</v>
      </c>
      <c r="AD213" s="15"/>
      <c r="AE213" s="15"/>
      <c r="AF213" s="15"/>
      <c r="AG213" s="15"/>
      <c r="AH213" s="15"/>
      <c r="AI213" s="21">
        <f t="shared" si="127"/>
        <v>0</v>
      </c>
      <c r="AK213" s="128"/>
      <c r="AO213" s="21">
        <f t="shared" si="128"/>
        <v>0</v>
      </c>
      <c r="AU213" s="21">
        <f t="shared" si="123"/>
        <v>0</v>
      </c>
    </row>
    <row r="214" spans="1:48" ht="15" customHeight="1" x14ac:dyDescent="0.2">
      <c r="A214" s="12">
        <v>5</v>
      </c>
      <c r="B214" s="12" t="s">
        <v>227</v>
      </c>
      <c r="C214" s="12" t="s">
        <v>26</v>
      </c>
      <c r="D214" s="12">
        <v>26.08</v>
      </c>
      <c r="E214" s="12">
        <v>1997</v>
      </c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21">
        <f t="shared" si="124"/>
        <v>0</v>
      </c>
      <c r="R214" s="15">
        <v>1</v>
      </c>
      <c r="S214" s="15"/>
      <c r="T214" s="15"/>
      <c r="U214" s="15"/>
      <c r="V214" s="15"/>
      <c r="W214" s="21">
        <f t="shared" si="125"/>
        <v>0</v>
      </c>
      <c r="X214" s="15">
        <v>1</v>
      </c>
      <c r="Y214" s="15"/>
      <c r="Z214" s="15"/>
      <c r="AA214" s="15"/>
      <c r="AB214" s="15"/>
      <c r="AC214" s="21">
        <f t="shared" si="126"/>
        <v>0</v>
      </c>
      <c r="AD214" s="15"/>
      <c r="AE214" s="15"/>
      <c r="AF214" s="15">
        <v>2</v>
      </c>
      <c r="AG214" s="15"/>
      <c r="AH214" s="15"/>
      <c r="AI214" s="21">
        <f t="shared" si="127"/>
        <v>2</v>
      </c>
      <c r="AK214" s="128"/>
      <c r="AO214" s="21">
        <f t="shared" si="128"/>
        <v>0</v>
      </c>
      <c r="AT214">
        <v>1</v>
      </c>
      <c r="AU214" s="21">
        <f t="shared" si="123"/>
        <v>1</v>
      </c>
    </row>
    <row r="215" spans="1:48" ht="15" customHeight="1" x14ac:dyDescent="0.2">
      <c r="A215" s="12">
        <v>5</v>
      </c>
      <c r="B215" s="12" t="s">
        <v>228</v>
      </c>
      <c r="C215" s="12" t="s">
        <v>26</v>
      </c>
      <c r="D215" s="12">
        <v>34.26</v>
      </c>
      <c r="E215" s="12">
        <v>1997</v>
      </c>
      <c r="F215" s="15"/>
      <c r="G215" s="15"/>
      <c r="H215" s="15"/>
      <c r="I215" s="15"/>
      <c r="J215" s="15"/>
      <c r="K215" s="15"/>
      <c r="L215" s="15">
        <v>1</v>
      </c>
      <c r="M215" s="15">
        <v>0</v>
      </c>
      <c r="N215" s="15">
        <v>0</v>
      </c>
      <c r="O215" s="15">
        <v>0</v>
      </c>
      <c r="P215" s="15">
        <v>0</v>
      </c>
      <c r="Q215" s="21">
        <f t="shared" si="124"/>
        <v>0</v>
      </c>
      <c r="R215" s="15">
        <v>1</v>
      </c>
      <c r="S215" s="15"/>
      <c r="T215" s="15"/>
      <c r="U215" s="15"/>
      <c r="V215" s="15"/>
      <c r="W215" s="21">
        <f t="shared" si="125"/>
        <v>0</v>
      </c>
      <c r="X215" s="15">
        <v>1</v>
      </c>
      <c r="Y215" s="15"/>
      <c r="Z215" s="15"/>
      <c r="AA215" s="15"/>
      <c r="AB215" s="15"/>
      <c r="AC215" s="21">
        <f t="shared" si="126"/>
        <v>0</v>
      </c>
      <c r="AD215" s="15">
        <v>0</v>
      </c>
      <c r="AE215" s="15"/>
      <c r="AF215" s="15"/>
      <c r="AG215" s="15"/>
      <c r="AH215" s="15">
        <v>1</v>
      </c>
      <c r="AI215" s="21">
        <f t="shared" si="127"/>
        <v>1</v>
      </c>
      <c r="AK215" s="128"/>
      <c r="AO215" s="21">
        <f t="shared" si="128"/>
        <v>0</v>
      </c>
      <c r="AS215">
        <v>1</v>
      </c>
      <c r="AU215" s="21">
        <f t="shared" si="123"/>
        <v>1</v>
      </c>
    </row>
    <row r="216" spans="1:48" ht="15" customHeight="1" x14ac:dyDescent="0.2">
      <c r="A216" s="12">
        <v>5</v>
      </c>
      <c r="B216" s="12" t="s">
        <v>229</v>
      </c>
      <c r="C216" s="12" t="s">
        <v>26</v>
      </c>
      <c r="D216" s="12">
        <v>26.83</v>
      </c>
      <c r="E216" s="12">
        <v>1997</v>
      </c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21">
        <f t="shared" si="124"/>
        <v>0</v>
      </c>
      <c r="R216" s="15">
        <v>1</v>
      </c>
      <c r="S216" s="15"/>
      <c r="T216" s="15"/>
      <c r="U216" s="15"/>
      <c r="V216" s="15"/>
      <c r="W216" s="21">
        <f t="shared" si="125"/>
        <v>0</v>
      </c>
      <c r="X216" s="15">
        <v>1</v>
      </c>
      <c r="Y216" s="15"/>
      <c r="Z216" s="15"/>
      <c r="AA216" s="15"/>
      <c r="AB216" s="15"/>
      <c r="AC216" s="21">
        <f t="shared" si="126"/>
        <v>0</v>
      </c>
      <c r="AD216" s="15">
        <v>1</v>
      </c>
      <c r="AE216" s="15"/>
      <c r="AF216" s="15"/>
      <c r="AG216" s="15"/>
      <c r="AH216" s="15"/>
      <c r="AI216" s="21">
        <f t="shared" si="127"/>
        <v>0</v>
      </c>
      <c r="AK216" s="128"/>
      <c r="AO216" s="21">
        <f t="shared" si="128"/>
        <v>0</v>
      </c>
      <c r="AT216">
        <v>1</v>
      </c>
      <c r="AU216" s="21">
        <f t="shared" si="123"/>
        <v>1</v>
      </c>
    </row>
    <row r="217" spans="1:48" ht="15" customHeight="1" x14ac:dyDescent="0.2">
      <c r="A217" s="12">
        <v>5</v>
      </c>
      <c r="B217" s="12" t="s">
        <v>230</v>
      </c>
      <c r="C217" s="12" t="s">
        <v>26</v>
      </c>
      <c r="D217" s="12">
        <v>30.49</v>
      </c>
      <c r="E217" s="12">
        <v>1997</v>
      </c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21">
        <f t="shared" si="124"/>
        <v>0</v>
      </c>
      <c r="R217" s="15">
        <v>1</v>
      </c>
      <c r="S217" s="15"/>
      <c r="T217" s="15"/>
      <c r="U217" s="15"/>
      <c r="V217" s="15"/>
      <c r="W217" s="21">
        <f t="shared" si="125"/>
        <v>0</v>
      </c>
      <c r="X217" s="15">
        <v>1</v>
      </c>
      <c r="Y217" s="15"/>
      <c r="Z217" s="15"/>
      <c r="AA217" s="15"/>
      <c r="AB217" s="15"/>
      <c r="AC217" s="21">
        <f t="shared" si="126"/>
        <v>0</v>
      </c>
      <c r="AD217" s="15">
        <v>1</v>
      </c>
      <c r="AE217" s="15"/>
      <c r="AF217" s="15"/>
      <c r="AG217" s="15"/>
      <c r="AH217" s="15"/>
      <c r="AI217" s="21">
        <f t="shared" si="127"/>
        <v>0</v>
      </c>
      <c r="AK217" s="128"/>
      <c r="AO217" s="21">
        <f t="shared" si="128"/>
        <v>0</v>
      </c>
      <c r="AT217">
        <v>1</v>
      </c>
      <c r="AU217" s="21">
        <f t="shared" si="123"/>
        <v>1</v>
      </c>
    </row>
    <row r="218" spans="1:48" ht="15" customHeight="1" x14ac:dyDescent="0.2">
      <c r="A218" s="12">
        <v>5</v>
      </c>
      <c r="B218" s="12" t="s">
        <v>231</v>
      </c>
      <c r="C218" s="12" t="s">
        <v>26</v>
      </c>
      <c r="D218" s="12">
        <v>24.54</v>
      </c>
      <c r="E218" s="12">
        <v>1997</v>
      </c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21">
        <f t="shared" si="124"/>
        <v>0</v>
      </c>
      <c r="R218" s="15">
        <v>1</v>
      </c>
      <c r="S218" s="15"/>
      <c r="T218" s="15"/>
      <c r="U218" s="15"/>
      <c r="V218" s="15"/>
      <c r="W218" s="21">
        <f t="shared" si="125"/>
        <v>0</v>
      </c>
      <c r="X218" s="15">
        <v>1</v>
      </c>
      <c r="Y218" s="15"/>
      <c r="Z218" s="15"/>
      <c r="AA218" s="15"/>
      <c r="AB218" s="15"/>
      <c r="AC218" s="21">
        <f t="shared" si="126"/>
        <v>0</v>
      </c>
      <c r="AD218" s="15">
        <v>1</v>
      </c>
      <c r="AE218" s="15"/>
      <c r="AF218" s="15"/>
      <c r="AG218" s="15"/>
      <c r="AH218" s="15"/>
      <c r="AI218" s="21">
        <f t="shared" si="127"/>
        <v>0</v>
      </c>
      <c r="AK218" s="128"/>
      <c r="AO218" s="21">
        <f t="shared" si="128"/>
        <v>0</v>
      </c>
      <c r="AT218">
        <v>1</v>
      </c>
      <c r="AU218" s="21">
        <f t="shared" si="123"/>
        <v>1</v>
      </c>
    </row>
    <row r="219" spans="1:48" ht="15" customHeight="1" x14ac:dyDescent="0.2">
      <c r="A219" s="12">
        <v>5</v>
      </c>
      <c r="B219" s="12" t="s">
        <v>232</v>
      </c>
      <c r="C219" s="12" t="s">
        <v>26</v>
      </c>
      <c r="D219" s="12">
        <v>20.05</v>
      </c>
      <c r="E219" s="12">
        <v>1997</v>
      </c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21">
        <f t="shared" si="124"/>
        <v>0</v>
      </c>
      <c r="R219" s="15">
        <v>0</v>
      </c>
      <c r="S219" s="15"/>
      <c r="T219" s="15"/>
      <c r="U219" s="15"/>
      <c r="V219" s="15"/>
      <c r="W219" s="21">
        <f t="shared" si="125"/>
        <v>0</v>
      </c>
      <c r="X219" s="15">
        <v>0</v>
      </c>
      <c r="Y219" s="15"/>
      <c r="Z219" s="15"/>
      <c r="AA219" s="15"/>
      <c r="AB219" s="15"/>
      <c r="AC219" s="21">
        <f t="shared" si="126"/>
        <v>0</v>
      </c>
      <c r="AD219" s="15"/>
      <c r="AE219" s="15"/>
      <c r="AF219" s="15"/>
      <c r="AG219" s="15"/>
      <c r="AH219" s="15"/>
      <c r="AI219" s="21">
        <f t="shared" si="127"/>
        <v>0</v>
      </c>
      <c r="AK219" s="128"/>
      <c r="AO219" s="21">
        <f t="shared" si="128"/>
        <v>0</v>
      </c>
      <c r="AU219" s="21">
        <f t="shared" si="123"/>
        <v>0</v>
      </c>
    </row>
    <row r="220" spans="1:48" x14ac:dyDescent="0.2">
      <c r="A220" s="131" t="s">
        <v>71</v>
      </c>
      <c r="B220" s="131"/>
      <c r="C220" s="131"/>
      <c r="D220" s="13">
        <f>SUM(D178:D219)</f>
        <v>1144.5399999999997</v>
      </c>
      <c r="E220" s="13"/>
      <c r="F220" s="13"/>
      <c r="G220" s="13"/>
      <c r="H220" s="13"/>
      <c r="I220" s="13"/>
      <c r="J220" s="13"/>
      <c r="K220" s="13"/>
      <c r="L220" s="13">
        <f>SUM(L178:L219)</f>
        <v>4</v>
      </c>
      <c r="M220" s="13">
        <f t="shared" ref="M220" si="129">SUM(M178:M219)</f>
        <v>0</v>
      </c>
      <c r="N220" s="13">
        <f t="shared" ref="N220" si="130">SUM(N178:N219)</f>
        <v>0</v>
      </c>
      <c r="O220" s="13">
        <f t="shared" ref="O220" si="131">SUM(O178:O219)</f>
        <v>0</v>
      </c>
      <c r="P220" s="13">
        <f t="shared" ref="P220" si="132">SUM(P178:P219)</f>
        <v>0</v>
      </c>
      <c r="Q220" s="13">
        <f t="shared" ref="Q220" si="133">SUM(Q178:Q219)</f>
        <v>0</v>
      </c>
      <c r="R220" s="13">
        <f t="shared" ref="R220" si="134">SUM(R178:R219)</f>
        <v>36</v>
      </c>
      <c r="S220" s="13">
        <f t="shared" ref="S220" si="135">SUM(S178:S219)</f>
        <v>1</v>
      </c>
      <c r="T220" s="13">
        <f t="shared" ref="T220" si="136">SUM(T178:T219)</f>
        <v>0</v>
      </c>
      <c r="U220" s="13">
        <f t="shared" ref="U220" si="137">SUM(U178:U219)</f>
        <v>2</v>
      </c>
      <c r="V220" s="13">
        <f t="shared" ref="V220" si="138">SUM(V178:V219)</f>
        <v>1</v>
      </c>
      <c r="W220" s="13">
        <f t="shared" ref="W220" si="139">SUM(W178:W219)</f>
        <v>4</v>
      </c>
      <c r="X220" s="13">
        <f t="shared" ref="X220" si="140">SUM(X178:X219)</f>
        <v>36</v>
      </c>
      <c r="Y220" s="13">
        <f t="shared" ref="Y220" si="141">SUM(Y178:Y219)</f>
        <v>1</v>
      </c>
      <c r="Z220" s="13">
        <f t="shared" ref="Z220" si="142">SUM(Z178:Z219)</f>
        <v>0</v>
      </c>
      <c r="AA220" s="13">
        <f t="shared" ref="AA220" si="143">SUM(AA178:AA219)</f>
        <v>2</v>
      </c>
      <c r="AB220" s="13">
        <f t="shared" ref="AB220" si="144">SUM(AB178:AB219)</f>
        <v>1</v>
      </c>
      <c r="AC220" s="13">
        <f t="shared" ref="AC220" si="145">SUM(AC178:AC219)</f>
        <v>4</v>
      </c>
      <c r="AD220" s="13">
        <f t="shared" ref="AD220" si="146">SUM(AD178:AD219)</f>
        <v>33</v>
      </c>
      <c r="AE220" s="13">
        <f t="shared" ref="AE220" si="147">SUM(AE178:AE219)</f>
        <v>0</v>
      </c>
      <c r="AF220" s="13">
        <f t="shared" ref="AF220" si="148">SUM(AF178:AF219)</f>
        <v>6</v>
      </c>
      <c r="AG220" s="13">
        <f t="shared" ref="AG220" si="149">SUM(AG178:AG219)</f>
        <v>0</v>
      </c>
      <c r="AH220" s="13">
        <f t="shared" ref="AH220" si="150">SUM(AH178:AH219)</f>
        <v>1</v>
      </c>
      <c r="AI220" s="13">
        <f t="shared" ref="AI220" si="151">SUM(AI178:AI219)</f>
        <v>7</v>
      </c>
      <c r="AJ220" s="13">
        <f t="shared" ref="AJ220" si="152">SUM(AJ178:AJ219)</f>
        <v>0</v>
      </c>
      <c r="AK220" s="13">
        <f t="shared" ref="AK220" si="153">SUM(AK178:AK219)</f>
        <v>0</v>
      </c>
      <c r="AL220" s="13">
        <f t="shared" ref="AL220" si="154">SUM(AL178:AL219)</f>
        <v>0</v>
      </c>
      <c r="AM220" s="13">
        <f t="shared" ref="AM220" si="155">SUM(AM178:AM219)</f>
        <v>0</v>
      </c>
      <c r="AN220" s="13">
        <f t="shared" ref="AN220" si="156">SUM(AN178:AN219)</f>
        <v>0</v>
      </c>
      <c r="AO220" s="13">
        <f t="shared" ref="AO220" si="157">SUM(AO178:AO219)</f>
        <v>0</v>
      </c>
      <c r="AP220" s="13">
        <f t="shared" ref="AP220" si="158">SUM(AP178:AP219)</f>
        <v>5</v>
      </c>
      <c r="AQ220" s="13">
        <f t="shared" ref="AQ220" si="159">SUM(AQ178:AQ219)</f>
        <v>0</v>
      </c>
      <c r="AR220" s="13">
        <f t="shared" ref="AR220" si="160">SUM(AR178:AR219)</f>
        <v>2</v>
      </c>
      <c r="AS220" s="13">
        <f t="shared" ref="AS220" si="161">SUM(AS178:AS219)</f>
        <v>1</v>
      </c>
      <c r="AT220" s="13">
        <f t="shared" ref="AT220" si="162">SUM(AT178:AT219)</f>
        <v>30</v>
      </c>
      <c r="AU220" s="13">
        <f t="shared" ref="AU220" si="163">SUM(AU178:AU219)</f>
        <v>33</v>
      </c>
      <c r="AV220" s="13">
        <f t="shared" ref="AV220" si="164">SUM(AV178:AV219)</f>
        <v>0</v>
      </c>
    </row>
    <row r="221" spans="1:48" x14ac:dyDescent="0.2">
      <c r="A221" s="12">
        <v>6</v>
      </c>
      <c r="B221" s="12" t="s">
        <v>238</v>
      </c>
      <c r="C221" s="12" t="s">
        <v>26</v>
      </c>
      <c r="D221" s="12">
        <v>30.28</v>
      </c>
      <c r="E221" s="12">
        <v>1997</v>
      </c>
      <c r="F221" s="15"/>
      <c r="G221" s="15"/>
      <c r="H221" s="15"/>
      <c r="I221" s="15"/>
      <c r="J221" s="15"/>
      <c r="K221" s="15"/>
      <c r="L221" s="15"/>
      <c r="M221" s="21">
        <v>0</v>
      </c>
      <c r="N221" s="21">
        <v>0</v>
      </c>
      <c r="O221" s="21">
        <v>0</v>
      </c>
      <c r="P221" s="21">
        <v>1</v>
      </c>
      <c r="Q221" s="21">
        <f t="shared" si="124"/>
        <v>1</v>
      </c>
      <c r="R221" s="15"/>
      <c r="S221" s="21">
        <v>0</v>
      </c>
      <c r="T221" s="21">
        <v>0</v>
      </c>
      <c r="U221" s="21">
        <v>1</v>
      </c>
      <c r="V221" s="21">
        <v>1</v>
      </c>
      <c r="W221" s="21">
        <f t="shared" si="125"/>
        <v>2</v>
      </c>
      <c r="X221" s="15"/>
      <c r="Y221" s="21">
        <v>1</v>
      </c>
      <c r="Z221" s="21">
        <v>0</v>
      </c>
      <c r="AA221" s="21">
        <v>0</v>
      </c>
      <c r="AB221" s="21">
        <v>1</v>
      </c>
      <c r="AC221" s="21">
        <f t="shared" si="126"/>
        <v>2</v>
      </c>
      <c r="AD221" s="15">
        <v>0</v>
      </c>
      <c r="AE221" s="21">
        <v>0</v>
      </c>
      <c r="AF221" s="21">
        <v>0</v>
      </c>
      <c r="AG221" s="21">
        <v>0</v>
      </c>
      <c r="AH221" s="21">
        <v>1</v>
      </c>
      <c r="AI221" s="21">
        <f t="shared" si="127"/>
        <v>1</v>
      </c>
      <c r="AK221" s="128">
        <v>1</v>
      </c>
      <c r="AL221">
        <v>1</v>
      </c>
      <c r="AM221">
        <v>0</v>
      </c>
      <c r="AN221">
        <v>0</v>
      </c>
      <c r="AO221" s="21">
        <f t="shared" si="128"/>
        <v>2</v>
      </c>
      <c r="AQ221">
        <v>1</v>
      </c>
      <c r="AR221">
        <v>1</v>
      </c>
      <c r="AS221">
        <v>0</v>
      </c>
      <c r="AT221">
        <v>0</v>
      </c>
      <c r="AU221" s="21">
        <f t="shared" si="123"/>
        <v>2</v>
      </c>
    </row>
    <row r="222" spans="1:48" x14ac:dyDescent="0.2">
      <c r="A222" s="12">
        <v>6</v>
      </c>
      <c r="B222" s="12" t="s">
        <v>241</v>
      </c>
      <c r="C222" s="12" t="s">
        <v>26</v>
      </c>
      <c r="D222" s="12">
        <v>30.43</v>
      </c>
      <c r="E222" s="12">
        <v>1997</v>
      </c>
      <c r="F222" s="15"/>
      <c r="G222" s="15"/>
      <c r="H222" s="15"/>
      <c r="I222" s="15"/>
      <c r="J222" s="15"/>
      <c r="K222" s="15"/>
      <c r="L222" s="15"/>
      <c r="M222" s="21">
        <v>0</v>
      </c>
      <c r="N222" s="21">
        <v>0</v>
      </c>
      <c r="O222" s="21">
        <v>2</v>
      </c>
      <c r="P222" s="21">
        <v>1</v>
      </c>
      <c r="Q222" s="21">
        <f t="shared" si="124"/>
        <v>3</v>
      </c>
      <c r="R222" s="15"/>
      <c r="S222" s="21">
        <v>0</v>
      </c>
      <c r="T222" s="21">
        <v>2</v>
      </c>
      <c r="U222" s="21">
        <v>0</v>
      </c>
      <c r="V222" s="21">
        <v>1</v>
      </c>
      <c r="W222" s="21">
        <f t="shared" si="125"/>
        <v>3</v>
      </c>
      <c r="X222" s="15"/>
      <c r="Y222" s="21">
        <v>2</v>
      </c>
      <c r="Z222" s="21">
        <v>0</v>
      </c>
      <c r="AA222" s="21">
        <v>0</v>
      </c>
      <c r="AB222" s="21">
        <v>1</v>
      </c>
      <c r="AC222" s="21">
        <f t="shared" si="126"/>
        <v>3</v>
      </c>
      <c r="AD222" s="15"/>
      <c r="AE222" s="21">
        <v>0</v>
      </c>
      <c r="AF222" s="21">
        <v>0</v>
      </c>
      <c r="AG222" s="21">
        <v>2</v>
      </c>
      <c r="AH222" s="21">
        <v>0</v>
      </c>
      <c r="AI222" s="21">
        <f t="shared" si="127"/>
        <v>2</v>
      </c>
      <c r="AK222" s="128">
        <v>1</v>
      </c>
      <c r="AL222">
        <v>0</v>
      </c>
      <c r="AM222">
        <v>0</v>
      </c>
      <c r="AN222">
        <v>0</v>
      </c>
      <c r="AO222" s="21">
        <f t="shared" si="128"/>
        <v>1</v>
      </c>
      <c r="AQ222">
        <v>1</v>
      </c>
      <c r="AR222">
        <v>0</v>
      </c>
      <c r="AS222">
        <v>0</v>
      </c>
      <c r="AT222">
        <v>0</v>
      </c>
      <c r="AU222" s="21">
        <f t="shared" si="123"/>
        <v>1</v>
      </c>
    </row>
    <row r="223" spans="1:48" x14ac:dyDescent="0.2">
      <c r="A223" s="12">
        <v>6</v>
      </c>
      <c r="B223" s="12" t="s">
        <v>233</v>
      </c>
      <c r="C223" s="12" t="s">
        <v>26</v>
      </c>
      <c r="D223" s="12">
        <v>30.79</v>
      </c>
      <c r="E223" s="12">
        <v>1997</v>
      </c>
      <c r="F223" s="15"/>
      <c r="G223" s="15"/>
      <c r="H223" s="15"/>
      <c r="I223" s="15"/>
      <c r="J223" s="15"/>
      <c r="K223" s="15"/>
      <c r="L223" s="15"/>
      <c r="M223" s="21">
        <v>1</v>
      </c>
      <c r="N223" s="21">
        <v>0</v>
      </c>
      <c r="O223" s="21">
        <v>0</v>
      </c>
      <c r="P223" s="21">
        <v>1</v>
      </c>
      <c r="Q223" s="21">
        <f t="shared" si="124"/>
        <v>2</v>
      </c>
      <c r="R223" s="15"/>
      <c r="S223" s="21">
        <v>1</v>
      </c>
      <c r="T223" s="21">
        <v>0</v>
      </c>
      <c r="U223" s="21">
        <v>0</v>
      </c>
      <c r="V223" s="21">
        <v>1</v>
      </c>
      <c r="W223" s="21">
        <f t="shared" si="125"/>
        <v>2</v>
      </c>
      <c r="X223" s="15"/>
      <c r="Y223" s="21">
        <v>1</v>
      </c>
      <c r="Z223" s="21">
        <v>0</v>
      </c>
      <c r="AA223" s="21">
        <v>0</v>
      </c>
      <c r="AB223" s="21">
        <v>1</v>
      </c>
      <c r="AC223" s="21">
        <f t="shared" si="126"/>
        <v>2</v>
      </c>
      <c r="AD223" s="15"/>
      <c r="AE223" s="21">
        <v>1</v>
      </c>
      <c r="AF223" s="21">
        <v>0</v>
      </c>
      <c r="AG223" s="21">
        <v>0</v>
      </c>
      <c r="AH223" s="21">
        <v>0</v>
      </c>
      <c r="AI223" s="21">
        <f t="shared" si="127"/>
        <v>1</v>
      </c>
      <c r="AK223" s="128">
        <v>1</v>
      </c>
      <c r="AL223">
        <v>2</v>
      </c>
      <c r="AM223">
        <v>1</v>
      </c>
      <c r="AN223">
        <v>0</v>
      </c>
      <c r="AO223" s="21">
        <f t="shared" si="128"/>
        <v>4</v>
      </c>
      <c r="AQ223">
        <v>1</v>
      </c>
      <c r="AR223">
        <v>2</v>
      </c>
      <c r="AS223">
        <v>2</v>
      </c>
      <c r="AT223">
        <v>0</v>
      </c>
      <c r="AU223" s="21">
        <f t="shared" si="123"/>
        <v>5</v>
      </c>
    </row>
    <row r="224" spans="1:48" ht="15" customHeight="1" x14ac:dyDescent="0.2">
      <c r="A224" s="12">
        <v>6</v>
      </c>
      <c r="B224" s="12" t="s">
        <v>234</v>
      </c>
      <c r="C224" s="12" t="s">
        <v>26</v>
      </c>
      <c r="D224" s="12">
        <v>30.22</v>
      </c>
      <c r="E224" s="12">
        <v>1997</v>
      </c>
      <c r="F224" s="15"/>
      <c r="G224" s="15"/>
      <c r="H224" s="15"/>
      <c r="I224" s="15"/>
      <c r="J224" s="15"/>
      <c r="K224" s="15"/>
      <c r="L224" s="15">
        <v>1</v>
      </c>
      <c r="M224" s="21">
        <v>0</v>
      </c>
      <c r="N224" s="21">
        <v>0</v>
      </c>
      <c r="O224" s="21">
        <v>0</v>
      </c>
      <c r="P224" s="21">
        <v>0</v>
      </c>
      <c r="Q224" s="21">
        <f t="shared" si="124"/>
        <v>0</v>
      </c>
      <c r="R224" s="15">
        <v>1</v>
      </c>
      <c r="S224" s="21">
        <v>0</v>
      </c>
      <c r="T224" s="21">
        <v>0</v>
      </c>
      <c r="U224" s="21">
        <v>0</v>
      </c>
      <c r="V224" s="21">
        <v>0</v>
      </c>
      <c r="W224" s="21">
        <f t="shared" si="125"/>
        <v>0</v>
      </c>
      <c r="X224" s="15"/>
      <c r="Y224" s="21">
        <v>0</v>
      </c>
      <c r="Z224" s="21">
        <v>0</v>
      </c>
      <c r="AA224" s="21">
        <v>0</v>
      </c>
      <c r="AB224" s="21">
        <v>1</v>
      </c>
      <c r="AC224" s="21">
        <f t="shared" si="126"/>
        <v>1</v>
      </c>
      <c r="AD224" s="15">
        <v>1</v>
      </c>
      <c r="AE224" s="21">
        <v>0</v>
      </c>
      <c r="AF224" s="21">
        <v>0</v>
      </c>
      <c r="AG224" s="21">
        <v>0</v>
      </c>
      <c r="AH224" s="21">
        <v>0</v>
      </c>
      <c r="AI224" s="21">
        <f t="shared" si="127"/>
        <v>0</v>
      </c>
      <c r="AK224" s="128">
        <v>1</v>
      </c>
      <c r="AL224">
        <v>0</v>
      </c>
      <c r="AM224">
        <v>0</v>
      </c>
      <c r="AN224">
        <v>0</v>
      </c>
      <c r="AO224" s="21">
        <f t="shared" si="128"/>
        <v>1</v>
      </c>
      <c r="AQ224">
        <v>1</v>
      </c>
      <c r="AR224">
        <v>0</v>
      </c>
      <c r="AS224">
        <v>0</v>
      </c>
      <c r="AT224">
        <v>0</v>
      </c>
      <c r="AU224" s="21">
        <f t="shared" si="123"/>
        <v>1</v>
      </c>
    </row>
    <row r="225" spans="1:47" ht="15" customHeight="1" x14ac:dyDescent="0.2">
      <c r="A225" s="12">
        <v>6</v>
      </c>
      <c r="B225" s="12" t="s">
        <v>235</v>
      </c>
      <c r="C225" s="12" t="s">
        <v>26</v>
      </c>
      <c r="D225" s="12">
        <v>28.5</v>
      </c>
      <c r="E225" s="12">
        <v>1997</v>
      </c>
      <c r="F225" s="15"/>
      <c r="G225" s="15"/>
      <c r="H225" s="15"/>
      <c r="I225" s="15"/>
      <c r="J225" s="15"/>
      <c r="K225" s="15"/>
      <c r="L225" s="15">
        <v>1</v>
      </c>
      <c r="M225" s="21">
        <v>0</v>
      </c>
      <c r="N225" s="21">
        <v>0</v>
      </c>
      <c r="O225" s="21">
        <v>0</v>
      </c>
      <c r="P225" s="21">
        <v>0</v>
      </c>
      <c r="Q225" s="21">
        <f t="shared" si="124"/>
        <v>0</v>
      </c>
      <c r="R225" s="15">
        <v>1</v>
      </c>
      <c r="S225" s="21">
        <v>0</v>
      </c>
      <c r="T225" s="21">
        <v>0</v>
      </c>
      <c r="U225" s="21">
        <v>0</v>
      </c>
      <c r="V225" s="21">
        <v>0</v>
      </c>
      <c r="W225" s="21">
        <f t="shared" si="125"/>
        <v>0</v>
      </c>
      <c r="X225" s="15"/>
      <c r="Y225" s="21">
        <v>1</v>
      </c>
      <c r="Z225" s="21">
        <v>0</v>
      </c>
      <c r="AA225" s="21">
        <v>0</v>
      </c>
      <c r="AB225" s="21">
        <v>1</v>
      </c>
      <c r="AC225" s="21">
        <f t="shared" si="126"/>
        <v>2</v>
      </c>
      <c r="AD225" s="15">
        <v>1</v>
      </c>
      <c r="AE225" s="21">
        <v>0</v>
      </c>
      <c r="AF225" s="21">
        <v>0</v>
      </c>
      <c r="AG225" s="21">
        <v>0</v>
      </c>
      <c r="AH225" s="21">
        <v>0</v>
      </c>
      <c r="AI225" s="21">
        <f t="shared" si="127"/>
        <v>0</v>
      </c>
      <c r="AK225" s="128">
        <v>1</v>
      </c>
      <c r="AL225">
        <v>1</v>
      </c>
      <c r="AM225">
        <v>1</v>
      </c>
      <c r="AN225">
        <v>0</v>
      </c>
      <c r="AO225" s="21">
        <f t="shared" si="128"/>
        <v>3</v>
      </c>
      <c r="AQ225">
        <v>1</v>
      </c>
      <c r="AR225">
        <v>1</v>
      </c>
      <c r="AS225">
        <v>1</v>
      </c>
      <c r="AT225">
        <v>0</v>
      </c>
      <c r="AU225" s="21">
        <f t="shared" si="123"/>
        <v>3</v>
      </c>
    </row>
    <row r="226" spans="1:47" ht="15" customHeight="1" x14ac:dyDescent="0.2">
      <c r="A226" s="12">
        <v>6</v>
      </c>
      <c r="B226" s="12" t="s">
        <v>236</v>
      </c>
      <c r="C226" s="12" t="s">
        <v>26</v>
      </c>
      <c r="D226" s="12">
        <v>32.299999999999997</v>
      </c>
      <c r="E226" s="12">
        <v>1997</v>
      </c>
      <c r="F226" s="15"/>
      <c r="G226" s="15"/>
      <c r="H226" s="15"/>
      <c r="I226" s="15"/>
      <c r="J226" s="15"/>
      <c r="K226" s="15"/>
      <c r="L226" s="15">
        <v>1</v>
      </c>
      <c r="M226" s="21">
        <v>0</v>
      </c>
      <c r="N226" s="21">
        <v>0</v>
      </c>
      <c r="O226" s="21">
        <v>0</v>
      </c>
      <c r="P226" s="21">
        <v>0</v>
      </c>
      <c r="Q226" s="21">
        <f t="shared" si="124"/>
        <v>0</v>
      </c>
      <c r="R226" s="15"/>
      <c r="S226" s="21">
        <v>1</v>
      </c>
      <c r="T226" s="21">
        <v>0</v>
      </c>
      <c r="U226" s="21">
        <v>0</v>
      </c>
      <c r="V226" s="21">
        <v>1</v>
      </c>
      <c r="W226" s="21">
        <f t="shared" si="125"/>
        <v>2</v>
      </c>
      <c r="X226" s="15"/>
      <c r="Y226" s="21">
        <v>1</v>
      </c>
      <c r="Z226" s="21">
        <v>0</v>
      </c>
      <c r="AA226" s="21">
        <v>0</v>
      </c>
      <c r="AB226" s="21">
        <v>1</v>
      </c>
      <c r="AC226" s="21">
        <f t="shared" si="126"/>
        <v>2</v>
      </c>
      <c r="AD226" s="15">
        <v>1</v>
      </c>
      <c r="AE226" s="21">
        <v>0</v>
      </c>
      <c r="AF226" s="21">
        <v>0</v>
      </c>
      <c r="AG226" s="21">
        <v>0</v>
      </c>
      <c r="AH226" s="21">
        <v>0</v>
      </c>
      <c r="AI226" s="21">
        <f t="shared" si="127"/>
        <v>0</v>
      </c>
      <c r="AK226" s="128">
        <v>1</v>
      </c>
      <c r="AL226">
        <v>1</v>
      </c>
      <c r="AM226">
        <v>0</v>
      </c>
      <c r="AN226">
        <v>0</v>
      </c>
      <c r="AO226" s="21">
        <f t="shared" si="128"/>
        <v>2</v>
      </c>
      <c r="AQ226">
        <v>1</v>
      </c>
      <c r="AR226">
        <v>1</v>
      </c>
      <c r="AS226">
        <v>0</v>
      </c>
      <c r="AT226">
        <v>0</v>
      </c>
      <c r="AU226" s="21">
        <f t="shared" si="123"/>
        <v>2</v>
      </c>
    </row>
    <row r="227" spans="1:47" x14ac:dyDescent="0.2">
      <c r="A227" s="12">
        <v>6</v>
      </c>
      <c r="B227" s="12" t="s">
        <v>237</v>
      </c>
      <c r="C227" s="12" t="s">
        <v>26</v>
      </c>
      <c r="D227" s="12">
        <v>29.54</v>
      </c>
      <c r="E227" s="12">
        <v>1997</v>
      </c>
      <c r="F227" s="15"/>
      <c r="G227" s="15"/>
      <c r="H227" s="15"/>
      <c r="I227" s="15"/>
      <c r="J227" s="15"/>
      <c r="K227" s="15"/>
      <c r="L227" s="15"/>
      <c r="M227" s="21">
        <v>0</v>
      </c>
      <c r="N227" s="21">
        <v>0</v>
      </c>
      <c r="O227" s="21">
        <v>1</v>
      </c>
      <c r="P227" s="21">
        <v>1</v>
      </c>
      <c r="Q227" s="21">
        <f t="shared" si="124"/>
        <v>2</v>
      </c>
      <c r="R227" s="15"/>
      <c r="S227" s="21">
        <v>0</v>
      </c>
      <c r="T227" s="21">
        <v>0</v>
      </c>
      <c r="U227" s="21">
        <v>2</v>
      </c>
      <c r="V227" s="21">
        <v>1</v>
      </c>
      <c r="W227" s="21">
        <f t="shared" si="125"/>
        <v>3</v>
      </c>
      <c r="X227" s="15"/>
      <c r="Y227" s="21">
        <v>1</v>
      </c>
      <c r="Z227" s="21">
        <v>0</v>
      </c>
      <c r="AA227" s="21">
        <v>1</v>
      </c>
      <c r="AB227" s="21">
        <v>1</v>
      </c>
      <c r="AC227" s="21">
        <f t="shared" si="126"/>
        <v>3</v>
      </c>
      <c r="AD227" s="15"/>
      <c r="AE227" s="21">
        <v>0</v>
      </c>
      <c r="AF227" s="21">
        <v>0</v>
      </c>
      <c r="AG227" s="21">
        <v>1</v>
      </c>
      <c r="AH227" s="21">
        <v>0</v>
      </c>
      <c r="AI227" s="21">
        <f t="shared" si="127"/>
        <v>1</v>
      </c>
      <c r="AK227" s="128">
        <v>1</v>
      </c>
      <c r="AL227">
        <v>1</v>
      </c>
      <c r="AM227">
        <v>0</v>
      </c>
      <c r="AN227">
        <v>0</v>
      </c>
      <c r="AO227" s="21">
        <f t="shared" si="128"/>
        <v>2</v>
      </c>
      <c r="AQ227">
        <v>1</v>
      </c>
      <c r="AR227">
        <v>2</v>
      </c>
      <c r="AS227">
        <v>0</v>
      </c>
      <c r="AT227">
        <v>0</v>
      </c>
      <c r="AU227" s="21">
        <f t="shared" si="123"/>
        <v>3</v>
      </c>
    </row>
    <row r="228" spans="1:47" ht="15" customHeight="1" x14ac:dyDescent="0.2">
      <c r="A228" s="12">
        <v>6</v>
      </c>
      <c r="B228" s="12" t="s">
        <v>265</v>
      </c>
      <c r="C228" s="12" t="s">
        <v>26</v>
      </c>
      <c r="D228" s="12">
        <v>33.520000000000003</v>
      </c>
      <c r="E228" s="12">
        <v>1997</v>
      </c>
      <c r="F228" s="15"/>
      <c r="G228" s="15"/>
      <c r="H228" s="15"/>
      <c r="I228" s="15"/>
      <c r="J228" s="15"/>
      <c r="K228" s="15"/>
      <c r="L228" s="15">
        <v>1</v>
      </c>
      <c r="M228" s="21">
        <v>0</v>
      </c>
      <c r="N228" s="21">
        <v>0</v>
      </c>
      <c r="O228" s="21">
        <v>0</v>
      </c>
      <c r="P228" s="21">
        <v>0</v>
      </c>
      <c r="Q228" s="21">
        <f t="shared" si="124"/>
        <v>0</v>
      </c>
      <c r="R228" s="15">
        <v>1</v>
      </c>
      <c r="S228" s="21">
        <v>0</v>
      </c>
      <c r="T228" s="21">
        <v>0</v>
      </c>
      <c r="U228" s="21">
        <v>0</v>
      </c>
      <c r="V228" s="21">
        <v>0</v>
      </c>
      <c r="W228" s="21">
        <f t="shared" si="125"/>
        <v>0</v>
      </c>
      <c r="X228" s="15">
        <v>1</v>
      </c>
      <c r="Y228" s="21">
        <v>0</v>
      </c>
      <c r="Z228" s="21">
        <v>0</v>
      </c>
      <c r="AA228" s="21">
        <v>0</v>
      </c>
      <c r="AB228" s="21">
        <v>0</v>
      </c>
      <c r="AC228" s="21">
        <f t="shared" si="126"/>
        <v>0</v>
      </c>
      <c r="AD228" s="15">
        <v>1</v>
      </c>
      <c r="AE228" s="21">
        <v>0</v>
      </c>
      <c r="AF228" s="21">
        <v>0</v>
      </c>
      <c r="AG228" s="21">
        <v>0</v>
      </c>
      <c r="AH228" s="21">
        <v>0</v>
      </c>
      <c r="AI228" s="21">
        <f t="shared" si="127"/>
        <v>0</v>
      </c>
      <c r="AK228" s="128">
        <v>0</v>
      </c>
      <c r="AL228">
        <v>0</v>
      </c>
      <c r="AM228">
        <v>0</v>
      </c>
      <c r="AN228">
        <v>1</v>
      </c>
      <c r="AO228" s="21">
        <f t="shared" si="128"/>
        <v>1</v>
      </c>
      <c r="AQ228">
        <v>0</v>
      </c>
      <c r="AR228">
        <v>0</v>
      </c>
      <c r="AS228">
        <v>0</v>
      </c>
      <c r="AT228">
        <v>1</v>
      </c>
      <c r="AU228" s="21">
        <f t="shared" si="123"/>
        <v>1</v>
      </c>
    </row>
    <row r="229" spans="1:47" x14ac:dyDescent="0.2">
      <c r="A229" s="12">
        <v>6</v>
      </c>
      <c r="B229" s="12" t="s">
        <v>266</v>
      </c>
      <c r="C229" s="12" t="s">
        <v>26</v>
      </c>
      <c r="D229" s="12">
        <v>29.16</v>
      </c>
      <c r="E229" s="12">
        <v>1997</v>
      </c>
      <c r="F229" s="15"/>
      <c r="G229" s="15"/>
      <c r="H229" s="15"/>
      <c r="I229" s="15"/>
      <c r="J229" s="15"/>
      <c r="K229" s="15"/>
      <c r="L229" s="15"/>
      <c r="M229" s="21">
        <v>0</v>
      </c>
      <c r="N229" s="21">
        <v>0</v>
      </c>
      <c r="O229" s="21">
        <v>0</v>
      </c>
      <c r="P229" s="21">
        <v>1</v>
      </c>
      <c r="Q229" s="21">
        <f t="shared" si="124"/>
        <v>1</v>
      </c>
      <c r="R229" s="15"/>
      <c r="S229" s="21">
        <v>0</v>
      </c>
      <c r="T229" s="21">
        <v>0</v>
      </c>
      <c r="U229" s="21">
        <v>0</v>
      </c>
      <c r="V229" s="21">
        <v>1</v>
      </c>
      <c r="W229" s="21">
        <f t="shared" si="125"/>
        <v>1</v>
      </c>
      <c r="X229" s="15">
        <v>1</v>
      </c>
      <c r="Y229" s="21">
        <v>0</v>
      </c>
      <c r="Z229" s="21">
        <v>0</v>
      </c>
      <c r="AA229" s="21">
        <v>0</v>
      </c>
      <c r="AB229" s="21">
        <v>0</v>
      </c>
      <c r="AC229" s="21">
        <f t="shared" si="126"/>
        <v>0</v>
      </c>
      <c r="AD229" s="15">
        <v>0</v>
      </c>
      <c r="AE229" s="21">
        <v>0</v>
      </c>
      <c r="AF229" s="21">
        <v>0</v>
      </c>
      <c r="AG229" s="21">
        <v>0</v>
      </c>
      <c r="AH229" s="21">
        <v>1</v>
      </c>
      <c r="AI229" s="21">
        <f t="shared" si="127"/>
        <v>1</v>
      </c>
      <c r="AK229" s="128">
        <v>1</v>
      </c>
      <c r="AL229">
        <v>0</v>
      </c>
      <c r="AM229">
        <v>1</v>
      </c>
      <c r="AN229">
        <v>0</v>
      </c>
      <c r="AO229" s="21">
        <f t="shared" si="128"/>
        <v>2</v>
      </c>
      <c r="AQ229">
        <v>1</v>
      </c>
      <c r="AR229">
        <v>0</v>
      </c>
      <c r="AS229">
        <v>2</v>
      </c>
      <c r="AT229">
        <v>0</v>
      </c>
      <c r="AU229" s="21">
        <f t="shared" si="123"/>
        <v>3</v>
      </c>
    </row>
    <row r="230" spans="1:47" ht="15" customHeight="1" x14ac:dyDescent="0.2">
      <c r="A230" s="12">
        <v>6</v>
      </c>
      <c r="B230" s="12" t="s">
        <v>252</v>
      </c>
      <c r="C230" s="12" t="s">
        <v>26</v>
      </c>
      <c r="D230" s="12">
        <v>28.09</v>
      </c>
      <c r="E230" s="12">
        <v>2003</v>
      </c>
      <c r="F230" s="15"/>
      <c r="G230" s="15"/>
      <c r="H230" s="15"/>
      <c r="I230" s="15"/>
      <c r="J230" s="15"/>
      <c r="K230" s="15"/>
      <c r="L230" s="15">
        <v>1</v>
      </c>
      <c r="M230" s="21">
        <v>0</v>
      </c>
      <c r="N230" s="21">
        <v>0</v>
      </c>
      <c r="O230" s="21">
        <v>0</v>
      </c>
      <c r="P230" s="21">
        <v>0</v>
      </c>
      <c r="Q230" s="21">
        <f t="shared" si="124"/>
        <v>0</v>
      </c>
      <c r="R230" s="15">
        <v>1</v>
      </c>
      <c r="S230" s="21">
        <v>0</v>
      </c>
      <c r="T230" s="21">
        <v>0</v>
      </c>
      <c r="U230" s="21">
        <v>0</v>
      </c>
      <c r="V230" s="21">
        <v>0</v>
      </c>
      <c r="W230" s="21">
        <f t="shared" si="125"/>
        <v>0</v>
      </c>
      <c r="X230" s="15"/>
      <c r="Y230" s="21">
        <v>1</v>
      </c>
      <c r="Z230" s="21">
        <v>0</v>
      </c>
      <c r="AA230" s="21">
        <v>0</v>
      </c>
      <c r="AB230" s="21">
        <v>1</v>
      </c>
      <c r="AC230" s="21">
        <f t="shared" si="126"/>
        <v>2</v>
      </c>
      <c r="AD230" s="15">
        <v>1</v>
      </c>
      <c r="AE230" s="21">
        <v>0</v>
      </c>
      <c r="AF230" s="21">
        <v>0</v>
      </c>
      <c r="AG230" s="21">
        <v>0</v>
      </c>
      <c r="AH230" s="21">
        <v>0</v>
      </c>
      <c r="AI230" s="21">
        <f t="shared" si="127"/>
        <v>0</v>
      </c>
      <c r="AK230" s="128">
        <v>1</v>
      </c>
      <c r="AL230">
        <v>0</v>
      </c>
      <c r="AM230">
        <v>1</v>
      </c>
      <c r="AN230">
        <v>0</v>
      </c>
      <c r="AO230" s="21">
        <f t="shared" si="128"/>
        <v>2</v>
      </c>
      <c r="AQ230">
        <v>2</v>
      </c>
      <c r="AR230">
        <v>0</v>
      </c>
      <c r="AS230">
        <v>0</v>
      </c>
      <c r="AT230">
        <v>0</v>
      </c>
      <c r="AU230" s="21">
        <f t="shared" si="123"/>
        <v>2</v>
      </c>
    </row>
    <row r="231" spans="1:47" x14ac:dyDescent="0.2">
      <c r="A231" s="12">
        <v>6</v>
      </c>
      <c r="B231" s="12" t="s">
        <v>253</v>
      </c>
      <c r="C231" s="12" t="s">
        <v>26</v>
      </c>
      <c r="D231" s="12">
        <v>26.96</v>
      </c>
      <c r="E231" s="12">
        <v>2003</v>
      </c>
      <c r="F231" s="15"/>
      <c r="G231" s="15"/>
      <c r="H231" s="15"/>
      <c r="I231" s="15"/>
      <c r="J231" s="15"/>
      <c r="K231" s="15"/>
      <c r="L231" s="15"/>
      <c r="M231" s="21">
        <v>0</v>
      </c>
      <c r="N231" s="21">
        <v>0</v>
      </c>
      <c r="O231" s="21">
        <v>0</v>
      </c>
      <c r="P231" s="21">
        <v>1</v>
      </c>
      <c r="Q231" s="21">
        <f t="shared" si="124"/>
        <v>1</v>
      </c>
      <c r="R231" s="15"/>
      <c r="S231" s="21">
        <v>1</v>
      </c>
      <c r="T231" s="21">
        <v>0</v>
      </c>
      <c r="U231" s="21">
        <v>0</v>
      </c>
      <c r="V231" s="21">
        <v>1</v>
      </c>
      <c r="W231" s="21">
        <f t="shared" si="125"/>
        <v>2</v>
      </c>
      <c r="X231" s="15">
        <v>1</v>
      </c>
      <c r="Y231" s="21">
        <v>0</v>
      </c>
      <c r="Z231" s="21">
        <v>0</v>
      </c>
      <c r="AA231" s="21">
        <v>0</v>
      </c>
      <c r="AB231" s="21">
        <v>0</v>
      </c>
      <c r="AC231" s="21">
        <f t="shared" si="126"/>
        <v>0</v>
      </c>
      <c r="AD231" s="15">
        <v>0</v>
      </c>
      <c r="AE231" s="21">
        <v>0</v>
      </c>
      <c r="AF231" s="21">
        <v>0</v>
      </c>
      <c r="AG231" s="21">
        <v>0</v>
      </c>
      <c r="AH231" s="21">
        <v>1</v>
      </c>
      <c r="AI231" s="21">
        <f t="shared" si="127"/>
        <v>1</v>
      </c>
      <c r="AK231" s="128">
        <v>1</v>
      </c>
      <c r="AL231">
        <v>0</v>
      </c>
      <c r="AM231">
        <v>0</v>
      </c>
      <c r="AN231">
        <v>0</v>
      </c>
      <c r="AO231" s="21">
        <f t="shared" si="128"/>
        <v>1</v>
      </c>
      <c r="AQ231">
        <v>1</v>
      </c>
      <c r="AR231">
        <v>0</v>
      </c>
      <c r="AS231">
        <v>0</v>
      </c>
      <c r="AT231">
        <v>0</v>
      </c>
      <c r="AU231" s="21">
        <f t="shared" si="123"/>
        <v>1</v>
      </c>
    </row>
    <row r="232" spans="1:47" ht="15" customHeight="1" x14ac:dyDescent="0.2">
      <c r="A232" s="12">
        <v>6</v>
      </c>
      <c r="B232" s="12" t="s">
        <v>254</v>
      </c>
      <c r="C232" s="12" t="s">
        <v>26</v>
      </c>
      <c r="D232" s="12">
        <v>29.54</v>
      </c>
      <c r="E232" s="12">
        <v>2003</v>
      </c>
      <c r="F232" s="15"/>
      <c r="G232" s="15"/>
      <c r="H232" s="15"/>
      <c r="I232" s="15"/>
      <c r="J232" s="15"/>
      <c r="K232" s="15"/>
      <c r="L232" s="15">
        <v>1</v>
      </c>
      <c r="M232" s="21">
        <v>0</v>
      </c>
      <c r="N232" s="21">
        <v>0</v>
      </c>
      <c r="O232" s="21">
        <v>0</v>
      </c>
      <c r="P232" s="21">
        <v>0</v>
      </c>
      <c r="Q232" s="21">
        <f t="shared" si="124"/>
        <v>0</v>
      </c>
      <c r="R232" s="15">
        <v>1</v>
      </c>
      <c r="S232" s="21">
        <v>0</v>
      </c>
      <c r="T232" s="21">
        <v>0</v>
      </c>
      <c r="U232" s="21">
        <v>0</v>
      </c>
      <c r="V232" s="21">
        <v>0</v>
      </c>
      <c r="W232" s="21">
        <f t="shared" si="125"/>
        <v>0</v>
      </c>
      <c r="X232" s="15">
        <v>1</v>
      </c>
      <c r="Y232" s="21">
        <v>0</v>
      </c>
      <c r="Z232" s="21">
        <v>0</v>
      </c>
      <c r="AA232" s="21">
        <v>0</v>
      </c>
      <c r="AB232" s="21">
        <v>0</v>
      </c>
      <c r="AC232" s="21">
        <f t="shared" si="126"/>
        <v>0</v>
      </c>
      <c r="AD232" s="15">
        <v>1</v>
      </c>
      <c r="AE232" s="21">
        <v>0</v>
      </c>
      <c r="AF232" s="21">
        <v>0</v>
      </c>
      <c r="AG232" s="21">
        <v>0</v>
      </c>
      <c r="AH232" s="21">
        <v>0</v>
      </c>
      <c r="AI232" s="21">
        <f t="shared" si="127"/>
        <v>0</v>
      </c>
      <c r="AK232" s="128">
        <v>1</v>
      </c>
      <c r="AL232">
        <v>1</v>
      </c>
      <c r="AM232">
        <v>0</v>
      </c>
      <c r="AN232">
        <v>0</v>
      </c>
      <c r="AO232" s="21">
        <f t="shared" si="128"/>
        <v>2</v>
      </c>
      <c r="AQ232">
        <v>1</v>
      </c>
      <c r="AR232">
        <v>0</v>
      </c>
      <c r="AS232">
        <v>0</v>
      </c>
      <c r="AT232">
        <v>0</v>
      </c>
      <c r="AU232" s="21">
        <f t="shared" si="123"/>
        <v>1</v>
      </c>
    </row>
    <row r="233" spans="1:47" ht="15" customHeight="1" x14ac:dyDescent="0.2">
      <c r="A233" s="12">
        <v>6</v>
      </c>
      <c r="B233" s="12" t="s">
        <v>259</v>
      </c>
      <c r="C233" s="12" t="s">
        <v>26</v>
      </c>
      <c r="D233" s="12">
        <v>30.57</v>
      </c>
      <c r="E233" s="12">
        <v>2003</v>
      </c>
      <c r="F233" s="15"/>
      <c r="G233" s="15"/>
      <c r="H233" s="15"/>
      <c r="I233" s="15"/>
      <c r="J233" s="15"/>
      <c r="K233" s="15"/>
      <c r="L233" s="15">
        <v>1</v>
      </c>
      <c r="M233" s="21">
        <v>0</v>
      </c>
      <c r="N233" s="21">
        <v>0</v>
      </c>
      <c r="O233" s="21">
        <v>0</v>
      </c>
      <c r="P233" s="21">
        <v>0</v>
      </c>
      <c r="Q233" s="21">
        <f t="shared" si="124"/>
        <v>0</v>
      </c>
      <c r="R233" s="15"/>
      <c r="S233" s="21">
        <v>0</v>
      </c>
      <c r="T233" s="21">
        <v>0</v>
      </c>
      <c r="U233" s="21">
        <v>0</v>
      </c>
      <c r="V233" s="21">
        <v>1</v>
      </c>
      <c r="W233" s="21">
        <f t="shared" si="125"/>
        <v>1</v>
      </c>
      <c r="X233" s="15"/>
      <c r="Y233" s="21">
        <v>1</v>
      </c>
      <c r="Z233" s="21">
        <v>0</v>
      </c>
      <c r="AA233" s="21">
        <v>0</v>
      </c>
      <c r="AB233" s="21">
        <v>1</v>
      </c>
      <c r="AC233" s="21">
        <f t="shared" si="126"/>
        <v>2</v>
      </c>
      <c r="AD233" s="15">
        <v>1</v>
      </c>
      <c r="AE233" s="21">
        <v>0</v>
      </c>
      <c r="AF233" s="21">
        <v>0</v>
      </c>
      <c r="AG233" s="21">
        <v>0</v>
      </c>
      <c r="AH233" s="21">
        <v>0</v>
      </c>
      <c r="AI233" s="21">
        <f t="shared" si="127"/>
        <v>0</v>
      </c>
      <c r="AK233" s="128">
        <v>1</v>
      </c>
      <c r="AL233">
        <v>1</v>
      </c>
      <c r="AM233">
        <v>1</v>
      </c>
      <c r="AN233">
        <v>0</v>
      </c>
      <c r="AO233" s="21">
        <f t="shared" si="128"/>
        <v>3</v>
      </c>
      <c r="AQ233">
        <v>2</v>
      </c>
      <c r="AR233">
        <v>2</v>
      </c>
      <c r="AS233">
        <v>2</v>
      </c>
      <c r="AT233">
        <v>0</v>
      </c>
      <c r="AU233" s="21">
        <f t="shared" si="123"/>
        <v>6</v>
      </c>
    </row>
    <row r="234" spans="1:47" x14ac:dyDescent="0.2">
      <c r="A234" s="12">
        <v>6</v>
      </c>
      <c r="B234" s="12" t="s">
        <v>260</v>
      </c>
      <c r="C234" s="12" t="s">
        <v>26</v>
      </c>
      <c r="D234" s="12">
        <v>27.62</v>
      </c>
      <c r="E234" s="12">
        <v>2003</v>
      </c>
      <c r="F234" s="15"/>
      <c r="G234" s="15"/>
      <c r="H234" s="15"/>
      <c r="I234" s="15"/>
      <c r="J234" s="15"/>
      <c r="K234" s="15"/>
      <c r="L234" s="15"/>
      <c r="M234" s="21">
        <v>0</v>
      </c>
      <c r="N234" s="21">
        <v>0</v>
      </c>
      <c r="O234" s="21">
        <v>0</v>
      </c>
      <c r="P234" s="21">
        <v>1</v>
      </c>
      <c r="Q234" s="21">
        <f t="shared" si="124"/>
        <v>1</v>
      </c>
      <c r="R234" s="15"/>
      <c r="S234" s="21">
        <v>1</v>
      </c>
      <c r="T234" s="21">
        <v>0</v>
      </c>
      <c r="U234" s="21">
        <v>0</v>
      </c>
      <c r="V234" s="21">
        <v>1</v>
      </c>
      <c r="W234" s="21">
        <f t="shared" si="125"/>
        <v>2</v>
      </c>
      <c r="X234" s="15"/>
      <c r="Y234" s="21">
        <v>0</v>
      </c>
      <c r="Z234" s="21">
        <v>0</v>
      </c>
      <c r="AA234" s="21">
        <v>1</v>
      </c>
      <c r="AB234" s="21">
        <v>1</v>
      </c>
      <c r="AC234" s="21">
        <f t="shared" si="126"/>
        <v>2</v>
      </c>
      <c r="AD234" s="15">
        <v>1</v>
      </c>
      <c r="AE234" s="21">
        <v>0</v>
      </c>
      <c r="AF234" s="21">
        <v>0</v>
      </c>
      <c r="AG234" s="21">
        <v>0</v>
      </c>
      <c r="AH234" s="21">
        <v>0</v>
      </c>
      <c r="AI234" s="21">
        <f t="shared" si="127"/>
        <v>0</v>
      </c>
      <c r="AJ234">
        <v>1</v>
      </c>
      <c r="AK234" s="128">
        <v>0</v>
      </c>
      <c r="AL234">
        <v>0</v>
      </c>
      <c r="AM234">
        <v>0</v>
      </c>
      <c r="AN234">
        <v>0</v>
      </c>
      <c r="AO234" s="21">
        <f t="shared" si="128"/>
        <v>0</v>
      </c>
      <c r="AP234">
        <v>1</v>
      </c>
      <c r="AQ234">
        <v>0</v>
      </c>
      <c r="AR234">
        <v>0</v>
      </c>
      <c r="AS234">
        <v>0</v>
      </c>
      <c r="AT234">
        <v>0</v>
      </c>
      <c r="AU234" s="21">
        <f t="shared" si="123"/>
        <v>0</v>
      </c>
    </row>
    <row r="235" spans="1:47" ht="15" customHeight="1" x14ac:dyDescent="0.2">
      <c r="A235" s="12">
        <v>6</v>
      </c>
      <c r="B235" s="12" t="s">
        <v>261</v>
      </c>
      <c r="C235" s="12" t="s">
        <v>26</v>
      </c>
      <c r="D235" s="12">
        <v>31.26</v>
      </c>
      <c r="E235" s="12">
        <v>2003</v>
      </c>
      <c r="F235" s="15"/>
      <c r="G235" s="15"/>
      <c r="H235" s="15"/>
      <c r="I235" s="15"/>
      <c r="J235" s="15"/>
      <c r="K235" s="15"/>
      <c r="L235" s="15">
        <v>1</v>
      </c>
      <c r="M235" s="21">
        <v>0</v>
      </c>
      <c r="N235" s="21">
        <v>0</v>
      </c>
      <c r="O235" s="21">
        <v>0</v>
      </c>
      <c r="P235" s="21">
        <v>0</v>
      </c>
      <c r="Q235" s="21">
        <f t="shared" si="124"/>
        <v>0</v>
      </c>
      <c r="R235" s="15">
        <v>1</v>
      </c>
      <c r="S235" s="21">
        <v>0</v>
      </c>
      <c r="T235" s="21">
        <v>0</v>
      </c>
      <c r="U235" s="21">
        <v>0</v>
      </c>
      <c r="V235" s="21">
        <v>0</v>
      </c>
      <c r="W235" s="21">
        <f t="shared" si="125"/>
        <v>0</v>
      </c>
      <c r="X235" s="15"/>
      <c r="Y235" s="21">
        <v>0</v>
      </c>
      <c r="Z235" s="21">
        <v>1</v>
      </c>
      <c r="AA235" s="21">
        <v>0</v>
      </c>
      <c r="AB235" s="21">
        <v>1</v>
      </c>
      <c r="AC235" s="21">
        <f t="shared" si="126"/>
        <v>2</v>
      </c>
      <c r="AD235" s="15">
        <v>1</v>
      </c>
      <c r="AE235" s="21">
        <v>0</v>
      </c>
      <c r="AF235" s="21">
        <v>0</v>
      </c>
      <c r="AG235" s="21">
        <v>0</v>
      </c>
      <c r="AH235" s="21">
        <v>0</v>
      </c>
      <c r="AI235" s="21">
        <f t="shared" si="127"/>
        <v>0</v>
      </c>
      <c r="AK235" s="128">
        <v>0</v>
      </c>
      <c r="AL235">
        <v>0</v>
      </c>
      <c r="AM235">
        <v>1</v>
      </c>
      <c r="AN235">
        <v>0</v>
      </c>
      <c r="AO235" s="21">
        <f t="shared" si="128"/>
        <v>1</v>
      </c>
      <c r="AQ235">
        <v>0</v>
      </c>
      <c r="AR235">
        <v>1</v>
      </c>
      <c r="AS235">
        <v>2</v>
      </c>
      <c r="AT235">
        <v>0</v>
      </c>
      <c r="AU235" s="21">
        <f t="shared" si="123"/>
        <v>3</v>
      </c>
    </row>
    <row r="236" spans="1:47" x14ac:dyDescent="0.2">
      <c r="A236" s="12">
        <v>6</v>
      </c>
      <c r="B236" s="12" t="s">
        <v>262</v>
      </c>
      <c r="C236" s="12" t="s">
        <v>26</v>
      </c>
      <c r="D236" s="12">
        <v>31.32</v>
      </c>
      <c r="E236" s="12">
        <v>2003</v>
      </c>
      <c r="F236" s="15"/>
      <c r="G236" s="15"/>
      <c r="H236" s="15"/>
      <c r="I236" s="15"/>
      <c r="J236" s="15"/>
      <c r="K236" s="15"/>
      <c r="L236" s="15"/>
      <c r="M236" s="21">
        <v>2</v>
      </c>
      <c r="N236" s="21">
        <v>0</v>
      </c>
      <c r="O236" s="21">
        <v>0</v>
      </c>
      <c r="P236" s="21">
        <v>1</v>
      </c>
      <c r="Q236" s="21">
        <f t="shared" si="124"/>
        <v>3</v>
      </c>
      <c r="R236" s="15"/>
      <c r="S236" s="21">
        <v>2</v>
      </c>
      <c r="T236" s="21">
        <v>0</v>
      </c>
      <c r="U236" s="21">
        <v>0</v>
      </c>
      <c r="V236" s="21">
        <v>1</v>
      </c>
      <c r="W236" s="21">
        <f t="shared" si="125"/>
        <v>3</v>
      </c>
      <c r="X236" s="15"/>
      <c r="Y236" s="21">
        <v>1</v>
      </c>
      <c r="Z236" s="21">
        <v>0</v>
      </c>
      <c r="AA236" s="21">
        <v>0</v>
      </c>
      <c r="AB236" s="21">
        <v>1</v>
      </c>
      <c r="AC236" s="21">
        <f t="shared" si="126"/>
        <v>2</v>
      </c>
      <c r="AD236" s="15"/>
      <c r="AE236" s="21">
        <v>2</v>
      </c>
      <c r="AF236" s="21">
        <v>0</v>
      </c>
      <c r="AG236" s="21">
        <v>0</v>
      </c>
      <c r="AH236" s="21">
        <v>0</v>
      </c>
      <c r="AI236" s="21">
        <f t="shared" si="127"/>
        <v>2</v>
      </c>
      <c r="AK236" s="128">
        <v>0</v>
      </c>
      <c r="AL236">
        <v>0</v>
      </c>
      <c r="AM236">
        <v>2</v>
      </c>
      <c r="AN236">
        <v>0</v>
      </c>
      <c r="AO236" s="21">
        <f t="shared" si="128"/>
        <v>2</v>
      </c>
      <c r="AQ236">
        <v>0</v>
      </c>
      <c r="AR236">
        <v>1</v>
      </c>
      <c r="AS236">
        <v>2</v>
      </c>
      <c r="AT236">
        <v>0</v>
      </c>
      <c r="AU236" s="21">
        <f t="shared" si="123"/>
        <v>3</v>
      </c>
    </row>
    <row r="237" spans="1:47" ht="15" customHeight="1" x14ac:dyDescent="0.2">
      <c r="A237" s="12">
        <v>6</v>
      </c>
      <c r="B237" s="12" t="s">
        <v>255</v>
      </c>
      <c r="C237" s="12" t="s">
        <v>26</v>
      </c>
      <c r="D237" s="12">
        <v>30.81</v>
      </c>
      <c r="E237" s="12">
        <v>2004</v>
      </c>
      <c r="F237" s="15"/>
      <c r="G237" s="15"/>
      <c r="H237" s="15"/>
      <c r="I237" s="15"/>
      <c r="J237" s="15"/>
      <c r="K237" s="15"/>
      <c r="L237" s="15">
        <v>1</v>
      </c>
      <c r="M237" s="21">
        <v>0</v>
      </c>
      <c r="N237" s="21">
        <v>0</v>
      </c>
      <c r="O237" s="21">
        <v>0</v>
      </c>
      <c r="P237" s="21">
        <v>0</v>
      </c>
      <c r="Q237" s="21">
        <f t="shared" si="124"/>
        <v>0</v>
      </c>
      <c r="R237" s="15">
        <v>1</v>
      </c>
      <c r="S237" s="21">
        <v>0</v>
      </c>
      <c r="T237" s="21">
        <v>0</v>
      </c>
      <c r="U237" s="21">
        <v>0</v>
      </c>
      <c r="V237" s="21">
        <v>0</v>
      </c>
      <c r="W237" s="21">
        <f t="shared" si="125"/>
        <v>0</v>
      </c>
      <c r="X237" s="15">
        <v>1</v>
      </c>
      <c r="Y237" s="21">
        <v>0</v>
      </c>
      <c r="Z237" s="21">
        <v>0</v>
      </c>
      <c r="AA237" s="21">
        <v>0</v>
      </c>
      <c r="AB237" s="21">
        <v>0</v>
      </c>
      <c r="AC237" s="21">
        <f t="shared" si="126"/>
        <v>0</v>
      </c>
      <c r="AD237" s="15">
        <v>1</v>
      </c>
      <c r="AE237" s="21">
        <v>0</v>
      </c>
      <c r="AF237" s="21">
        <v>0</v>
      </c>
      <c r="AG237" s="21">
        <v>0</v>
      </c>
      <c r="AH237" s="21">
        <v>0</v>
      </c>
      <c r="AI237" s="21">
        <f t="shared" si="127"/>
        <v>0</v>
      </c>
      <c r="AK237" s="128">
        <v>2</v>
      </c>
      <c r="AL237">
        <v>0</v>
      </c>
      <c r="AM237">
        <v>3</v>
      </c>
      <c r="AN237">
        <v>0</v>
      </c>
      <c r="AO237" s="21">
        <f t="shared" si="128"/>
        <v>5</v>
      </c>
      <c r="AQ237">
        <v>2</v>
      </c>
      <c r="AR237">
        <v>0</v>
      </c>
      <c r="AS237">
        <v>3</v>
      </c>
      <c r="AT237">
        <v>0</v>
      </c>
      <c r="AU237" s="21">
        <f t="shared" si="123"/>
        <v>5</v>
      </c>
    </row>
    <row r="238" spans="1:47" ht="15" customHeight="1" x14ac:dyDescent="0.2">
      <c r="A238" s="12">
        <v>6</v>
      </c>
      <c r="B238" s="12" t="s">
        <v>256</v>
      </c>
      <c r="C238" s="12" t="s">
        <v>26</v>
      </c>
      <c r="D238" s="12">
        <v>39.5</v>
      </c>
      <c r="E238" s="12">
        <v>2004</v>
      </c>
      <c r="F238" s="15"/>
      <c r="G238" s="15"/>
      <c r="H238" s="15"/>
      <c r="I238" s="15"/>
      <c r="J238" s="15"/>
      <c r="K238" s="15"/>
      <c r="L238" s="15">
        <v>1</v>
      </c>
      <c r="M238" s="21">
        <v>0</v>
      </c>
      <c r="N238" s="21">
        <v>0</v>
      </c>
      <c r="O238" s="21">
        <v>0</v>
      </c>
      <c r="P238" s="21">
        <v>0</v>
      </c>
      <c r="Q238" s="21">
        <f t="shared" si="124"/>
        <v>0</v>
      </c>
      <c r="R238" s="15"/>
      <c r="S238" s="21">
        <v>1</v>
      </c>
      <c r="T238" s="21">
        <v>0</v>
      </c>
      <c r="U238" s="21">
        <v>0</v>
      </c>
      <c r="V238" s="21">
        <v>1</v>
      </c>
      <c r="W238" s="21">
        <f t="shared" si="125"/>
        <v>2</v>
      </c>
      <c r="X238" s="15">
        <v>1</v>
      </c>
      <c r="Y238" s="21">
        <v>0</v>
      </c>
      <c r="Z238" s="21">
        <v>0</v>
      </c>
      <c r="AA238" s="21">
        <v>0</v>
      </c>
      <c r="AB238" s="21">
        <v>0</v>
      </c>
      <c r="AC238" s="21">
        <f t="shared" si="126"/>
        <v>0</v>
      </c>
      <c r="AD238" s="15">
        <v>1</v>
      </c>
      <c r="AE238" s="21">
        <v>0</v>
      </c>
      <c r="AF238" s="21">
        <v>0</v>
      </c>
      <c r="AG238" s="21">
        <v>0</v>
      </c>
      <c r="AH238" s="21">
        <v>0</v>
      </c>
      <c r="AI238" s="21">
        <f t="shared" si="127"/>
        <v>0</v>
      </c>
      <c r="AK238" s="128">
        <v>0</v>
      </c>
      <c r="AL238">
        <v>0</v>
      </c>
      <c r="AM238">
        <v>0</v>
      </c>
      <c r="AN238">
        <v>1</v>
      </c>
      <c r="AO238" s="21">
        <f t="shared" si="128"/>
        <v>1</v>
      </c>
      <c r="AQ238">
        <v>0</v>
      </c>
      <c r="AR238">
        <v>0</v>
      </c>
      <c r="AS238">
        <v>0</v>
      </c>
      <c r="AT238">
        <v>1</v>
      </c>
      <c r="AU238" s="21">
        <f t="shared" si="123"/>
        <v>1</v>
      </c>
    </row>
    <row r="239" spans="1:47" x14ac:dyDescent="0.2">
      <c r="A239" s="12">
        <v>6</v>
      </c>
      <c r="B239" s="12" t="s">
        <v>257</v>
      </c>
      <c r="C239" s="12" t="s">
        <v>26</v>
      </c>
      <c r="D239" s="12">
        <v>27.19</v>
      </c>
      <c r="E239" s="12">
        <v>2004</v>
      </c>
      <c r="F239" s="15"/>
      <c r="G239" s="15"/>
      <c r="H239" s="15"/>
      <c r="I239" s="15"/>
      <c r="J239" s="15"/>
      <c r="K239" s="15"/>
      <c r="L239" s="15"/>
      <c r="M239" s="21">
        <v>1</v>
      </c>
      <c r="N239" s="21">
        <v>0</v>
      </c>
      <c r="O239" s="21">
        <v>0</v>
      </c>
      <c r="P239" s="21">
        <v>1</v>
      </c>
      <c r="Q239" s="21">
        <f t="shared" si="124"/>
        <v>2</v>
      </c>
      <c r="R239" s="15"/>
      <c r="S239" s="21">
        <v>0</v>
      </c>
      <c r="T239" s="21">
        <v>0</v>
      </c>
      <c r="U239" s="21">
        <v>0</v>
      </c>
      <c r="V239" s="21">
        <v>1</v>
      </c>
      <c r="W239" s="21">
        <f t="shared" si="125"/>
        <v>1</v>
      </c>
      <c r="X239" s="15"/>
      <c r="Y239" s="21">
        <v>0</v>
      </c>
      <c r="Z239" s="21">
        <v>1</v>
      </c>
      <c r="AA239" s="21">
        <v>0</v>
      </c>
      <c r="AB239" s="21">
        <v>1</v>
      </c>
      <c r="AC239" s="21">
        <f t="shared" si="126"/>
        <v>2</v>
      </c>
      <c r="AD239" s="15"/>
      <c r="AE239" s="21">
        <v>1</v>
      </c>
      <c r="AF239" s="21">
        <v>0</v>
      </c>
      <c r="AG239" s="21">
        <v>0</v>
      </c>
      <c r="AH239" s="21">
        <v>0</v>
      </c>
      <c r="AI239" s="21">
        <f t="shared" si="127"/>
        <v>1</v>
      </c>
      <c r="AK239" s="128">
        <v>0</v>
      </c>
      <c r="AL239">
        <v>0</v>
      </c>
      <c r="AM239">
        <v>1</v>
      </c>
      <c r="AN239">
        <v>0</v>
      </c>
      <c r="AO239" s="21">
        <f t="shared" si="128"/>
        <v>1</v>
      </c>
      <c r="AQ239">
        <v>0</v>
      </c>
      <c r="AR239">
        <v>0</v>
      </c>
      <c r="AS239">
        <v>1</v>
      </c>
      <c r="AT239">
        <v>0</v>
      </c>
      <c r="AU239" s="21">
        <f t="shared" si="123"/>
        <v>1</v>
      </c>
    </row>
    <row r="240" spans="1:47" ht="15" customHeight="1" x14ac:dyDescent="0.2">
      <c r="A240" s="12">
        <v>6</v>
      </c>
      <c r="B240" s="12" t="s">
        <v>263</v>
      </c>
      <c r="C240" s="12" t="s">
        <v>26</v>
      </c>
      <c r="D240" s="12">
        <v>40.81</v>
      </c>
      <c r="E240" s="12">
        <v>2004</v>
      </c>
      <c r="F240" s="15"/>
      <c r="G240" s="15"/>
      <c r="H240" s="15"/>
      <c r="I240" s="15"/>
      <c r="J240" s="15"/>
      <c r="K240" s="15"/>
      <c r="L240" s="15">
        <v>1</v>
      </c>
      <c r="M240" s="21">
        <v>0</v>
      </c>
      <c r="N240" s="21">
        <v>0</v>
      </c>
      <c r="O240" s="21">
        <v>0</v>
      </c>
      <c r="P240" s="21">
        <v>0</v>
      </c>
      <c r="Q240" s="21">
        <f t="shared" si="124"/>
        <v>0</v>
      </c>
      <c r="R240" s="15">
        <v>1</v>
      </c>
      <c r="S240" s="21">
        <v>0</v>
      </c>
      <c r="T240" s="21">
        <v>0</v>
      </c>
      <c r="U240" s="21">
        <v>0</v>
      </c>
      <c r="V240" s="21">
        <v>0</v>
      </c>
      <c r="W240" s="21">
        <f t="shared" si="125"/>
        <v>0</v>
      </c>
      <c r="X240" s="15"/>
      <c r="Y240" s="21">
        <v>0</v>
      </c>
      <c r="Z240" s="21">
        <v>0</v>
      </c>
      <c r="AA240" s="21">
        <v>1</v>
      </c>
      <c r="AB240" s="21">
        <v>1</v>
      </c>
      <c r="AC240" s="21">
        <f t="shared" si="126"/>
        <v>2</v>
      </c>
      <c r="AD240" s="15">
        <v>1</v>
      </c>
      <c r="AE240" s="21">
        <v>0</v>
      </c>
      <c r="AF240" s="21">
        <v>0</v>
      </c>
      <c r="AG240" s="21">
        <v>0</v>
      </c>
      <c r="AH240" s="21">
        <v>0</v>
      </c>
      <c r="AI240" s="21">
        <f t="shared" si="127"/>
        <v>0</v>
      </c>
      <c r="AK240" s="128">
        <v>2</v>
      </c>
      <c r="AL240">
        <v>1</v>
      </c>
      <c r="AM240">
        <v>1</v>
      </c>
      <c r="AN240">
        <v>0</v>
      </c>
      <c r="AO240" s="21">
        <f t="shared" si="128"/>
        <v>4</v>
      </c>
      <c r="AQ240">
        <v>2</v>
      </c>
      <c r="AR240">
        <v>1</v>
      </c>
      <c r="AS240">
        <v>1</v>
      </c>
      <c r="AT240">
        <v>0</v>
      </c>
      <c r="AU240" s="21">
        <f t="shared" si="123"/>
        <v>4</v>
      </c>
    </row>
    <row r="241" spans="1:47" x14ac:dyDescent="0.2">
      <c r="A241" s="12">
        <v>6</v>
      </c>
      <c r="B241" s="12" t="s">
        <v>264</v>
      </c>
      <c r="C241" s="12" t="s">
        <v>26</v>
      </c>
      <c r="D241" s="12">
        <v>27.6</v>
      </c>
      <c r="E241" s="12">
        <v>2004</v>
      </c>
      <c r="F241" s="15"/>
      <c r="G241" s="15"/>
      <c r="H241" s="15"/>
      <c r="I241" s="15"/>
      <c r="J241" s="15"/>
      <c r="K241" s="15"/>
      <c r="L241" s="15"/>
      <c r="M241" s="21">
        <v>0</v>
      </c>
      <c r="N241" s="21">
        <v>0</v>
      </c>
      <c r="O241" s="21">
        <v>0</v>
      </c>
      <c r="P241" s="21">
        <v>1</v>
      </c>
      <c r="Q241" s="21">
        <f t="shared" si="124"/>
        <v>1</v>
      </c>
      <c r="R241" s="15"/>
      <c r="S241" s="21">
        <v>0</v>
      </c>
      <c r="T241" s="21">
        <v>0</v>
      </c>
      <c r="U241" s="21">
        <v>0</v>
      </c>
      <c r="V241" s="21">
        <v>1</v>
      </c>
      <c r="W241" s="21">
        <f t="shared" si="125"/>
        <v>1</v>
      </c>
      <c r="X241" s="15">
        <v>1</v>
      </c>
      <c r="Y241" s="21">
        <v>0</v>
      </c>
      <c r="Z241" s="21">
        <v>0</v>
      </c>
      <c r="AA241" s="21">
        <v>0</v>
      </c>
      <c r="AB241" s="21">
        <v>0</v>
      </c>
      <c r="AC241" s="21">
        <f t="shared" si="126"/>
        <v>0</v>
      </c>
      <c r="AD241" s="15"/>
      <c r="AE241" s="21">
        <v>0</v>
      </c>
      <c r="AF241" s="21">
        <v>0</v>
      </c>
      <c r="AG241" s="21">
        <v>0</v>
      </c>
      <c r="AH241" s="21">
        <v>1</v>
      </c>
      <c r="AI241" s="21">
        <f t="shared" si="127"/>
        <v>1</v>
      </c>
      <c r="AK241" s="128">
        <v>0</v>
      </c>
      <c r="AL241">
        <v>0</v>
      </c>
      <c r="AM241">
        <v>0</v>
      </c>
      <c r="AN241">
        <v>1</v>
      </c>
      <c r="AO241" s="21">
        <f t="shared" si="128"/>
        <v>1</v>
      </c>
      <c r="AQ241">
        <v>0</v>
      </c>
      <c r="AR241">
        <v>0</v>
      </c>
      <c r="AS241">
        <v>1</v>
      </c>
      <c r="AT241">
        <v>0</v>
      </c>
      <c r="AU241" s="21">
        <f t="shared" si="123"/>
        <v>1</v>
      </c>
    </row>
    <row r="242" spans="1:47" x14ac:dyDescent="0.2">
      <c r="A242" s="12">
        <v>6</v>
      </c>
      <c r="B242" s="12" t="s">
        <v>246</v>
      </c>
      <c r="C242" s="12" t="s">
        <v>26</v>
      </c>
      <c r="D242" s="12">
        <v>11.38</v>
      </c>
      <c r="E242" s="12">
        <v>2005</v>
      </c>
      <c r="F242" s="15"/>
      <c r="G242" s="15"/>
      <c r="H242" s="15"/>
      <c r="I242" s="15"/>
      <c r="J242" s="15"/>
      <c r="K242" s="15"/>
      <c r="L242" s="15"/>
      <c r="M242" s="21">
        <v>0</v>
      </c>
      <c r="N242" s="21">
        <v>0</v>
      </c>
      <c r="O242" s="21">
        <v>0</v>
      </c>
      <c r="P242" s="21">
        <v>1</v>
      </c>
      <c r="Q242" s="21">
        <f t="shared" si="124"/>
        <v>1</v>
      </c>
      <c r="R242" s="15"/>
      <c r="S242" s="21">
        <v>0</v>
      </c>
      <c r="T242" s="21">
        <v>0</v>
      </c>
      <c r="U242" s="21">
        <v>0</v>
      </c>
      <c r="V242" s="21">
        <v>1</v>
      </c>
      <c r="W242" s="21">
        <f t="shared" si="125"/>
        <v>1</v>
      </c>
      <c r="X242" s="15"/>
      <c r="Y242" s="21">
        <v>1</v>
      </c>
      <c r="Z242" s="21">
        <v>0</v>
      </c>
      <c r="AA242" s="21">
        <v>1</v>
      </c>
      <c r="AB242" s="21">
        <v>1</v>
      </c>
      <c r="AC242" s="21">
        <f t="shared" si="126"/>
        <v>3</v>
      </c>
      <c r="AD242" s="15"/>
      <c r="AE242" s="21">
        <v>0</v>
      </c>
      <c r="AF242" s="21">
        <v>0</v>
      </c>
      <c r="AG242" s="21">
        <v>0</v>
      </c>
      <c r="AH242" s="21">
        <v>1</v>
      </c>
      <c r="AI242" s="21">
        <f t="shared" si="127"/>
        <v>1</v>
      </c>
      <c r="AK242" s="128">
        <v>2</v>
      </c>
      <c r="AL242">
        <v>0</v>
      </c>
      <c r="AM242">
        <v>1</v>
      </c>
      <c r="AN242">
        <v>0</v>
      </c>
      <c r="AO242" s="21">
        <f t="shared" si="128"/>
        <v>3</v>
      </c>
      <c r="AQ242">
        <v>2</v>
      </c>
      <c r="AR242">
        <v>0</v>
      </c>
      <c r="AS242">
        <v>1</v>
      </c>
      <c r="AT242">
        <v>0</v>
      </c>
      <c r="AU242" s="21">
        <f t="shared" si="123"/>
        <v>3</v>
      </c>
    </row>
    <row r="243" spans="1:47" ht="15" customHeight="1" x14ac:dyDescent="0.2">
      <c r="A243" s="12">
        <v>6</v>
      </c>
      <c r="B243" s="12" t="s">
        <v>247</v>
      </c>
      <c r="C243" s="12" t="s">
        <v>26</v>
      </c>
      <c r="D243" s="12">
        <v>24.15</v>
      </c>
      <c r="E243" s="12">
        <v>2005</v>
      </c>
      <c r="F243" s="15"/>
      <c r="G243" s="15"/>
      <c r="H243" s="15"/>
      <c r="I243" s="15"/>
      <c r="J243" s="15"/>
      <c r="K243" s="15"/>
      <c r="L243" s="15">
        <v>1</v>
      </c>
      <c r="M243" s="21">
        <v>0</v>
      </c>
      <c r="N243" s="21">
        <v>0</v>
      </c>
      <c r="O243" s="21">
        <v>0</v>
      </c>
      <c r="P243" s="21">
        <v>0</v>
      </c>
      <c r="Q243" s="21">
        <f t="shared" si="124"/>
        <v>0</v>
      </c>
      <c r="R243" s="15"/>
      <c r="S243" s="21">
        <v>1</v>
      </c>
      <c r="T243" s="21">
        <v>0</v>
      </c>
      <c r="U243" s="21">
        <v>0</v>
      </c>
      <c r="V243" s="21">
        <v>1</v>
      </c>
      <c r="W243" s="21">
        <f t="shared" si="125"/>
        <v>2</v>
      </c>
      <c r="X243" s="15">
        <v>1</v>
      </c>
      <c r="Y243" s="21">
        <v>0</v>
      </c>
      <c r="Z243" s="21">
        <v>0</v>
      </c>
      <c r="AA243" s="21">
        <v>0</v>
      </c>
      <c r="AB243" s="21">
        <v>0</v>
      </c>
      <c r="AC243" s="21">
        <f t="shared" si="126"/>
        <v>0</v>
      </c>
      <c r="AD243" s="15">
        <v>1</v>
      </c>
      <c r="AE243" s="21">
        <v>0</v>
      </c>
      <c r="AF243" s="21">
        <v>0</v>
      </c>
      <c r="AG243" s="21">
        <v>0</v>
      </c>
      <c r="AH243" s="21">
        <v>0</v>
      </c>
      <c r="AI243" s="21">
        <f t="shared" si="127"/>
        <v>0</v>
      </c>
      <c r="AK243" s="128">
        <v>2</v>
      </c>
      <c r="AL243">
        <v>0</v>
      </c>
      <c r="AM243">
        <v>1</v>
      </c>
      <c r="AN243">
        <v>0</v>
      </c>
      <c r="AO243" s="21">
        <f t="shared" si="128"/>
        <v>3</v>
      </c>
      <c r="AQ243">
        <v>2</v>
      </c>
      <c r="AR243">
        <v>0</v>
      </c>
      <c r="AS243">
        <v>0</v>
      </c>
      <c r="AT243">
        <v>0</v>
      </c>
      <c r="AU243" s="21">
        <f t="shared" si="123"/>
        <v>2</v>
      </c>
    </row>
    <row r="244" spans="1:47" x14ac:dyDescent="0.2">
      <c r="A244" s="12">
        <v>6</v>
      </c>
      <c r="B244" s="12" t="s">
        <v>248</v>
      </c>
      <c r="C244" s="12" t="s">
        <v>26</v>
      </c>
      <c r="D244" s="12">
        <v>28.11</v>
      </c>
      <c r="E244" s="12">
        <v>2005</v>
      </c>
      <c r="F244" s="15"/>
      <c r="G244" s="15"/>
      <c r="H244" s="15"/>
      <c r="I244" s="15"/>
      <c r="J244" s="15"/>
      <c r="K244" s="15"/>
      <c r="L244" s="15"/>
      <c r="M244" s="21">
        <v>0</v>
      </c>
      <c r="N244" s="21">
        <v>0</v>
      </c>
      <c r="O244" s="21">
        <v>0</v>
      </c>
      <c r="P244" s="21">
        <v>1</v>
      </c>
      <c r="Q244" s="21">
        <f t="shared" si="124"/>
        <v>1</v>
      </c>
      <c r="R244" s="15"/>
      <c r="S244" s="21">
        <v>0</v>
      </c>
      <c r="T244" s="21">
        <v>0</v>
      </c>
      <c r="U244" s="21">
        <v>0</v>
      </c>
      <c r="V244" s="21">
        <v>1</v>
      </c>
      <c r="W244" s="21">
        <f t="shared" si="125"/>
        <v>1</v>
      </c>
      <c r="X244" s="15"/>
      <c r="Y244" s="21">
        <v>0</v>
      </c>
      <c r="Z244" s="21">
        <v>0</v>
      </c>
      <c r="AA244" s="21">
        <v>2</v>
      </c>
      <c r="AB244" s="21">
        <v>1</v>
      </c>
      <c r="AC244" s="21">
        <f t="shared" si="126"/>
        <v>3</v>
      </c>
      <c r="AD244" s="15"/>
      <c r="AE244" s="21">
        <v>0</v>
      </c>
      <c r="AF244" s="21">
        <v>0</v>
      </c>
      <c r="AG244" s="21">
        <v>0</v>
      </c>
      <c r="AH244" s="21">
        <v>1</v>
      </c>
      <c r="AI244" s="21">
        <f t="shared" si="127"/>
        <v>1</v>
      </c>
      <c r="AK244" s="128">
        <v>0</v>
      </c>
      <c r="AL244">
        <v>0</v>
      </c>
      <c r="AM244">
        <v>2</v>
      </c>
      <c r="AN244">
        <v>0</v>
      </c>
      <c r="AO244" s="21">
        <f t="shared" si="128"/>
        <v>2</v>
      </c>
      <c r="AQ244">
        <v>0</v>
      </c>
      <c r="AR244">
        <v>0</v>
      </c>
      <c r="AS244">
        <v>1</v>
      </c>
      <c r="AT244">
        <v>0</v>
      </c>
      <c r="AU244" s="21">
        <f t="shared" si="123"/>
        <v>1</v>
      </c>
    </row>
    <row r="245" spans="1:47" ht="15" customHeight="1" x14ac:dyDescent="0.2">
      <c r="A245" s="12">
        <v>6</v>
      </c>
      <c r="B245" s="12" t="s">
        <v>249</v>
      </c>
      <c r="C245" s="12" t="s">
        <v>26</v>
      </c>
      <c r="D245" s="12">
        <v>36.28</v>
      </c>
      <c r="E245" s="12">
        <v>2005</v>
      </c>
      <c r="F245" s="15"/>
      <c r="G245" s="15"/>
      <c r="H245" s="15"/>
      <c r="I245" s="15"/>
      <c r="J245" s="15"/>
      <c r="K245" s="15"/>
      <c r="L245" s="15">
        <v>1</v>
      </c>
      <c r="M245" s="21">
        <v>0</v>
      </c>
      <c r="N245" s="21">
        <v>0</v>
      </c>
      <c r="O245" s="21">
        <v>0</v>
      </c>
      <c r="P245" s="21">
        <v>0</v>
      </c>
      <c r="Q245" s="21">
        <f t="shared" si="124"/>
        <v>0</v>
      </c>
      <c r="R245" s="15">
        <v>1</v>
      </c>
      <c r="S245" s="21">
        <v>0</v>
      </c>
      <c r="T245" s="21">
        <v>0</v>
      </c>
      <c r="U245" s="21">
        <v>0</v>
      </c>
      <c r="V245" s="21">
        <v>0</v>
      </c>
      <c r="W245" s="21">
        <f t="shared" si="125"/>
        <v>0</v>
      </c>
      <c r="X245" s="15">
        <v>1</v>
      </c>
      <c r="Y245" s="21">
        <v>0</v>
      </c>
      <c r="Z245" s="21">
        <v>0</v>
      </c>
      <c r="AA245" s="21">
        <v>0</v>
      </c>
      <c r="AB245" s="21">
        <v>0</v>
      </c>
      <c r="AC245" s="21">
        <f t="shared" si="126"/>
        <v>0</v>
      </c>
      <c r="AD245" s="15">
        <v>1</v>
      </c>
      <c r="AE245" s="21">
        <v>0</v>
      </c>
      <c r="AF245" s="21">
        <v>0</v>
      </c>
      <c r="AG245" s="21">
        <v>0</v>
      </c>
      <c r="AH245" s="21">
        <v>0</v>
      </c>
      <c r="AI245" s="21">
        <f t="shared" si="127"/>
        <v>0</v>
      </c>
      <c r="AK245" s="128">
        <v>0</v>
      </c>
      <c r="AL245">
        <v>1</v>
      </c>
      <c r="AM245">
        <v>2</v>
      </c>
      <c r="AN245">
        <v>0</v>
      </c>
      <c r="AO245" s="21">
        <f t="shared" si="128"/>
        <v>3</v>
      </c>
      <c r="AQ245">
        <v>0</v>
      </c>
      <c r="AR245">
        <v>1</v>
      </c>
      <c r="AS245">
        <v>0</v>
      </c>
      <c r="AT245">
        <v>0</v>
      </c>
      <c r="AU245" s="21">
        <f t="shared" si="123"/>
        <v>1</v>
      </c>
    </row>
    <row r="246" spans="1:47" x14ac:dyDescent="0.2">
      <c r="A246" s="12">
        <v>6</v>
      </c>
      <c r="B246" s="12" t="s">
        <v>250</v>
      </c>
      <c r="C246" s="12" t="s">
        <v>26</v>
      </c>
      <c r="D246" s="12">
        <v>24.51</v>
      </c>
      <c r="E246" s="12">
        <v>2005</v>
      </c>
      <c r="F246" s="15"/>
      <c r="G246" s="15"/>
      <c r="H246" s="15"/>
      <c r="I246" s="15"/>
      <c r="J246" s="15"/>
      <c r="K246" s="15"/>
      <c r="L246" s="15"/>
      <c r="M246" s="21">
        <v>0</v>
      </c>
      <c r="N246" s="21">
        <v>0</v>
      </c>
      <c r="O246" s="21">
        <v>0</v>
      </c>
      <c r="P246" s="21">
        <v>1</v>
      </c>
      <c r="Q246" s="21">
        <f t="shared" si="124"/>
        <v>1</v>
      </c>
      <c r="R246" s="15"/>
      <c r="S246" s="21">
        <v>0</v>
      </c>
      <c r="T246" s="21">
        <v>0</v>
      </c>
      <c r="U246" s="21">
        <v>0</v>
      </c>
      <c r="V246" s="21">
        <v>1</v>
      </c>
      <c r="W246" s="21">
        <f t="shared" si="125"/>
        <v>1</v>
      </c>
      <c r="X246" s="15">
        <v>1</v>
      </c>
      <c r="Y246" s="21">
        <v>0</v>
      </c>
      <c r="Z246" s="21">
        <v>0</v>
      </c>
      <c r="AA246" s="21">
        <v>0</v>
      </c>
      <c r="AB246" s="21">
        <v>0</v>
      </c>
      <c r="AC246" s="21">
        <f t="shared" si="126"/>
        <v>0</v>
      </c>
      <c r="AD246" s="15"/>
      <c r="AE246" s="21">
        <v>0</v>
      </c>
      <c r="AF246" s="21">
        <v>0</v>
      </c>
      <c r="AG246" s="21">
        <v>0</v>
      </c>
      <c r="AH246" s="21">
        <v>1</v>
      </c>
      <c r="AI246" s="21">
        <f t="shared" si="127"/>
        <v>1</v>
      </c>
      <c r="AK246" s="128">
        <v>0</v>
      </c>
      <c r="AL246">
        <v>0</v>
      </c>
      <c r="AM246">
        <v>1</v>
      </c>
      <c r="AN246">
        <v>0</v>
      </c>
      <c r="AO246" s="21">
        <f t="shared" si="128"/>
        <v>1</v>
      </c>
      <c r="AQ246">
        <v>0</v>
      </c>
      <c r="AR246">
        <v>0</v>
      </c>
      <c r="AS246">
        <v>1</v>
      </c>
      <c r="AT246">
        <v>0</v>
      </c>
      <c r="AU246" s="21">
        <f t="shared" si="123"/>
        <v>1</v>
      </c>
    </row>
    <row r="247" spans="1:47" x14ac:dyDescent="0.2">
      <c r="A247" s="12">
        <v>6</v>
      </c>
      <c r="B247" s="12" t="s">
        <v>251</v>
      </c>
      <c r="C247" s="12" t="s">
        <v>26</v>
      </c>
      <c r="D247" s="12">
        <v>13.38</v>
      </c>
      <c r="E247" s="12">
        <v>2005</v>
      </c>
      <c r="F247" s="15"/>
      <c r="G247" s="15"/>
      <c r="H247" s="15"/>
      <c r="I247" s="15"/>
      <c r="J247" s="15"/>
      <c r="K247" s="15"/>
      <c r="L247" s="15"/>
      <c r="M247" s="21">
        <v>0</v>
      </c>
      <c r="N247" s="21">
        <v>0</v>
      </c>
      <c r="O247" s="21">
        <v>0</v>
      </c>
      <c r="P247" s="21">
        <v>1</v>
      </c>
      <c r="Q247" s="21">
        <f t="shared" si="124"/>
        <v>1</v>
      </c>
      <c r="R247" s="15"/>
      <c r="S247" s="21">
        <v>1</v>
      </c>
      <c r="T247" s="21">
        <v>0</v>
      </c>
      <c r="U247" s="21">
        <v>0</v>
      </c>
      <c r="V247" s="21">
        <v>1</v>
      </c>
      <c r="W247" s="21">
        <f t="shared" si="125"/>
        <v>2</v>
      </c>
      <c r="X247" s="15"/>
      <c r="Y247" s="21">
        <v>2</v>
      </c>
      <c r="Z247" s="21">
        <v>0</v>
      </c>
      <c r="AA247" s="21">
        <v>1</v>
      </c>
      <c r="AB247" s="21">
        <v>1</v>
      </c>
      <c r="AC247" s="21">
        <f t="shared" si="126"/>
        <v>4</v>
      </c>
      <c r="AD247" s="15"/>
      <c r="AE247" s="21">
        <v>0</v>
      </c>
      <c r="AF247" s="21">
        <v>0</v>
      </c>
      <c r="AG247" s="21">
        <v>0</v>
      </c>
      <c r="AH247" s="21">
        <v>1</v>
      </c>
      <c r="AI247" s="21">
        <f t="shared" si="127"/>
        <v>1</v>
      </c>
      <c r="AK247" s="128">
        <v>2</v>
      </c>
      <c r="AL247">
        <v>1</v>
      </c>
      <c r="AM247">
        <v>1</v>
      </c>
      <c r="AN247">
        <v>0</v>
      </c>
      <c r="AO247" s="21">
        <f t="shared" si="128"/>
        <v>4</v>
      </c>
      <c r="AQ247">
        <v>2</v>
      </c>
      <c r="AR247">
        <v>1</v>
      </c>
      <c r="AS247">
        <v>0</v>
      </c>
      <c r="AT247">
        <v>0</v>
      </c>
      <c r="AU247" s="21">
        <f t="shared" si="123"/>
        <v>3</v>
      </c>
    </row>
    <row r="248" spans="1:47" x14ac:dyDescent="0.2">
      <c r="A248" s="12">
        <v>6</v>
      </c>
      <c r="B248" s="12" t="s">
        <v>267</v>
      </c>
      <c r="C248" s="12" t="s">
        <v>26</v>
      </c>
      <c r="D248" s="12">
        <v>12.55</v>
      </c>
      <c r="E248" s="12">
        <v>2005</v>
      </c>
      <c r="F248" s="15"/>
      <c r="G248" s="15"/>
      <c r="H248" s="15"/>
      <c r="I248" s="15"/>
      <c r="J248" s="15"/>
      <c r="K248" s="15"/>
      <c r="L248" s="15"/>
      <c r="M248" s="21">
        <v>0</v>
      </c>
      <c r="N248" s="21">
        <v>0</v>
      </c>
      <c r="O248" s="21">
        <v>0</v>
      </c>
      <c r="P248" s="21">
        <v>1</v>
      </c>
      <c r="Q248" s="21">
        <f t="shared" si="124"/>
        <v>1</v>
      </c>
      <c r="R248" s="15"/>
      <c r="S248" s="21">
        <v>1</v>
      </c>
      <c r="T248" s="21">
        <v>0</v>
      </c>
      <c r="U248" s="21">
        <v>0</v>
      </c>
      <c r="V248" s="21">
        <v>1</v>
      </c>
      <c r="W248" s="21">
        <f t="shared" si="125"/>
        <v>2</v>
      </c>
      <c r="X248" s="15"/>
      <c r="Y248" s="21">
        <v>2</v>
      </c>
      <c r="Z248" s="21">
        <v>1</v>
      </c>
      <c r="AA248" s="21">
        <v>1</v>
      </c>
      <c r="AB248" s="21">
        <v>1</v>
      </c>
      <c r="AC248" s="21">
        <f t="shared" si="126"/>
        <v>5</v>
      </c>
      <c r="AD248" s="15"/>
      <c r="AE248" s="21">
        <v>0</v>
      </c>
      <c r="AF248" s="21">
        <v>0</v>
      </c>
      <c r="AG248" s="21">
        <v>0</v>
      </c>
      <c r="AH248" s="21">
        <v>1</v>
      </c>
      <c r="AI248" s="21">
        <f t="shared" si="127"/>
        <v>1</v>
      </c>
      <c r="AK248" s="128">
        <v>3</v>
      </c>
      <c r="AL248">
        <v>4</v>
      </c>
      <c r="AM248">
        <v>2</v>
      </c>
      <c r="AN248">
        <v>0</v>
      </c>
      <c r="AO248" s="21">
        <f t="shared" si="128"/>
        <v>9</v>
      </c>
      <c r="AQ248">
        <v>3</v>
      </c>
      <c r="AR248">
        <v>1</v>
      </c>
      <c r="AS248">
        <v>3</v>
      </c>
      <c r="AT248">
        <v>0</v>
      </c>
      <c r="AU248" s="21">
        <f t="shared" si="123"/>
        <v>7</v>
      </c>
    </row>
    <row r="249" spans="1:47" ht="15" customHeight="1" x14ac:dyDescent="0.2">
      <c r="A249" s="12">
        <v>6</v>
      </c>
      <c r="B249" s="12" t="s">
        <v>268</v>
      </c>
      <c r="C249" s="12" t="s">
        <v>26</v>
      </c>
      <c r="D249" s="12">
        <v>27.55</v>
      </c>
      <c r="E249" s="12">
        <v>2005</v>
      </c>
      <c r="F249" s="15"/>
      <c r="G249" s="15"/>
      <c r="H249" s="15"/>
      <c r="I249" s="15"/>
      <c r="J249" s="15"/>
      <c r="K249" s="15"/>
      <c r="L249" s="15">
        <v>1</v>
      </c>
      <c r="M249" s="21">
        <v>0</v>
      </c>
      <c r="N249" s="21">
        <v>0</v>
      </c>
      <c r="O249" s="21">
        <v>0</v>
      </c>
      <c r="P249" s="21">
        <v>0</v>
      </c>
      <c r="Q249" s="21">
        <f t="shared" si="124"/>
        <v>0</v>
      </c>
      <c r="R249" s="15">
        <v>1</v>
      </c>
      <c r="S249" s="21">
        <v>0</v>
      </c>
      <c r="T249" s="21">
        <v>0</v>
      </c>
      <c r="U249" s="21">
        <v>0</v>
      </c>
      <c r="V249" s="21">
        <v>0</v>
      </c>
      <c r="W249" s="21">
        <f t="shared" si="125"/>
        <v>0</v>
      </c>
      <c r="X249" s="15">
        <v>1</v>
      </c>
      <c r="Y249" s="21">
        <v>0</v>
      </c>
      <c r="Z249" s="21">
        <v>0</v>
      </c>
      <c r="AA249" s="21">
        <v>0</v>
      </c>
      <c r="AB249" s="21">
        <v>0</v>
      </c>
      <c r="AC249" s="21">
        <f t="shared" si="126"/>
        <v>0</v>
      </c>
      <c r="AD249" s="15">
        <v>1</v>
      </c>
      <c r="AE249" s="21">
        <v>0</v>
      </c>
      <c r="AF249" s="21">
        <v>0</v>
      </c>
      <c r="AG249" s="21">
        <v>0</v>
      </c>
      <c r="AH249" s="21">
        <v>0</v>
      </c>
      <c r="AI249" s="21">
        <f t="shared" si="127"/>
        <v>0</v>
      </c>
      <c r="AK249" s="128">
        <v>1</v>
      </c>
      <c r="AL249">
        <v>1</v>
      </c>
      <c r="AM249">
        <v>0</v>
      </c>
      <c r="AN249">
        <v>0</v>
      </c>
      <c r="AO249" s="21">
        <f t="shared" si="128"/>
        <v>2</v>
      </c>
      <c r="AQ249">
        <v>1</v>
      </c>
      <c r="AR249">
        <v>1</v>
      </c>
      <c r="AS249">
        <v>0</v>
      </c>
      <c r="AT249">
        <v>0</v>
      </c>
      <c r="AU249" s="21">
        <f t="shared" si="123"/>
        <v>2</v>
      </c>
    </row>
    <row r="250" spans="1:47" x14ac:dyDescent="0.2">
      <c r="A250" s="12">
        <v>6</v>
      </c>
      <c r="B250" s="12" t="s">
        <v>258</v>
      </c>
      <c r="C250" s="12" t="s">
        <v>26</v>
      </c>
      <c r="D250" s="12">
        <v>32.31</v>
      </c>
      <c r="E250" s="12">
        <v>2005</v>
      </c>
      <c r="F250" s="15"/>
      <c r="G250" s="15"/>
      <c r="H250" s="15"/>
      <c r="I250" s="15"/>
      <c r="J250" s="15"/>
      <c r="K250" s="15"/>
      <c r="L250" s="15"/>
      <c r="M250" s="21">
        <v>0</v>
      </c>
      <c r="N250" s="21">
        <v>0</v>
      </c>
      <c r="O250" s="21">
        <v>2</v>
      </c>
      <c r="P250" s="21">
        <v>1</v>
      </c>
      <c r="Q250" s="21">
        <f t="shared" si="124"/>
        <v>3</v>
      </c>
      <c r="R250" s="15"/>
      <c r="S250" s="21">
        <v>0</v>
      </c>
      <c r="T250" s="21">
        <v>2</v>
      </c>
      <c r="U250" s="21">
        <v>0</v>
      </c>
      <c r="V250" s="21">
        <v>1</v>
      </c>
      <c r="W250" s="21">
        <f t="shared" si="125"/>
        <v>3</v>
      </c>
      <c r="X250" s="15"/>
      <c r="Y250" s="21">
        <v>2</v>
      </c>
      <c r="Z250" s="21">
        <v>1</v>
      </c>
      <c r="AA250" s="21">
        <v>0</v>
      </c>
      <c r="AB250" s="21">
        <v>1</v>
      </c>
      <c r="AC250" s="21">
        <f t="shared" si="126"/>
        <v>4</v>
      </c>
      <c r="AD250" s="15"/>
      <c r="AE250" s="21">
        <v>0</v>
      </c>
      <c r="AF250" s="21">
        <v>0</v>
      </c>
      <c r="AG250" s="21">
        <v>2</v>
      </c>
      <c r="AH250" s="21">
        <v>0</v>
      </c>
      <c r="AI250" s="21">
        <f t="shared" si="127"/>
        <v>2</v>
      </c>
      <c r="AK250" s="128">
        <v>2</v>
      </c>
      <c r="AL250">
        <v>0</v>
      </c>
      <c r="AM250">
        <v>1</v>
      </c>
      <c r="AN250">
        <v>0</v>
      </c>
      <c r="AO250" s="21">
        <f t="shared" si="128"/>
        <v>3</v>
      </c>
      <c r="AQ250">
        <v>2</v>
      </c>
      <c r="AR250">
        <v>0</v>
      </c>
      <c r="AS250">
        <v>1</v>
      </c>
      <c r="AT250">
        <v>0</v>
      </c>
      <c r="AU250" s="21">
        <f t="shared" si="123"/>
        <v>3</v>
      </c>
    </row>
    <row r="251" spans="1:47" x14ac:dyDescent="0.2">
      <c r="A251" s="12">
        <v>6</v>
      </c>
      <c r="B251" s="12" t="s">
        <v>239</v>
      </c>
      <c r="C251" s="12" t="s">
        <v>26</v>
      </c>
      <c r="D251" s="12">
        <v>19.03</v>
      </c>
      <c r="E251" s="12">
        <v>2006</v>
      </c>
      <c r="F251" s="15"/>
      <c r="G251" s="15"/>
      <c r="H251" s="15"/>
      <c r="I251" s="15"/>
      <c r="J251" s="15"/>
      <c r="K251" s="15"/>
      <c r="L251" s="15"/>
      <c r="M251" s="21">
        <v>0</v>
      </c>
      <c r="N251" s="21">
        <v>0</v>
      </c>
      <c r="O251" s="21">
        <v>7</v>
      </c>
      <c r="P251" s="21">
        <v>1</v>
      </c>
      <c r="Q251" s="21">
        <f t="shared" si="124"/>
        <v>8</v>
      </c>
      <c r="R251" s="15"/>
      <c r="S251" s="21">
        <v>1</v>
      </c>
      <c r="T251" s="21">
        <v>5</v>
      </c>
      <c r="U251" s="21">
        <v>0</v>
      </c>
      <c r="V251" s="21">
        <v>1</v>
      </c>
      <c r="W251" s="21">
        <f t="shared" si="125"/>
        <v>7</v>
      </c>
      <c r="X251" s="15">
        <v>1</v>
      </c>
      <c r="Y251" s="21">
        <v>0</v>
      </c>
      <c r="Z251" s="21">
        <v>0</v>
      </c>
      <c r="AA251" s="21">
        <v>0</v>
      </c>
      <c r="AB251" s="21">
        <v>0</v>
      </c>
      <c r="AC251" s="21">
        <f t="shared" si="126"/>
        <v>0</v>
      </c>
      <c r="AD251" s="15"/>
      <c r="AE251" s="21">
        <v>0</v>
      </c>
      <c r="AF251" s="21">
        <v>0</v>
      </c>
      <c r="AG251" s="21">
        <v>7</v>
      </c>
      <c r="AH251" s="21">
        <v>0</v>
      </c>
      <c r="AI251" s="21">
        <f t="shared" si="127"/>
        <v>7</v>
      </c>
      <c r="AK251" s="128">
        <v>1</v>
      </c>
      <c r="AL251">
        <v>0</v>
      </c>
      <c r="AM251">
        <v>0</v>
      </c>
      <c r="AN251">
        <v>0</v>
      </c>
      <c r="AO251" s="21">
        <f t="shared" si="128"/>
        <v>1</v>
      </c>
      <c r="AQ251">
        <v>1</v>
      </c>
      <c r="AR251">
        <v>0</v>
      </c>
      <c r="AS251">
        <v>2</v>
      </c>
      <c r="AT251">
        <v>0</v>
      </c>
      <c r="AU251" s="21">
        <f t="shared" si="123"/>
        <v>3</v>
      </c>
    </row>
    <row r="252" spans="1:47" ht="15" customHeight="1" x14ac:dyDescent="0.2">
      <c r="A252" s="12">
        <v>6</v>
      </c>
      <c r="B252" s="12" t="s">
        <v>240</v>
      </c>
      <c r="C252" s="12" t="s">
        <v>26</v>
      </c>
      <c r="D252" s="12">
        <v>32.229999999999997</v>
      </c>
      <c r="E252" s="12">
        <v>2006</v>
      </c>
      <c r="F252" s="15"/>
      <c r="G252" s="15"/>
      <c r="H252" s="15"/>
      <c r="I252" s="15"/>
      <c r="J252" s="15"/>
      <c r="K252" s="15"/>
      <c r="L252" s="15">
        <v>1</v>
      </c>
      <c r="M252" s="21">
        <v>0</v>
      </c>
      <c r="N252" s="21">
        <v>0</v>
      </c>
      <c r="O252" s="21">
        <v>0</v>
      </c>
      <c r="P252" s="21">
        <v>0</v>
      </c>
      <c r="Q252" s="21">
        <f t="shared" si="124"/>
        <v>0</v>
      </c>
      <c r="R252" s="15"/>
      <c r="S252" s="21">
        <v>1</v>
      </c>
      <c r="T252" s="21">
        <v>0</v>
      </c>
      <c r="U252" s="21">
        <v>0</v>
      </c>
      <c r="V252" s="21">
        <v>1</v>
      </c>
      <c r="W252" s="21">
        <f t="shared" si="125"/>
        <v>2</v>
      </c>
      <c r="X252" s="15">
        <v>1</v>
      </c>
      <c r="Y252" s="21">
        <v>0</v>
      </c>
      <c r="Z252" s="21">
        <v>0</v>
      </c>
      <c r="AA252" s="21">
        <v>0</v>
      </c>
      <c r="AB252" s="21">
        <v>0</v>
      </c>
      <c r="AC252" s="21">
        <f t="shared" si="126"/>
        <v>0</v>
      </c>
      <c r="AD252" s="15">
        <v>1</v>
      </c>
      <c r="AE252" s="21">
        <v>0</v>
      </c>
      <c r="AF252" s="21">
        <v>0</v>
      </c>
      <c r="AG252" s="21">
        <v>0</v>
      </c>
      <c r="AH252" s="21">
        <v>0</v>
      </c>
      <c r="AI252" s="21">
        <f t="shared" si="127"/>
        <v>0</v>
      </c>
      <c r="AK252" s="128">
        <v>2</v>
      </c>
      <c r="AL252">
        <v>0</v>
      </c>
      <c r="AM252">
        <v>1</v>
      </c>
      <c r="AN252">
        <v>0</v>
      </c>
      <c r="AO252" s="21">
        <f t="shared" si="128"/>
        <v>3</v>
      </c>
      <c r="AQ252">
        <v>2</v>
      </c>
      <c r="AR252">
        <v>1</v>
      </c>
      <c r="AS252">
        <v>0</v>
      </c>
      <c r="AT252">
        <v>0</v>
      </c>
      <c r="AU252" s="21">
        <f t="shared" si="123"/>
        <v>3</v>
      </c>
    </row>
    <row r="253" spans="1:47" x14ac:dyDescent="0.2">
      <c r="A253" s="12">
        <v>6</v>
      </c>
      <c r="B253" s="12" t="s">
        <v>242</v>
      </c>
      <c r="C253" s="12" t="s">
        <v>26</v>
      </c>
      <c r="D253" s="12">
        <v>17.739999999999998</v>
      </c>
      <c r="E253" s="12">
        <v>2006</v>
      </c>
      <c r="F253" s="15"/>
      <c r="G253" s="15"/>
      <c r="H253" s="15"/>
      <c r="I253" s="15"/>
      <c r="J253" s="15"/>
      <c r="K253" s="15"/>
      <c r="L253" s="15"/>
      <c r="M253" s="21">
        <v>0</v>
      </c>
      <c r="N253" s="21">
        <v>0</v>
      </c>
      <c r="O253" s="21">
        <v>0</v>
      </c>
      <c r="P253" s="21">
        <v>1</v>
      </c>
      <c r="Q253" s="21">
        <f t="shared" si="124"/>
        <v>1</v>
      </c>
      <c r="R253" s="15"/>
      <c r="S253" s="21">
        <v>0</v>
      </c>
      <c r="T253" s="21">
        <v>0</v>
      </c>
      <c r="U253" s="21">
        <v>0</v>
      </c>
      <c r="V253" s="21">
        <v>1</v>
      </c>
      <c r="W253" s="21">
        <f t="shared" si="125"/>
        <v>1</v>
      </c>
      <c r="X253" s="15">
        <v>1</v>
      </c>
      <c r="Y253" s="21">
        <v>0</v>
      </c>
      <c r="Z253" s="21">
        <v>0</v>
      </c>
      <c r="AA253" s="21">
        <v>0</v>
      </c>
      <c r="AB253" s="21">
        <v>0</v>
      </c>
      <c r="AC253" s="21">
        <f t="shared" si="126"/>
        <v>0</v>
      </c>
      <c r="AD253" s="15"/>
      <c r="AE253" s="21">
        <v>0</v>
      </c>
      <c r="AF253" s="21">
        <v>0</v>
      </c>
      <c r="AG253" s="21">
        <v>0</v>
      </c>
      <c r="AH253" s="21">
        <v>1</v>
      </c>
      <c r="AI253" s="21">
        <f t="shared" si="127"/>
        <v>1</v>
      </c>
      <c r="AK253" s="128">
        <v>2</v>
      </c>
      <c r="AL253">
        <v>3</v>
      </c>
      <c r="AM253">
        <v>0</v>
      </c>
      <c r="AN253">
        <v>0</v>
      </c>
      <c r="AO253" s="21">
        <f t="shared" si="128"/>
        <v>5</v>
      </c>
      <c r="AQ253">
        <v>2</v>
      </c>
      <c r="AR253">
        <v>1</v>
      </c>
      <c r="AS253">
        <v>0</v>
      </c>
      <c r="AT253">
        <v>0</v>
      </c>
      <c r="AU253" s="21">
        <f t="shared" si="123"/>
        <v>3</v>
      </c>
    </row>
    <row r="254" spans="1:47" ht="15" customHeight="1" x14ac:dyDescent="0.2">
      <c r="A254" s="12">
        <v>6</v>
      </c>
      <c r="B254" s="12" t="s">
        <v>243</v>
      </c>
      <c r="C254" s="12" t="s">
        <v>26</v>
      </c>
      <c r="D254" s="12">
        <v>39.43</v>
      </c>
      <c r="E254" s="12">
        <v>2006</v>
      </c>
      <c r="F254" s="15"/>
      <c r="G254" s="15"/>
      <c r="H254" s="15"/>
      <c r="I254" s="15"/>
      <c r="J254" s="15"/>
      <c r="K254" s="15"/>
      <c r="L254" s="15">
        <v>1</v>
      </c>
      <c r="M254" s="21">
        <v>0</v>
      </c>
      <c r="N254" s="21">
        <v>0</v>
      </c>
      <c r="O254" s="21">
        <v>0</v>
      </c>
      <c r="P254" s="21">
        <v>0</v>
      </c>
      <c r="Q254" s="21">
        <f t="shared" si="124"/>
        <v>0</v>
      </c>
      <c r="R254" s="15">
        <v>1</v>
      </c>
      <c r="S254" s="21">
        <v>0</v>
      </c>
      <c r="T254" s="21">
        <v>0</v>
      </c>
      <c r="U254" s="21">
        <v>0</v>
      </c>
      <c r="V254" s="21">
        <v>0</v>
      </c>
      <c r="W254" s="21">
        <f t="shared" si="125"/>
        <v>0</v>
      </c>
      <c r="X254" s="15">
        <v>1</v>
      </c>
      <c r="Y254" s="21">
        <v>0</v>
      </c>
      <c r="Z254" s="21">
        <v>0</v>
      </c>
      <c r="AA254" s="21">
        <v>0</v>
      </c>
      <c r="AB254" s="21">
        <v>0</v>
      </c>
      <c r="AC254" s="21">
        <f t="shared" si="126"/>
        <v>0</v>
      </c>
      <c r="AD254" s="15">
        <v>1</v>
      </c>
      <c r="AE254" s="21">
        <v>0</v>
      </c>
      <c r="AF254" s="21">
        <v>0</v>
      </c>
      <c r="AG254" s="21">
        <v>0</v>
      </c>
      <c r="AH254" s="21">
        <v>0</v>
      </c>
      <c r="AI254" s="21">
        <f t="shared" si="127"/>
        <v>0</v>
      </c>
      <c r="AK254" s="128">
        <v>1</v>
      </c>
      <c r="AL254">
        <v>0</v>
      </c>
      <c r="AM254">
        <v>0</v>
      </c>
      <c r="AN254">
        <v>0</v>
      </c>
      <c r="AO254" s="21">
        <f t="shared" si="128"/>
        <v>1</v>
      </c>
      <c r="AQ254">
        <v>2</v>
      </c>
      <c r="AR254">
        <v>1</v>
      </c>
      <c r="AS254">
        <v>1</v>
      </c>
      <c r="AT254">
        <v>0</v>
      </c>
      <c r="AU254" s="21">
        <f t="shared" si="123"/>
        <v>4</v>
      </c>
    </row>
    <row r="255" spans="1:47" x14ac:dyDescent="0.2">
      <c r="A255" s="12">
        <v>6</v>
      </c>
      <c r="B255" s="12" t="s">
        <v>244</v>
      </c>
      <c r="C255" s="12" t="s">
        <v>26</v>
      </c>
      <c r="D255" s="12">
        <v>27.21</v>
      </c>
      <c r="E255" s="12">
        <v>2006</v>
      </c>
      <c r="F255" s="15"/>
      <c r="G255" s="15"/>
      <c r="H255" s="15"/>
      <c r="I255" s="15"/>
      <c r="J255" s="15"/>
      <c r="K255" s="15"/>
      <c r="L255" s="15"/>
      <c r="M255" s="21">
        <v>1</v>
      </c>
      <c r="N255" s="21">
        <v>0</v>
      </c>
      <c r="O255" s="21">
        <v>0</v>
      </c>
      <c r="P255" s="21">
        <v>1</v>
      </c>
      <c r="Q255" s="21">
        <f t="shared" si="124"/>
        <v>2</v>
      </c>
      <c r="R255" s="15"/>
      <c r="S255" s="21">
        <v>0</v>
      </c>
      <c r="T255" s="21">
        <v>0</v>
      </c>
      <c r="U255" s="21">
        <v>0</v>
      </c>
      <c r="V255" s="21">
        <v>1</v>
      </c>
      <c r="W255" s="21">
        <f t="shared" si="125"/>
        <v>1</v>
      </c>
      <c r="X255" s="15">
        <v>1</v>
      </c>
      <c r="Y255" s="21">
        <v>0</v>
      </c>
      <c r="Z255" s="21">
        <v>0</v>
      </c>
      <c r="AA255" s="21">
        <v>0</v>
      </c>
      <c r="AB255" s="21">
        <v>0</v>
      </c>
      <c r="AC255" s="21">
        <f t="shared" si="126"/>
        <v>0</v>
      </c>
      <c r="AD255" s="15"/>
      <c r="AE255" s="21">
        <v>0</v>
      </c>
      <c r="AF255" s="21">
        <v>0</v>
      </c>
      <c r="AG255" s="21">
        <v>0</v>
      </c>
      <c r="AH255" s="21">
        <v>1</v>
      </c>
      <c r="AI255" s="21">
        <f t="shared" si="127"/>
        <v>1</v>
      </c>
      <c r="AK255" s="128">
        <v>1</v>
      </c>
      <c r="AL255">
        <v>0</v>
      </c>
      <c r="AM255">
        <v>0</v>
      </c>
      <c r="AN255">
        <v>0</v>
      </c>
      <c r="AO255" s="21">
        <f t="shared" si="128"/>
        <v>1</v>
      </c>
      <c r="AQ255">
        <v>1</v>
      </c>
      <c r="AR255">
        <v>0</v>
      </c>
      <c r="AS255">
        <v>1</v>
      </c>
      <c r="AT255">
        <v>0</v>
      </c>
      <c r="AU255" s="21">
        <f t="shared" si="123"/>
        <v>2</v>
      </c>
    </row>
    <row r="256" spans="1:47" ht="15" customHeight="1" x14ac:dyDescent="0.2">
      <c r="A256" s="12">
        <v>6</v>
      </c>
      <c r="B256" s="12" t="s">
        <v>245</v>
      </c>
      <c r="C256" s="12" t="s">
        <v>26</v>
      </c>
      <c r="D256" s="12">
        <v>33.14</v>
      </c>
      <c r="E256" s="12">
        <v>2006</v>
      </c>
      <c r="F256" s="15"/>
      <c r="G256" s="15"/>
      <c r="H256" s="15"/>
      <c r="I256" s="15"/>
      <c r="J256" s="15"/>
      <c r="K256" s="15"/>
      <c r="L256" s="15">
        <v>1</v>
      </c>
      <c r="M256" s="21">
        <v>0</v>
      </c>
      <c r="N256" s="21">
        <v>0</v>
      </c>
      <c r="O256" s="21">
        <v>0</v>
      </c>
      <c r="P256" s="21">
        <v>0</v>
      </c>
      <c r="Q256" s="21">
        <f t="shared" si="124"/>
        <v>0</v>
      </c>
      <c r="R256" s="15"/>
      <c r="S256" s="21">
        <v>1</v>
      </c>
      <c r="T256" s="21">
        <v>0</v>
      </c>
      <c r="U256" s="21">
        <v>0</v>
      </c>
      <c r="V256" s="21">
        <v>1</v>
      </c>
      <c r="W256" s="21">
        <f t="shared" si="125"/>
        <v>2</v>
      </c>
      <c r="X256" s="15"/>
      <c r="Y256" s="21">
        <v>1</v>
      </c>
      <c r="Z256" s="21">
        <v>1</v>
      </c>
      <c r="AA256" s="21">
        <v>0</v>
      </c>
      <c r="AB256" s="21">
        <v>1</v>
      </c>
      <c r="AC256" s="21">
        <f t="shared" si="126"/>
        <v>3</v>
      </c>
      <c r="AD256" s="15">
        <v>1</v>
      </c>
      <c r="AE256" s="21">
        <v>0</v>
      </c>
      <c r="AF256" s="21">
        <v>0</v>
      </c>
      <c r="AG256" s="21">
        <v>0</v>
      </c>
      <c r="AH256" s="21">
        <v>0</v>
      </c>
      <c r="AI256" s="21">
        <f t="shared" si="127"/>
        <v>0</v>
      </c>
      <c r="AK256" s="128">
        <v>1</v>
      </c>
      <c r="AL256">
        <v>0</v>
      </c>
      <c r="AM256">
        <v>1</v>
      </c>
      <c r="AN256">
        <v>0</v>
      </c>
      <c r="AO256" s="21">
        <f t="shared" si="128"/>
        <v>2</v>
      </c>
      <c r="AQ256">
        <v>2</v>
      </c>
      <c r="AR256">
        <v>0</v>
      </c>
      <c r="AS256">
        <v>2</v>
      </c>
      <c r="AT256">
        <v>0</v>
      </c>
      <c r="AU256" s="21">
        <f t="shared" si="123"/>
        <v>4</v>
      </c>
    </row>
    <row r="257" spans="1:48" x14ac:dyDescent="0.2">
      <c r="A257" s="131" t="s">
        <v>71</v>
      </c>
      <c r="B257" s="131"/>
      <c r="C257" s="131"/>
      <c r="D257" s="13">
        <f>SUM(D221:D256)</f>
        <v>1025.01</v>
      </c>
      <c r="E257" s="13"/>
      <c r="F257" s="22"/>
      <c r="G257" s="22"/>
      <c r="H257" s="22"/>
      <c r="I257" s="22"/>
      <c r="J257" s="22"/>
      <c r="K257" s="22"/>
      <c r="L257" s="131">
        <f t="shared" ref="L257:AV257" si="165">SUM(L221:L256)</f>
        <v>17</v>
      </c>
      <c r="M257" s="131">
        <f t="shared" si="165"/>
        <v>5</v>
      </c>
      <c r="N257" s="131">
        <f t="shared" si="165"/>
        <v>0</v>
      </c>
      <c r="O257" s="131">
        <f t="shared" si="165"/>
        <v>12</v>
      </c>
      <c r="P257" s="131">
        <f t="shared" si="165"/>
        <v>19</v>
      </c>
      <c r="Q257" s="131">
        <f t="shared" si="165"/>
        <v>36</v>
      </c>
      <c r="R257" s="131">
        <f t="shared" si="165"/>
        <v>11</v>
      </c>
      <c r="S257" s="131">
        <f t="shared" si="165"/>
        <v>13</v>
      </c>
      <c r="T257" s="131">
        <f t="shared" si="165"/>
        <v>9</v>
      </c>
      <c r="U257" s="131">
        <f t="shared" si="165"/>
        <v>3</v>
      </c>
      <c r="V257" s="131">
        <f t="shared" si="165"/>
        <v>25</v>
      </c>
      <c r="W257" s="131">
        <f t="shared" si="165"/>
        <v>50</v>
      </c>
      <c r="X257" s="131">
        <f t="shared" si="165"/>
        <v>16</v>
      </c>
      <c r="Y257" s="131">
        <f t="shared" si="165"/>
        <v>18</v>
      </c>
      <c r="Z257" s="131">
        <f t="shared" si="165"/>
        <v>5</v>
      </c>
      <c r="AA257" s="131">
        <f t="shared" si="165"/>
        <v>8</v>
      </c>
      <c r="AB257" s="131">
        <f t="shared" si="165"/>
        <v>20</v>
      </c>
      <c r="AC257" s="131">
        <f t="shared" si="165"/>
        <v>51</v>
      </c>
      <c r="AD257" s="131">
        <f t="shared" si="165"/>
        <v>18</v>
      </c>
      <c r="AE257" s="131">
        <f t="shared" si="165"/>
        <v>4</v>
      </c>
      <c r="AF257" s="131">
        <f t="shared" si="165"/>
        <v>0</v>
      </c>
      <c r="AG257" s="131">
        <f t="shared" si="165"/>
        <v>12</v>
      </c>
      <c r="AH257" s="131">
        <f t="shared" si="165"/>
        <v>11</v>
      </c>
      <c r="AI257" s="131">
        <f t="shared" si="165"/>
        <v>27</v>
      </c>
      <c r="AJ257" s="131">
        <f t="shared" si="165"/>
        <v>1</v>
      </c>
      <c r="AK257" s="131">
        <f t="shared" si="165"/>
        <v>36</v>
      </c>
      <c r="AL257" s="131">
        <f t="shared" si="165"/>
        <v>19</v>
      </c>
      <c r="AM257" s="131">
        <f t="shared" si="165"/>
        <v>26</v>
      </c>
      <c r="AN257" s="131">
        <f t="shared" si="165"/>
        <v>3</v>
      </c>
      <c r="AO257" s="131">
        <f t="shared" si="165"/>
        <v>84</v>
      </c>
      <c r="AP257" s="131">
        <f t="shared" si="165"/>
        <v>1</v>
      </c>
      <c r="AQ257" s="131">
        <f t="shared" si="165"/>
        <v>40</v>
      </c>
      <c r="AR257" s="131">
        <f t="shared" si="165"/>
        <v>19</v>
      </c>
      <c r="AS257" s="131">
        <f t="shared" si="165"/>
        <v>30</v>
      </c>
      <c r="AT257" s="131">
        <f t="shared" si="165"/>
        <v>2</v>
      </c>
      <c r="AU257" s="131">
        <f t="shared" si="165"/>
        <v>91</v>
      </c>
      <c r="AV257" s="131">
        <f t="shared" si="165"/>
        <v>0</v>
      </c>
    </row>
    <row r="258" spans="1:48" ht="15" customHeight="1" x14ac:dyDescent="0.2">
      <c r="A258" s="12">
        <v>7</v>
      </c>
      <c r="B258" s="12" t="s">
        <v>273</v>
      </c>
      <c r="C258" s="12" t="s">
        <v>26</v>
      </c>
      <c r="D258" s="12">
        <v>30.79</v>
      </c>
      <c r="E258" s="12">
        <v>1997</v>
      </c>
      <c r="F258" s="15"/>
      <c r="G258" s="15"/>
      <c r="H258" s="15"/>
      <c r="I258" s="15"/>
      <c r="J258" s="15"/>
      <c r="K258" s="15"/>
      <c r="L258" s="15">
        <v>1</v>
      </c>
      <c r="M258" s="21">
        <v>0</v>
      </c>
      <c r="N258" s="21">
        <v>0</v>
      </c>
      <c r="O258" s="21">
        <v>0</v>
      </c>
      <c r="P258" s="21">
        <v>0</v>
      </c>
      <c r="Q258" s="21">
        <f t="shared" si="124"/>
        <v>0</v>
      </c>
      <c r="R258" s="15">
        <v>1</v>
      </c>
      <c r="S258" s="21">
        <v>0</v>
      </c>
      <c r="T258" s="21">
        <v>0</v>
      </c>
      <c r="U258" s="21">
        <v>0</v>
      </c>
      <c r="V258" s="21">
        <v>0</v>
      </c>
      <c r="W258" s="21">
        <f t="shared" si="125"/>
        <v>0</v>
      </c>
      <c r="X258" s="15">
        <v>1</v>
      </c>
      <c r="Y258" s="21">
        <v>0</v>
      </c>
      <c r="Z258" s="21">
        <v>0</v>
      </c>
      <c r="AA258" s="21">
        <v>0</v>
      </c>
      <c r="AB258" s="21">
        <v>0</v>
      </c>
      <c r="AC258" s="21">
        <f t="shared" si="126"/>
        <v>0</v>
      </c>
      <c r="AD258" s="15">
        <v>1</v>
      </c>
      <c r="AE258" s="21">
        <v>0</v>
      </c>
      <c r="AF258" s="21">
        <v>0</v>
      </c>
      <c r="AG258" s="21">
        <v>0</v>
      </c>
      <c r="AH258" s="21">
        <v>0</v>
      </c>
      <c r="AI258" s="21">
        <f t="shared" si="127"/>
        <v>0</v>
      </c>
      <c r="AJ258">
        <v>1</v>
      </c>
      <c r="AK258" s="128">
        <v>0</v>
      </c>
      <c r="AL258">
        <v>0</v>
      </c>
      <c r="AM258">
        <v>0</v>
      </c>
      <c r="AN258">
        <v>0</v>
      </c>
      <c r="AO258" s="21">
        <f t="shared" si="128"/>
        <v>0</v>
      </c>
      <c r="AP258">
        <v>1</v>
      </c>
      <c r="AQ258">
        <v>0</v>
      </c>
      <c r="AR258">
        <v>0</v>
      </c>
      <c r="AS258">
        <v>0</v>
      </c>
      <c r="AT258">
        <v>0</v>
      </c>
      <c r="AU258" s="21">
        <f t="shared" si="123"/>
        <v>0</v>
      </c>
    </row>
    <row r="259" spans="1:48" x14ac:dyDescent="0.2">
      <c r="A259" s="12">
        <v>7</v>
      </c>
      <c r="B259" s="12" t="s">
        <v>274</v>
      </c>
      <c r="C259" s="12" t="s">
        <v>26</v>
      </c>
      <c r="D259" s="12">
        <v>26.85</v>
      </c>
      <c r="E259" s="12">
        <v>1997</v>
      </c>
      <c r="F259" s="15"/>
      <c r="G259" s="15"/>
      <c r="H259" s="15"/>
      <c r="I259" s="15"/>
      <c r="J259" s="15"/>
      <c r="K259" s="15"/>
      <c r="L259" s="15"/>
      <c r="M259" s="21">
        <v>0</v>
      </c>
      <c r="N259" s="21">
        <v>0</v>
      </c>
      <c r="O259" s="21">
        <v>0</v>
      </c>
      <c r="P259" s="21">
        <v>1</v>
      </c>
      <c r="Q259" s="21">
        <f t="shared" si="124"/>
        <v>1</v>
      </c>
      <c r="R259" s="15"/>
      <c r="S259" s="21">
        <v>0</v>
      </c>
      <c r="T259" s="21">
        <v>0</v>
      </c>
      <c r="U259" s="21">
        <v>1</v>
      </c>
      <c r="V259" s="21">
        <v>1</v>
      </c>
      <c r="W259" s="21">
        <f t="shared" si="125"/>
        <v>2</v>
      </c>
      <c r="X259" s="15"/>
      <c r="Y259" s="21">
        <v>0</v>
      </c>
      <c r="Z259" s="21">
        <v>0</v>
      </c>
      <c r="AA259" s="21">
        <v>0</v>
      </c>
      <c r="AB259" s="21">
        <v>1</v>
      </c>
      <c r="AC259" s="21">
        <f t="shared" si="126"/>
        <v>1</v>
      </c>
      <c r="AD259" s="15"/>
      <c r="AE259" s="21">
        <v>0</v>
      </c>
      <c r="AF259" s="21">
        <v>0</v>
      </c>
      <c r="AG259" s="21">
        <v>0</v>
      </c>
      <c r="AH259" s="21">
        <v>1</v>
      </c>
      <c r="AI259" s="21">
        <f t="shared" si="127"/>
        <v>1</v>
      </c>
      <c r="AK259" s="128">
        <v>0</v>
      </c>
      <c r="AL259">
        <v>0</v>
      </c>
      <c r="AM259">
        <v>0</v>
      </c>
      <c r="AN259">
        <v>1</v>
      </c>
      <c r="AO259" s="21">
        <f t="shared" si="128"/>
        <v>1</v>
      </c>
      <c r="AQ259">
        <v>0</v>
      </c>
      <c r="AR259">
        <v>0</v>
      </c>
      <c r="AS259">
        <v>0</v>
      </c>
      <c r="AT259">
        <v>1</v>
      </c>
      <c r="AU259" s="21">
        <f t="shared" si="123"/>
        <v>1</v>
      </c>
    </row>
    <row r="260" spans="1:48" x14ac:dyDescent="0.2">
      <c r="A260" s="12">
        <v>7</v>
      </c>
      <c r="B260" s="12" t="s">
        <v>284</v>
      </c>
      <c r="C260" s="12" t="s">
        <v>26</v>
      </c>
      <c r="D260" s="12">
        <v>33.31</v>
      </c>
      <c r="E260" s="12">
        <v>1997</v>
      </c>
      <c r="F260" s="15"/>
      <c r="G260" s="15"/>
      <c r="H260" s="15"/>
      <c r="I260" s="15"/>
      <c r="J260" s="15"/>
      <c r="K260" s="15"/>
      <c r="L260" s="15"/>
      <c r="M260" s="21">
        <v>0</v>
      </c>
      <c r="N260" s="21">
        <v>0</v>
      </c>
      <c r="O260" s="21">
        <v>0</v>
      </c>
      <c r="P260" s="21">
        <v>1</v>
      </c>
      <c r="Q260" s="21">
        <f t="shared" si="124"/>
        <v>1</v>
      </c>
      <c r="R260" s="15"/>
      <c r="S260" s="21">
        <v>0</v>
      </c>
      <c r="T260" s="21">
        <v>0</v>
      </c>
      <c r="U260" s="21">
        <v>0</v>
      </c>
      <c r="V260" s="21">
        <v>1</v>
      </c>
      <c r="W260" s="21">
        <f t="shared" si="125"/>
        <v>1</v>
      </c>
      <c r="X260" s="15"/>
      <c r="Y260" s="21">
        <v>0</v>
      </c>
      <c r="Z260" s="21">
        <v>0</v>
      </c>
      <c r="AA260" s="21">
        <v>0</v>
      </c>
      <c r="AB260" s="21">
        <v>1</v>
      </c>
      <c r="AC260" s="21">
        <f t="shared" si="126"/>
        <v>1</v>
      </c>
      <c r="AD260" s="15"/>
      <c r="AE260" s="21">
        <v>0</v>
      </c>
      <c r="AF260" s="21">
        <v>0</v>
      </c>
      <c r="AG260" s="21">
        <v>0</v>
      </c>
      <c r="AH260" s="21">
        <v>1</v>
      </c>
      <c r="AI260" s="21">
        <f t="shared" si="127"/>
        <v>1</v>
      </c>
      <c r="AK260" s="128">
        <v>0</v>
      </c>
      <c r="AL260">
        <v>0</v>
      </c>
      <c r="AM260">
        <v>0</v>
      </c>
      <c r="AN260">
        <v>1</v>
      </c>
      <c r="AO260" s="21">
        <f t="shared" si="128"/>
        <v>1</v>
      </c>
      <c r="AQ260">
        <v>0</v>
      </c>
      <c r="AR260">
        <v>0</v>
      </c>
      <c r="AS260">
        <v>0</v>
      </c>
      <c r="AT260">
        <v>1</v>
      </c>
      <c r="AU260" s="21">
        <f t="shared" si="123"/>
        <v>1</v>
      </c>
    </row>
    <row r="261" spans="1:48" x14ac:dyDescent="0.2">
      <c r="A261" s="12">
        <v>7</v>
      </c>
      <c r="B261" s="12" t="s">
        <v>277</v>
      </c>
      <c r="C261" s="12" t="s">
        <v>26</v>
      </c>
      <c r="D261" s="12">
        <v>29.8</v>
      </c>
      <c r="E261" s="12">
        <v>1997</v>
      </c>
      <c r="F261" s="15"/>
      <c r="G261" s="15"/>
      <c r="H261" s="15"/>
      <c r="I261" s="15"/>
      <c r="J261" s="15"/>
      <c r="K261" s="15"/>
      <c r="L261" s="15"/>
      <c r="M261" s="21">
        <v>0</v>
      </c>
      <c r="N261" s="21">
        <v>0</v>
      </c>
      <c r="O261" s="21">
        <v>0</v>
      </c>
      <c r="P261" s="21">
        <v>1</v>
      </c>
      <c r="Q261" s="21">
        <f t="shared" si="124"/>
        <v>1</v>
      </c>
      <c r="R261" s="15"/>
      <c r="S261" s="21">
        <v>0</v>
      </c>
      <c r="T261" s="21">
        <v>0</v>
      </c>
      <c r="U261" s="21">
        <v>0</v>
      </c>
      <c r="V261" s="21">
        <v>1</v>
      </c>
      <c r="W261" s="21">
        <f t="shared" si="125"/>
        <v>1</v>
      </c>
      <c r="X261" s="15"/>
      <c r="Y261" s="21">
        <v>0</v>
      </c>
      <c r="Z261" s="21">
        <v>0</v>
      </c>
      <c r="AA261" s="21">
        <v>0</v>
      </c>
      <c r="AB261" s="21">
        <v>1</v>
      </c>
      <c r="AC261" s="21">
        <f t="shared" si="126"/>
        <v>1</v>
      </c>
      <c r="AD261" s="15"/>
      <c r="AE261" s="21">
        <v>0</v>
      </c>
      <c r="AF261" s="21">
        <v>0</v>
      </c>
      <c r="AG261" s="21">
        <v>0</v>
      </c>
      <c r="AH261" s="21">
        <v>1</v>
      </c>
      <c r="AI261" s="21">
        <f t="shared" si="127"/>
        <v>1</v>
      </c>
      <c r="AK261" s="128">
        <v>0</v>
      </c>
      <c r="AL261">
        <v>0</v>
      </c>
      <c r="AM261">
        <v>0</v>
      </c>
      <c r="AN261">
        <v>1</v>
      </c>
      <c r="AO261" s="21">
        <f t="shared" si="128"/>
        <v>1</v>
      </c>
      <c r="AQ261">
        <v>0</v>
      </c>
      <c r="AR261">
        <v>0</v>
      </c>
      <c r="AS261">
        <v>0</v>
      </c>
      <c r="AT261">
        <v>1</v>
      </c>
      <c r="AU261" s="21">
        <f t="shared" si="123"/>
        <v>1</v>
      </c>
    </row>
    <row r="262" spans="1:48" x14ac:dyDescent="0.2">
      <c r="A262" s="12">
        <v>7</v>
      </c>
      <c r="B262" s="12" t="s">
        <v>278</v>
      </c>
      <c r="C262" s="12" t="s">
        <v>26</v>
      </c>
      <c r="D262" s="12">
        <v>27</v>
      </c>
      <c r="E262" s="12">
        <v>1997</v>
      </c>
      <c r="F262" s="15"/>
      <c r="G262" s="15"/>
      <c r="H262" s="15"/>
      <c r="I262" s="15"/>
      <c r="J262" s="15"/>
      <c r="K262" s="15"/>
      <c r="L262" s="15"/>
      <c r="M262" s="21">
        <v>0</v>
      </c>
      <c r="N262" s="21">
        <v>0</v>
      </c>
      <c r="O262" s="21">
        <v>0</v>
      </c>
      <c r="P262" s="21">
        <v>1</v>
      </c>
      <c r="Q262" s="21">
        <f t="shared" si="124"/>
        <v>1</v>
      </c>
      <c r="R262" s="15"/>
      <c r="S262" s="21">
        <v>0</v>
      </c>
      <c r="T262" s="21">
        <v>0</v>
      </c>
      <c r="U262" s="21">
        <v>0</v>
      </c>
      <c r="V262" s="21">
        <v>1</v>
      </c>
      <c r="W262" s="21">
        <f t="shared" si="125"/>
        <v>1</v>
      </c>
      <c r="X262" s="15"/>
      <c r="Y262" s="21">
        <v>0</v>
      </c>
      <c r="Z262" s="21">
        <v>0</v>
      </c>
      <c r="AA262" s="21">
        <v>0</v>
      </c>
      <c r="AB262" s="21">
        <v>1</v>
      </c>
      <c r="AC262" s="21">
        <f t="shared" si="126"/>
        <v>1</v>
      </c>
      <c r="AD262" s="15"/>
      <c r="AE262" s="21">
        <v>0</v>
      </c>
      <c r="AF262" s="21">
        <v>0</v>
      </c>
      <c r="AG262" s="21">
        <v>0</v>
      </c>
      <c r="AH262" s="21">
        <v>1</v>
      </c>
      <c r="AI262" s="21">
        <f t="shared" si="127"/>
        <v>1</v>
      </c>
      <c r="AK262" s="128">
        <v>0</v>
      </c>
      <c r="AL262">
        <v>0</v>
      </c>
      <c r="AM262">
        <v>0</v>
      </c>
      <c r="AN262">
        <v>1</v>
      </c>
      <c r="AO262" s="21">
        <f t="shared" si="128"/>
        <v>1</v>
      </c>
      <c r="AQ262">
        <v>0</v>
      </c>
      <c r="AR262">
        <v>0</v>
      </c>
      <c r="AS262">
        <v>0</v>
      </c>
      <c r="AT262">
        <v>1</v>
      </c>
      <c r="AU262" s="21">
        <f t="shared" si="123"/>
        <v>1</v>
      </c>
    </row>
    <row r="263" spans="1:48" x14ac:dyDescent="0.2">
      <c r="A263" s="12">
        <v>7</v>
      </c>
      <c r="B263" s="12" t="s">
        <v>276</v>
      </c>
      <c r="C263" s="12" t="s">
        <v>26</v>
      </c>
      <c r="D263" s="12">
        <v>29.56</v>
      </c>
      <c r="E263" s="12">
        <v>1997</v>
      </c>
      <c r="F263" s="15"/>
      <c r="G263" s="15"/>
      <c r="H263" s="15"/>
      <c r="I263" s="15"/>
      <c r="J263" s="15"/>
      <c r="K263" s="15"/>
      <c r="L263" s="15"/>
      <c r="M263" s="21">
        <v>0</v>
      </c>
      <c r="N263" s="21">
        <v>0</v>
      </c>
      <c r="O263" s="21">
        <v>0</v>
      </c>
      <c r="P263" s="21">
        <v>1</v>
      </c>
      <c r="Q263" s="21">
        <f t="shared" si="124"/>
        <v>1</v>
      </c>
      <c r="R263" s="15"/>
      <c r="S263" s="21">
        <v>0</v>
      </c>
      <c r="T263" s="21">
        <v>0</v>
      </c>
      <c r="U263" s="21">
        <v>0</v>
      </c>
      <c r="V263" s="21">
        <v>1</v>
      </c>
      <c r="W263" s="21">
        <f t="shared" si="125"/>
        <v>1</v>
      </c>
      <c r="X263" s="15"/>
      <c r="Y263" s="21">
        <v>0</v>
      </c>
      <c r="Z263" s="21">
        <v>0</v>
      </c>
      <c r="AA263" s="21">
        <v>0</v>
      </c>
      <c r="AB263" s="21">
        <v>1</v>
      </c>
      <c r="AC263" s="21">
        <f t="shared" si="126"/>
        <v>1</v>
      </c>
      <c r="AD263" s="15"/>
      <c r="AE263" s="21">
        <v>0</v>
      </c>
      <c r="AF263" s="21">
        <v>0</v>
      </c>
      <c r="AG263" s="21">
        <v>0</v>
      </c>
      <c r="AH263" s="21">
        <v>1</v>
      </c>
      <c r="AI263" s="21">
        <f t="shared" si="127"/>
        <v>1</v>
      </c>
      <c r="AK263" s="128">
        <v>0</v>
      </c>
      <c r="AL263">
        <v>0</v>
      </c>
      <c r="AM263">
        <v>0</v>
      </c>
      <c r="AN263">
        <v>1</v>
      </c>
      <c r="AO263" s="21">
        <f t="shared" si="128"/>
        <v>1</v>
      </c>
      <c r="AQ263">
        <v>0</v>
      </c>
      <c r="AR263">
        <v>0</v>
      </c>
      <c r="AS263">
        <v>0</v>
      </c>
      <c r="AT263">
        <v>1</v>
      </c>
      <c r="AU263" s="21">
        <f t="shared" si="123"/>
        <v>1</v>
      </c>
    </row>
    <row r="264" spans="1:48" x14ac:dyDescent="0.2">
      <c r="A264" s="12">
        <v>7</v>
      </c>
      <c r="B264" s="12" t="s">
        <v>272</v>
      </c>
      <c r="C264" s="12" t="s">
        <v>26</v>
      </c>
      <c r="D264" s="12">
        <v>30.93</v>
      </c>
      <c r="E264" s="12">
        <v>1998</v>
      </c>
      <c r="F264" s="15"/>
      <c r="G264" s="15"/>
      <c r="H264" s="15"/>
      <c r="I264" s="15"/>
      <c r="J264" s="15"/>
      <c r="K264" s="15"/>
      <c r="L264" s="15"/>
      <c r="M264" s="21">
        <v>0</v>
      </c>
      <c r="N264" s="21">
        <v>0</v>
      </c>
      <c r="O264" s="21">
        <v>0</v>
      </c>
      <c r="P264" s="21">
        <v>1</v>
      </c>
      <c r="Q264" s="21">
        <f t="shared" si="124"/>
        <v>1</v>
      </c>
      <c r="R264" s="15"/>
      <c r="S264" s="21">
        <v>0</v>
      </c>
      <c r="T264" s="21">
        <v>0</v>
      </c>
      <c r="U264" s="21">
        <v>0</v>
      </c>
      <c r="V264" s="21">
        <v>1</v>
      </c>
      <c r="W264" s="21">
        <f t="shared" si="125"/>
        <v>1</v>
      </c>
      <c r="X264" s="15"/>
      <c r="Y264" s="21">
        <v>0</v>
      </c>
      <c r="Z264" s="21">
        <v>0</v>
      </c>
      <c r="AA264" s="21">
        <v>0</v>
      </c>
      <c r="AB264" s="21">
        <v>1</v>
      </c>
      <c r="AC264" s="21">
        <f t="shared" si="126"/>
        <v>1</v>
      </c>
      <c r="AD264" s="15"/>
      <c r="AE264" s="21">
        <v>0</v>
      </c>
      <c r="AF264" s="21">
        <v>0</v>
      </c>
      <c r="AG264" s="21">
        <v>0</v>
      </c>
      <c r="AH264" s="21">
        <v>1</v>
      </c>
      <c r="AI264" s="21">
        <f t="shared" si="127"/>
        <v>1</v>
      </c>
      <c r="AK264" s="128">
        <v>0</v>
      </c>
      <c r="AL264">
        <v>0</v>
      </c>
      <c r="AM264">
        <v>0</v>
      </c>
      <c r="AN264">
        <v>1</v>
      </c>
      <c r="AO264" s="21">
        <f t="shared" si="128"/>
        <v>1</v>
      </c>
      <c r="AQ264">
        <v>0</v>
      </c>
      <c r="AR264">
        <v>0</v>
      </c>
      <c r="AS264">
        <v>0</v>
      </c>
      <c r="AT264">
        <v>1</v>
      </c>
      <c r="AU264" s="21">
        <f t="shared" si="123"/>
        <v>1</v>
      </c>
    </row>
    <row r="265" spans="1:48" x14ac:dyDescent="0.2">
      <c r="A265" s="12">
        <v>7</v>
      </c>
      <c r="B265" s="12" t="s">
        <v>275</v>
      </c>
      <c r="C265" s="12" t="s">
        <v>26</v>
      </c>
      <c r="D265" s="12">
        <v>32.83</v>
      </c>
      <c r="E265" s="12">
        <v>1998</v>
      </c>
      <c r="F265" s="15"/>
      <c r="G265" s="15"/>
      <c r="H265" s="15"/>
      <c r="I265" s="15"/>
      <c r="J265" s="15"/>
      <c r="K265" s="15"/>
      <c r="L265" s="15"/>
      <c r="M265" s="21">
        <v>0</v>
      </c>
      <c r="N265" s="21">
        <v>0</v>
      </c>
      <c r="O265" s="21">
        <v>0</v>
      </c>
      <c r="P265" s="21">
        <v>1</v>
      </c>
      <c r="Q265" s="21">
        <f t="shared" si="124"/>
        <v>1</v>
      </c>
      <c r="R265" s="15"/>
      <c r="S265" s="21">
        <v>0</v>
      </c>
      <c r="T265" s="21">
        <v>0</v>
      </c>
      <c r="U265" s="21">
        <v>0</v>
      </c>
      <c r="V265" s="21">
        <v>1</v>
      </c>
      <c r="W265" s="21">
        <f t="shared" si="125"/>
        <v>1</v>
      </c>
      <c r="X265" s="15"/>
      <c r="Y265" s="21">
        <v>0</v>
      </c>
      <c r="Z265" s="21">
        <v>0</v>
      </c>
      <c r="AA265" s="21">
        <v>0</v>
      </c>
      <c r="AB265" s="21">
        <v>1</v>
      </c>
      <c r="AC265" s="21">
        <f t="shared" si="126"/>
        <v>1</v>
      </c>
      <c r="AD265" s="15"/>
      <c r="AE265" s="21">
        <v>0</v>
      </c>
      <c r="AF265" s="21">
        <v>0</v>
      </c>
      <c r="AG265" s="21">
        <v>0</v>
      </c>
      <c r="AH265" s="21">
        <v>1</v>
      </c>
      <c r="AI265" s="21">
        <f t="shared" si="127"/>
        <v>1</v>
      </c>
      <c r="AK265" s="128">
        <v>0</v>
      </c>
      <c r="AL265">
        <v>0</v>
      </c>
      <c r="AM265">
        <v>0</v>
      </c>
      <c r="AN265">
        <v>1</v>
      </c>
      <c r="AO265" s="21">
        <f t="shared" si="128"/>
        <v>1</v>
      </c>
      <c r="AQ265">
        <v>0</v>
      </c>
      <c r="AR265">
        <v>0</v>
      </c>
      <c r="AS265">
        <v>0</v>
      </c>
      <c r="AT265">
        <v>1</v>
      </c>
      <c r="AU265" s="21">
        <f t="shared" si="123"/>
        <v>1</v>
      </c>
    </row>
    <row r="266" spans="1:48" ht="15" customHeight="1" x14ac:dyDescent="0.2">
      <c r="A266" s="12">
        <v>7</v>
      </c>
      <c r="B266" s="12" t="s">
        <v>283</v>
      </c>
      <c r="C266" s="12" t="s">
        <v>26</v>
      </c>
      <c r="D266" s="12">
        <v>29.48</v>
      </c>
      <c r="E266" s="12">
        <v>1998</v>
      </c>
      <c r="F266" s="15"/>
      <c r="G266" s="15"/>
      <c r="H266" s="15"/>
      <c r="I266" s="15"/>
      <c r="J266" s="15"/>
      <c r="K266" s="15"/>
      <c r="L266" s="15">
        <v>1</v>
      </c>
      <c r="M266" s="21">
        <v>0</v>
      </c>
      <c r="N266" s="21">
        <v>0</v>
      </c>
      <c r="O266" s="21">
        <v>0</v>
      </c>
      <c r="P266" s="21">
        <v>0</v>
      </c>
      <c r="Q266" s="21">
        <f t="shared" si="124"/>
        <v>0</v>
      </c>
      <c r="R266" s="15"/>
      <c r="S266" s="21">
        <v>0</v>
      </c>
      <c r="T266" s="21">
        <v>0</v>
      </c>
      <c r="U266" s="21">
        <v>0</v>
      </c>
      <c r="V266" s="21">
        <v>1</v>
      </c>
      <c r="W266" s="21">
        <f t="shared" si="125"/>
        <v>1</v>
      </c>
      <c r="X266" s="15"/>
      <c r="Y266" s="21">
        <v>0</v>
      </c>
      <c r="Z266" s="21">
        <v>0</v>
      </c>
      <c r="AA266" s="21">
        <v>0</v>
      </c>
      <c r="AB266" s="21">
        <v>1</v>
      </c>
      <c r="AC266" s="21">
        <f t="shared" si="126"/>
        <v>1</v>
      </c>
      <c r="AD266" s="15"/>
      <c r="AE266" s="21">
        <v>0</v>
      </c>
      <c r="AF266" s="21">
        <v>0</v>
      </c>
      <c r="AG266" s="21">
        <v>0</v>
      </c>
      <c r="AH266" s="21">
        <v>1</v>
      </c>
      <c r="AI266" s="21">
        <f t="shared" si="127"/>
        <v>1</v>
      </c>
      <c r="AK266" s="128">
        <v>0</v>
      </c>
      <c r="AL266">
        <v>0</v>
      </c>
      <c r="AM266">
        <v>0</v>
      </c>
      <c r="AN266">
        <v>1</v>
      </c>
      <c r="AO266" s="21">
        <f t="shared" si="128"/>
        <v>1</v>
      </c>
      <c r="AQ266">
        <v>0</v>
      </c>
      <c r="AR266">
        <v>0</v>
      </c>
      <c r="AS266">
        <v>0</v>
      </c>
      <c r="AT266">
        <v>1</v>
      </c>
      <c r="AU266" s="21">
        <f t="shared" ref="AU266:AU329" si="166">SUM(AQ266:AT266)</f>
        <v>1</v>
      </c>
    </row>
    <row r="267" spans="1:48" ht="15" customHeight="1" x14ac:dyDescent="0.2">
      <c r="A267" s="12">
        <v>7</v>
      </c>
      <c r="B267" s="12" t="s">
        <v>285</v>
      </c>
      <c r="C267" s="12" t="s">
        <v>26</v>
      </c>
      <c r="D267" s="12">
        <v>14.99</v>
      </c>
      <c r="E267" s="12">
        <v>1998</v>
      </c>
      <c r="F267" s="15"/>
      <c r="G267" s="15"/>
      <c r="H267" s="15"/>
      <c r="I267" s="15"/>
      <c r="J267" s="15"/>
      <c r="K267" s="15"/>
      <c r="L267" s="15">
        <v>1</v>
      </c>
      <c r="M267" s="21">
        <v>0</v>
      </c>
      <c r="N267" s="21">
        <v>0</v>
      </c>
      <c r="O267" s="21">
        <v>0</v>
      </c>
      <c r="P267" s="21">
        <v>0</v>
      </c>
      <c r="Q267" s="21">
        <f t="shared" ref="Q267:Q330" si="167">SUM(M267:P267)</f>
        <v>0</v>
      </c>
      <c r="R267" s="15"/>
      <c r="S267" s="21">
        <v>0</v>
      </c>
      <c r="T267" s="21">
        <v>0</v>
      </c>
      <c r="U267" s="21">
        <v>0</v>
      </c>
      <c r="V267" s="21">
        <v>1</v>
      </c>
      <c r="W267" s="21">
        <f t="shared" ref="W267:W330" si="168">SUM(S267:V267)</f>
        <v>1</v>
      </c>
      <c r="X267" s="15">
        <v>1</v>
      </c>
      <c r="Y267" s="21">
        <v>0</v>
      </c>
      <c r="Z267" s="21">
        <v>0</v>
      </c>
      <c r="AA267" s="21">
        <v>0</v>
      </c>
      <c r="AB267" s="21">
        <v>0</v>
      </c>
      <c r="AC267" s="21">
        <f t="shared" ref="AC267:AC330" si="169">SUM(Y267:AB267)</f>
        <v>0</v>
      </c>
      <c r="AD267" s="15">
        <v>1</v>
      </c>
      <c r="AE267" s="21">
        <v>0</v>
      </c>
      <c r="AF267" s="21">
        <v>0</v>
      </c>
      <c r="AG267" s="21">
        <v>0</v>
      </c>
      <c r="AH267" s="21">
        <v>0</v>
      </c>
      <c r="AI267" s="21">
        <f t="shared" ref="AI267:AI330" si="170">SUM(AE267:AH267)</f>
        <v>0</v>
      </c>
      <c r="AJ267">
        <v>1</v>
      </c>
      <c r="AK267" s="128">
        <v>0</v>
      </c>
      <c r="AL267">
        <v>0</v>
      </c>
      <c r="AM267">
        <v>0</v>
      </c>
      <c r="AN267">
        <v>0</v>
      </c>
      <c r="AO267" s="21">
        <f t="shared" ref="AO267:AO330" si="171">SUM(AK267:AN267)</f>
        <v>0</v>
      </c>
      <c r="AP267">
        <v>1</v>
      </c>
      <c r="AQ267">
        <v>0</v>
      </c>
      <c r="AR267">
        <v>0</v>
      </c>
      <c r="AS267">
        <v>0</v>
      </c>
      <c r="AT267">
        <v>0</v>
      </c>
      <c r="AU267" s="21">
        <f t="shared" si="166"/>
        <v>0</v>
      </c>
    </row>
    <row r="268" spans="1:48" ht="15" customHeight="1" x14ac:dyDescent="0.2">
      <c r="A268" s="12">
        <v>7</v>
      </c>
      <c r="B268" s="12" t="s">
        <v>294</v>
      </c>
      <c r="C268" s="12" t="s">
        <v>26</v>
      </c>
      <c r="D268" s="12">
        <v>26.51</v>
      </c>
      <c r="E268" s="12">
        <v>1998</v>
      </c>
      <c r="F268" s="15"/>
      <c r="G268" s="15"/>
      <c r="H268" s="15"/>
      <c r="I268" s="15"/>
      <c r="J268" s="15"/>
      <c r="K268" s="15"/>
      <c r="L268" s="15">
        <v>1</v>
      </c>
      <c r="M268" s="21">
        <v>0</v>
      </c>
      <c r="N268" s="21">
        <v>0</v>
      </c>
      <c r="O268" s="21">
        <v>0</v>
      </c>
      <c r="P268" s="21">
        <v>0</v>
      </c>
      <c r="Q268" s="21">
        <f t="shared" si="167"/>
        <v>0</v>
      </c>
      <c r="R268" s="15"/>
      <c r="S268" s="21">
        <v>3</v>
      </c>
      <c r="T268" s="21">
        <v>0</v>
      </c>
      <c r="U268" s="21">
        <v>0</v>
      </c>
      <c r="V268" s="21">
        <v>1</v>
      </c>
      <c r="W268" s="21">
        <f t="shared" si="168"/>
        <v>4</v>
      </c>
      <c r="X268" s="15">
        <v>1</v>
      </c>
      <c r="Y268" s="21">
        <v>0</v>
      </c>
      <c r="Z268" s="21">
        <v>0</v>
      </c>
      <c r="AA268" s="21">
        <v>0</v>
      </c>
      <c r="AB268" s="21">
        <v>0</v>
      </c>
      <c r="AC268" s="21">
        <f t="shared" si="169"/>
        <v>0</v>
      </c>
      <c r="AD268" s="15">
        <v>1</v>
      </c>
      <c r="AE268" s="21">
        <v>0</v>
      </c>
      <c r="AF268" s="21">
        <v>0</v>
      </c>
      <c r="AG268" s="21">
        <v>0</v>
      </c>
      <c r="AH268" s="21">
        <v>0</v>
      </c>
      <c r="AI268" s="21">
        <f t="shared" si="170"/>
        <v>0</v>
      </c>
      <c r="AJ268">
        <v>1</v>
      </c>
      <c r="AK268" s="128">
        <v>0</v>
      </c>
      <c r="AL268">
        <v>0</v>
      </c>
      <c r="AM268">
        <v>0</v>
      </c>
      <c r="AN268">
        <v>0</v>
      </c>
      <c r="AO268" s="21">
        <f t="shared" si="171"/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 s="21">
        <f t="shared" si="166"/>
        <v>0</v>
      </c>
    </row>
    <row r="269" spans="1:48" x14ac:dyDescent="0.2">
      <c r="A269" s="12">
        <v>7</v>
      </c>
      <c r="B269" s="12" t="s">
        <v>295</v>
      </c>
      <c r="C269" s="12" t="s">
        <v>26</v>
      </c>
      <c r="D269" s="12">
        <v>35.93</v>
      </c>
      <c r="E269" s="12">
        <v>1998</v>
      </c>
      <c r="F269" s="15"/>
      <c r="G269" s="15"/>
      <c r="H269" s="15"/>
      <c r="I269" s="15"/>
      <c r="J269" s="15"/>
      <c r="K269" s="15"/>
      <c r="L269" s="15"/>
      <c r="M269" s="21">
        <v>3</v>
      </c>
      <c r="N269" s="21">
        <v>0</v>
      </c>
      <c r="O269" s="21">
        <v>0</v>
      </c>
      <c r="P269" s="21">
        <v>1</v>
      </c>
      <c r="Q269" s="21">
        <f t="shared" si="167"/>
        <v>4</v>
      </c>
      <c r="R269" s="15"/>
      <c r="S269" s="21">
        <v>0</v>
      </c>
      <c r="T269" s="21">
        <v>0</v>
      </c>
      <c r="U269" s="21">
        <v>0</v>
      </c>
      <c r="V269" s="21">
        <v>1</v>
      </c>
      <c r="W269" s="21">
        <f t="shared" si="168"/>
        <v>1</v>
      </c>
      <c r="X269" s="15"/>
      <c r="Y269" s="21">
        <v>3</v>
      </c>
      <c r="Z269" s="21">
        <v>0</v>
      </c>
      <c r="AA269" s="21">
        <v>0</v>
      </c>
      <c r="AB269" s="21">
        <v>1</v>
      </c>
      <c r="AC269" s="21">
        <f t="shared" si="169"/>
        <v>4</v>
      </c>
      <c r="AD269" s="15"/>
      <c r="AE269" s="21">
        <v>3</v>
      </c>
      <c r="AF269" s="21">
        <v>0</v>
      </c>
      <c r="AG269" s="21">
        <v>0</v>
      </c>
      <c r="AH269" s="21">
        <v>0</v>
      </c>
      <c r="AI269" s="21">
        <f t="shared" si="170"/>
        <v>3</v>
      </c>
      <c r="AK269" s="128">
        <v>0</v>
      </c>
      <c r="AL269">
        <v>0</v>
      </c>
      <c r="AM269">
        <v>0</v>
      </c>
      <c r="AN269">
        <v>1</v>
      </c>
      <c r="AO269" s="21">
        <f t="shared" si="171"/>
        <v>1</v>
      </c>
      <c r="AQ269" t="s">
        <v>605</v>
      </c>
      <c r="AR269">
        <v>0</v>
      </c>
      <c r="AS269">
        <v>0</v>
      </c>
      <c r="AT269">
        <v>1</v>
      </c>
      <c r="AU269" s="21">
        <f t="shared" si="166"/>
        <v>1</v>
      </c>
    </row>
    <row r="270" spans="1:48" x14ac:dyDescent="0.2">
      <c r="A270" s="12">
        <v>7</v>
      </c>
      <c r="B270" s="12" t="s">
        <v>297</v>
      </c>
      <c r="C270" s="12" t="s">
        <v>26</v>
      </c>
      <c r="D270" s="12">
        <v>30.19</v>
      </c>
      <c r="E270" s="12">
        <v>1998</v>
      </c>
      <c r="F270" s="15"/>
      <c r="G270" s="15"/>
      <c r="H270" s="15"/>
      <c r="I270" s="15"/>
      <c r="J270" s="15"/>
      <c r="K270" s="15"/>
      <c r="L270" s="15"/>
      <c r="M270" s="21">
        <v>0</v>
      </c>
      <c r="N270" s="21">
        <v>0</v>
      </c>
      <c r="O270" s="21">
        <v>0</v>
      </c>
      <c r="P270" s="21">
        <v>1</v>
      </c>
      <c r="Q270" s="21">
        <f t="shared" si="167"/>
        <v>1</v>
      </c>
      <c r="R270" s="15"/>
      <c r="S270" s="21">
        <v>0</v>
      </c>
      <c r="T270" s="21">
        <v>0</v>
      </c>
      <c r="U270" s="21">
        <v>0</v>
      </c>
      <c r="V270" s="21">
        <v>1</v>
      </c>
      <c r="W270" s="21">
        <f t="shared" si="168"/>
        <v>1</v>
      </c>
      <c r="X270" s="15"/>
      <c r="Y270" s="21">
        <v>0</v>
      </c>
      <c r="Z270" s="21">
        <v>0</v>
      </c>
      <c r="AA270" s="21">
        <v>0</v>
      </c>
      <c r="AB270" s="21">
        <v>1</v>
      </c>
      <c r="AC270" s="21">
        <f t="shared" si="169"/>
        <v>1</v>
      </c>
      <c r="AD270" s="15"/>
      <c r="AE270" s="21">
        <v>0</v>
      </c>
      <c r="AF270" s="21">
        <v>0</v>
      </c>
      <c r="AG270" s="21">
        <v>0</v>
      </c>
      <c r="AH270" s="21">
        <v>1</v>
      </c>
      <c r="AI270" s="21">
        <f t="shared" si="170"/>
        <v>1</v>
      </c>
      <c r="AK270" s="128">
        <v>0</v>
      </c>
      <c r="AL270">
        <v>0</v>
      </c>
      <c r="AM270">
        <v>0</v>
      </c>
      <c r="AN270">
        <v>1</v>
      </c>
      <c r="AO270" s="21">
        <f t="shared" si="171"/>
        <v>1</v>
      </c>
      <c r="AQ270">
        <v>0</v>
      </c>
      <c r="AR270">
        <v>0</v>
      </c>
      <c r="AS270">
        <v>0</v>
      </c>
      <c r="AT270">
        <v>1</v>
      </c>
      <c r="AU270" s="21">
        <f t="shared" si="166"/>
        <v>1</v>
      </c>
    </row>
    <row r="271" spans="1:48" ht="15" customHeight="1" x14ac:dyDescent="0.2">
      <c r="A271" s="12">
        <v>7</v>
      </c>
      <c r="B271" s="12" t="s">
        <v>298</v>
      </c>
      <c r="C271" s="12" t="s">
        <v>26</v>
      </c>
      <c r="D271" s="12">
        <v>29.02</v>
      </c>
      <c r="E271" s="12">
        <v>1998</v>
      </c>
      <c r="F271" s="15"/>
      <c r="G271" s="15"/>
      <c r="H271" s="15"/>
      <c r="I271" s="15"/>
      <c r="J271" s="15"/>
      <c r="K271" s="15"/>
      <c r="L271" s="15">
        <v>1</v>
      </c>
      <c r="M271" s="21">
        <v>0</v>
      </c>
      <c r="N271" s="21">
        <v>0</v>
      </c>
      <c r="O271" s="21">
        <v>0</v>
      </c>
      <c r="P271" s="21">
        <v>0</v>
      </c>
      <c r="Q271" s="21">
        <f t="shared" si="167"/>
        <v>0</v>
      </c>
      <c r="R271" s="15"/>
      <c r="S271" s="21">
        <v>0</v>
      </c>
      <c r="T271" s="21">
        <v>0</v>
      </c>
      <c r="U271" s="21">
        <v>0</v>
      </c>
      <c r="V271" s="21">
        <v>1</v>
      </c>
      <c r="W271" s="21">
        <f t="shared" si="168"/>
        <v>1</v>
      </c>
      <c r="X271" s="15">
        <v>1</v>
      </c>
      <c r="Y271" s="21">
        <v>0</v>
      </c>
      <c r="Z271" s="21">
        <v>0</v>
      </c>
      <c r="AA271" s="21">
        <v>0</v>
      </c>
      <c r="AB271" s="21">
        <v>0</v>
      </c>
      <c r="AC271" s="21">
        <f t="shared" si="169"/>
        <v>0</v>
      </c>
      <c r="AD271" s="15">
        <v>1</v>
      </c>
      <c r="AE271" s="21">
        <v>0</v>
      </c>
      <c r="AF271" s="21">
        <v>0</v>
      </c>
      <c r="AG271" s="21">
        <v>0</v>
      </c>
      <c r="AH271" s="21">
        <v>0</v>
      </c>
      <c r="AI271" s="21">
        <f t="shared" si="170"/>
        <v>0</v>
      </c>
      <c r="AK271" s="128">
        <v>0</v>
      </c>
      <c r="AL271">
        <v>0</v>
      </c>
      <c r="AM271">
        <v>1</v>
      </c>
      <c r="AN271">
        <v>0</v>
      </c>
      <c r="AO271" s="21">
        <f t="shared" si="171"/>
        <v>1</v>
      </c>
      <c r="AQ271">
        <v>0</v>
      </c>
      <c r="AR271">
        <v>0</v>
      </c>
      <c r="AS271">
        <v>1</v>
      </c>
      <c r="AT271">
        <v>0</v>
      </c>
      <c r="AU271" s="21">
        <f t="shared" si="166"/>
        <v>1</v>
      </c>
    </row>
    <row r="272" spans="1:48" ht="15" customHeight="1" x14ac:dyDescent="0.2">
      <c r="A272" s="12">
        <v>7</v>
      </c>
      <c r="B272" s="12" t="s">
        <v>299</v>
      </c>
      <c r="C272" s="12" t="s">
        <v>26</v>
      </c>
      <c r="D272" s="12">
        <v>41.08</v>
      </c>
      <c r="E272" s="12">
        <v>1998</v>
      </c>
      <c r="F272" s="15"/>
      <c r="G272" s="15"/>
      <c r="H272" s="15"/>
      <c r="I272" s="15"/>
      <c r="J272" s="15"/>
      <c r="K272" s="15"/>
      <c r="L272" s="15">
        <v>1</v>
      </c>
      <c r="M272" s="21">
        <v>0</v>
      </c>
      <c r="N272" s="21">
        <v>0</v>
      </c>
      <c r="O272" s="21">
        <v>0</v>
      </c>
      <c r="P272" s="21">
        <v>0</v>
      </c>
      <c r="Q272" s="21">
        <f t="shared" si="167"/>
        <v>0</v>
      </c>
      <c r="R272" s="15"/>
      <c r="S272" s="21">
        <v>0</v>
      </c>
      <c r="T272" s="21">
        <v>0</v>
      </c>
      <c r="U272" s="21">
        <v>0</v>
      </c>
      <c r="V272" s="21">
        <v>1</v>
      </c>
      <c r="W272" s="21">
        <f t="shared" si="168"/>
        <v>1</v>
      </c>
      <c r="X272" s="15">
        <v>1</v>
      </c>
      <c r="Y272" s="21">
        <v>0</v>
      </c>
      <c r="Z272" s="21">
        <v>0</v>
      </c>
      <c r="AA272" s="21">
        <v>0</v>
      </c>
      <c r="AB272" s="21">
        <v>0</v>
      </c>
      <c r="AC272" s="21">
        <f t="shared" si="169"/>
        <v>0</v>
      </c>
      <c r="AD272" s="15">
        <v>1</v>
      </c>
      <c r="AE272" s="21">
        <v>0</v>
      </c>
      <c r="AF272" s="21">
        <v>0</v>
      </c>
      <c r="AG272" s="21">
        <v>0</v>
      </c>
      <c r="AH272" s="21">
        <v>0</v>
      </c>
      <c r="AI272" s="21">
        <f t="shared" si="170"/>
        <v>0</v>
      </c>
      <c r="AJ272">
        <v>1</v>
      </c>
      <c r="AK272" s="128">
        <v>0</v>
      </c>
      <c r="AL272">
        <v>0</v>
      </c>
      <c r="AM272">
        <v>0</v>
      </c>
      <c r="AN272">
        <v>0</v>
      </c>
      <c r="AO272" s="21">
        <f t="shared" si="171"/>
        <v>0</v>
      </c>
      <c r="AQ272">
        <v>0</v>
      </c>
      <c r="AR272">
        <v>0</v>
      </c>
      <c r="AS272">
        <v>0</v>
      </c>
      <c r="AT272">
        <v>1</v>
      </c>
      <c r="AU272" s="21">
        <f t="shared" si="166"/>
        <v>1</v>
      </c>
    </row>
    <row r="273" spans="1:47" ht="15" customHeight="1" x14ac:dyDescent="0.2">
      <c r="A273" s="12">
        <v>7</v>
      </c>
      <c r="B273" s="12" t="s">
        <v>300</v>
      </c>
      <c r="C273" s="12" t="s">
        <v>26</v>
      </c>
      <c r="D273" s="12">
        <v>26.81</v>
      </c>
      <c r="E273" s="12">
        <v>1998</v>
      </c>
      <c r="F273" s="15"/>
      <c r="G273" s="15"/>
      <c r="H273" s="15"/>
      <c r="I273" s="15"/>
      <c r="J273" s="15"/>
      <c r="K273" s="15"/>
      <c r="L273" s="15">
        <v>1</v>
      </c>
      <c r="M273" s="21">
        <v>0</v>
      </c>
      <c r="N273" s="21">
        <v>0</v>
      </c>
      <c r="O273" s="21">
        <v>0</v>
      </c>
      <c r="P273" s="21">
        <v>0</v>
      </c>
      <c r="Q273" s="21">
        <f t="shared" si="167"/>
        <v>0</v>
      </c>
      <c r="R273" s="15">
        <v>1</v>
      </c>
      <c r="S273" s="21">
        <v>0</v>
      </c>
      <c r="T273" s="21">
        <v>0</v>
      </c>
      <c r="U273" s="21">
        <v>0</v>
      </c>
      <c r="V273" s="21">
        <v>0</v>
      </c>
      <c r="W273" s="21">
        <f t="shared" si="168"/>
        <v>0</v>
      </c>
      <c r="X273" s="15">
        <v>1</v>
      </c>
      <c r="Y273" s="21">
        <v>0</v>
      </c>
      <c r="Z273" s="21">
        <v>0</v>
      </c>
      <c r="AA273" s="21">
        <v>0</v>
      </c>
      <c r="AB273" s="21">
        <v>0</v>
      </c>
      <c r="AC273" s="21">
        <f t="shared" si="169"/>
        <v>0</v>
      </c>
      <c r="AD273" s="15">
        <v>0</v>
      </c>
      <c r="AE273" s="21">
        <v>0</v>
      </c>
      <c r="AF273" s="21">
        <v>0</v>
      </c>
      <c r="AG273" s="21">
        <v>0</v>
      </c>
      <c r="AH273" s="21">
        <v>0</v>
      </c>
      <c r="AI273" s="21">
        <f t="shared" si="170"/>
        <v>0</v>
      </c>
      <c r="AJ273">
        <v>0</v>
      </c>
      <c r="AK273" s="128">
        <v>0</v>
      </c>
      <c r="AL273">
        <v>0</v>
      </c>
      <c r="AM273">
        <v>0</v>
      </c>
      <c r="AN273">
        <v>0</v>
      </c>
      <c r="AO273" s="21">
        <f t="shared" si="171"/>
        <v>0</v>
      </c>
      <c r="AQ273">
        <v>0</v>
      </c>
      <c r="AR273">
        <v>0</v>
      </c>
      <c r="AS273">
        <v>0</v>
      </c>
      <c r="AT273">
        <v>0</v>
      </c>
      <c r="AU273" s="21">
        <f t="shared" si="166"/>
        <v>0</v>
      </c>
    </row>
    <row r="274" spans="1:47" ht="15" customHeight="1" x14ac:dyDescent="0.2">
      <c r="A274" s="12">
        <v>7</v>
      </c>
      <c r="B274" s="12" t="s">
        <v>301</v>
      </c>
      <c r="C274" s="12" t="s">
        <v>26</v>
      </c>
      <c r="D274" s="12">
        <v>24.96</v>
      </c>
      <c r="E274" s="12">
        <v>1998</v>
      </c>
      <c r="F274" s="15"/>
      <c r="G274" s="15"/>
      <c r="H274" s="15"/>
      <c r="I274" s="15"/>
      <c r="J274" s="15"/>
      <c r="K274" s="15"/>
      <c r="L274" s="15">
        <v>1</v>
      </c>
      <c r="M274" s="21">
        <v>0</v>
      </c>
      <c r="N274" s="21">
        <v>0</v>
      </c>
      <c r="O274" s="21">
        <v>0</v>
      </c>
      <c r="P274" s="21">
        <v>0</v>
      </c>
      <c r="Q274" s="21">
        <f t="shared" si="167"/>
        <v>0</v>
      </c>
      <c r="R274" s="15"/>
      <c r="S274" s="21">
        <v>0</v>
      </c>
      <c r="T274" s="21">
        <v>0</v>
      </c>
      <c r="U274" s="21">
        <v>0</v>
      </c>
      <c r="V274" s="21">
        <v>1</v>
      </c>
      <c r="W274" s="21">
        <f t="shared" si="168"/>
        <v>1</v>
      </c>
      <c r="X274" s="15"/>
      <c r="Y274" s="21">
        <v>0</v>
      </c>
      <c r="Z274" s="21">
        <v>0</v>
      </c>
      <c r="AA274" s="21">
        <v>0</v>
      </c>
      <c r="AB274" s="21">
        <v>1</v>
      </c>
      <c r="AC274" s="21">
        <f t="shared" si="169"/>
        <v>1</v>
      </c>
      <c r="AD274" s="15"/>
      <c r="AE274" s="21">
        <v>0</v>
      </c>
      <c r="AF274" s="21">
        <v>0</v>
      </c>
      <c r="AG274" s="21">
        <v>0</v>
      </c>
      <c r="AH274" s="21">
        <v>1</v>
      </c>
      <c r="AI274" s="21">
        <f t="shared" si="170"/>
        <v>1</v>
      </c>
      <c r="AK274" s="128">
        <v>0</v>
      </c>
      <c r="AL274">
        <v>0</v>
      </c>
      <c r="AM274">
        <v>0</v>
      </c>
      <c r="AN274">
        <v>1</v>
      </c>
      <c r="AO274" s="21">
        <f t="shared" si="171"/>
        <v>1</v>
      </c>
      <c r="AQ274">
        <v>0</v>
      </c>
      <c r="AR274">
        <v>0</v>
      </c>
      <c r="AS274">
        <v>0</v>
      </c>
      <c r="AT274">
        <v>1</v>
      </c>
      <c r="AU274" s="21">
        <f t="shared" si="166"/>
        <v>1</v>
      </c>
    </row>
    <row r="275" spans="1:47" x14ac:dyDescent="0.2">
      <c r="A275" s="12">
        <v>7</v>
      </c>
      <c r="B275" s="12" t="s">
        <v>302</v>
      </c>
      <c r="C275" s="12" t="s">
        <v>26</v>
      </c>
      <c r="D275" s="12">
        <v>35.520000000000003</v>
      </c>
      <c r="E275" s="12">
        <v>1998</v>
      </c>
      <c r="F275" s="15"/>
      <c r="G275" s="15"/>
      <c r="H275" s="15"/>
      <c r="I275" s="15"/>
      <c r="J275" s="15"/>
      <c r="K275" s="15"/>
      <c r="L275" s="15"/>
      <c r="M275" s="21">
        <v>0</v>
      </c>
      <c r="N275" s="21">
        <v>0</v>
      </c>
      <c r="O275" s="21">
        <v>5</v>
      </c>
      <c r="P275" s="21">
        <v>1</v>
      </c>
      <c r="Q275" s="21">
        <f t="shared" si="167"/>
        <v>6</v>
      </c>
      <c r="R275" s="15"/>
      <c r="S275" s="21">
        <v>0</v>
      </c>
      <c r="T275" s="21">
        <v>0</v>
      </c>
      <c r="U275" s="21">
        <v>8</v>
      </c>
      <c r="V275" s="21">
        <v>1</v>
      </c>
      <c r="W275" s="21">
        <f t="shared" si="168"/>
        <v>9</v>
      </c>
      <c r="X275" s="15"/>
      <c r="Y275" s="21">
        <v>0</v>
      </c>
      <c r="Z275" s="21">
        <v>0</v>
      </c>
      <c r="AA275" s="21">
        <v>8</v>
      </c>
      <c r="AB275" s="21">
        <v>1</v>
      </c>
      <c r="AC275" s="21">
        <f t="shared" si="169"/>
        <v>9</v>
      </c>
      <c r="AD275" s="15"/>
      <c r="AE275" s="21">
        <v>0</v>
      </c>
      <c r="AF275" s="21">
        <v>0</v>
      </c>
      <c r="AG275" s="21">
        <v>5</v>
      </c>
      <c r="AH275" s="21">
        <v>0</v>
      </c>
      <c r="AI275" s="21">
        <f t="shared" si="170"/>
        <v>5</v>
      </c>
      <c r="AK275" s="128">
        <v>0</v>
      </c>
      <c r="AL275">
        <v>0</v>
      </c>
      <c r="AM275">
        <v>0</v>
      </c>
      <c r="AN275">
        <v>0</v>
      </c>
      <c r="AO275" s="21">
        <f t="shared" si="171"/>
        <v>0</v>
      </c>
      <c r="AQ275">
        <v>1</v>
      </c>
      <c r="AR275">
        <v>0</v>
      </c>
      <c r="AT275">
        <v>0</v>
      </c>
      <c r="AU275" s="21">
        <f t="shared" si="166"/>
        <v>1</v>
      </c>
    </row>
    <row r="276" spans="1:47" ht="15" customHeight="1" x14ac:dyDescent="0.2">
      <c r="A276" s="12">
        <v>7</v>
      </c>
      <c r="B276" s="12" t="s">
        <v>304</v>
      </c>
      <c r="C276" s="12" t="s">
        <v>26</v>
      </c>
      <c r="D276" s="12">
        <v>35.06</v>
      </c>
      <c r="E276" s="12">
        <v>1998</v>
      </c>
      <c r="F276" s="15"/>
      <c r="G276" s="15"/>
      <c r="H276" s="15"/>
      <c r="I276" s="15"/>
      <c r="J276" s="15"/>
      <c r="K276" s="15"/>
      <c r="L276" s="15">
        <v>1</v>
      </c>
      <c r="M276" s="21">
        <v>0</v>
      </c>
      <c r="N276" s="21">
        <v>0</v>
      </c>
      <c r="O276" s="21">
        <v>0</v>
      </c>
      <c r="P276" s="21">
        <v>0</v>
      </c>
      <c r="Q276" s="21">
        <f t="shared" si="167"/>
        <v>0</v>
      </c>
      <c r="R276" s="15"/>
      <c r="S276" s="21">
        <v>0</v>
      </c>
      <c r="T276" s="21">
        <v>0</v>
      </c>
      <c r="U276" s="21">
        <v>0</v>
      </c>
      <c r="V276" s="21">
        <v>1</v>
      </c>
      <c r="W276" s="21">
        <f t="shared" si="168"/>
        <v>1</v>
      </c>
      <c r="X276" s="15">
        <v>1</v>
      </c>
      <c r="Y276" s="21">
        <v>0</v>
      </c>
      <c r="Z276" s="21">
        <v>0</v>
      </c>
      <c r="AA276" s="21">
        <v>0</v>
      </c>
      <c r="AB276" s="21">
        <v>0</v>
      </c>
      <c r="AC276" s="21">
        <f t="shared" si="169"/>
        <v>0</v>
      </c>
      <c r="AD276" s="15">
        <v>1</v>
      </c>
      <c r="AE276" s="21">
        <v>0</v>
      </c>
      <c r="AF276" s="21">
        <v>0</v>
      </c>
      <c r="AG276" s="21">
        <v>0</v>
      </c>
      <c r="AH276" s="21">
        <v>0</v>
      </c>
      <c r="AI276" s="21">
        <f t="shared" si="170"/>
        <v>0</v>
      </c>
      <c r="AJ276">
        <v>1</v>
      </c>
      <c r="AK276" s="128">
        <v>0</v>
      </c>
      <c r="AL276">
        <v>0</v>
      </c>
      <c r="AM276">
        <v>0</v>
      </c>
      <c r="AN276">
        <v>0</v>
      </c>
      <c r="AO276" s="21">
        <f t="shared" si="171"/>
        <v>0</v>
      </c>
      <c r="AQ276">
        <v>0</v>
      </c>
      <c r="AR276">
        <v>0</v>
      </c>
      <c r="AS276">
        <v>0</v>
      </c>
      <c r="AT276">
        <v>1</v>
      </c>
      <c r="AU276" s="21">
        <f t="shared" si="166"/>
        <v>1</v>
      </c>
    </row>
    <row r="277" spans="1:47" x14ac:dyDescent="0.2">
      <c r="A277" s="12">
        <v>7</v>
      </c>
      <c r="B277" s="12" t="s">
        <v>307</v>
      </c>
      <c r="C277" s="12" t="s">
        <v>26</v>
      </c>
      <c r="D277" s="12">
        <v>35.04</v>
      </c>
      <c r="E277" s="12">
        <v>1998</v>
      </c>
      <c r="F277" s="15"/>
      <c r="G277" s="15"/>
      <c r="H277" s="15"/>
      <c r="I277" s="15"/>
      <c r="J277" s="15"/>
      <c r="K277" s="15"/>
      <c r="L277" s="15"/>
      <c r="M277" s="21">
        <v>0</v>
      </c>
      <c r="N277" s="21">
        <v>0</v>
      </c>
      <c r="O277" s="21">
        <v>4</v>
      </c>
      <c r="P277" s="21">
        <v>1</v>
      </c>
      <c r="Q277" s="21">
        <f t="shared" si="167"/>
        <v>5</v>
      </c>
      <c r="R277" s="15"/>
      <c r="S277" s="21">
        <v>0</v>
      </c>
      <c r="T277" s="21">
        <v>0</v>
      </c>
      <c r="U277" s="21">
        <v>3</v>
      </c>
      <c r="V277" s="21">
        <v>1</v>
      </c>
      <c r="W277" s="21">
        <f t="shared" si="168"/>
        <v>4</v>
      </c>
      <c r="X277" s="15"/>
      <c r="Y277" s="21">
        <v>0</v>
      </c>
      <c r="Z277" s="21">
        <v>0</v>
      </c>
      <c r="AA277" s="21">
        <v>4</v>
      </c>
      <c r="AB277" s="21">
        <v>1</v>
      </c>
      <c r="AC277" s="21">
        <f t="shared" si="169"/>
        <v>5</v>
      </c>
      <c r="AD277" s="15"/>
      <c r="AE277" s="21">
        <v>0</v>
      </c>
      <c r="AF277" s="21">
        <v>0</v>
      </c>
      <c r="AG277" s="21">
        <v>4</v>
      </c>
      <c r="AH277" s="21">
        <v>0</v>
      </c>
      <c r="AI277" s="21">
        <f t="shared" si="170"/>
        <v>4</v>
      </c>
      <c r="AK277" s="128">
        <v>0</v>
      </c>
      <c r="AL277">
        <v>0</v>
      </c>
      <c r="AM277">
        <v>1</v>
      </c>
      <c r="AN277">
        <v>0</v>
      </c>
      <c r="AO277" s="21">
        <f t="shared" si="171"/>
        <v>1</v>
      </c>
      <c r="AQ277">
        <v>0</v>
      </c>
      <c r="AR277">
        <v>0</v>
      </c>
      <c r="AS277">
        <v>1</v>
      </c>
      <c r="AT277">
        <v>0</v>
      </c>
      <c r="AU277" s="21">
        <f t="shared" si="166"/>
        <v>1</v>
      </c>
    </row>
    <row r="278" spans="1:47" x14ac:dyDescent="0.2">
      <c r="A278" s="12">
        <v>7</v>
      </c>
      <c r="B278" s="12" t="s">
        <v>308</v>
      </c>
      <c r="C278" s="12" t="s">
        <v>26</v>
      </c>
      <c r="D278" s="12">
        <v>24.05</v>
      </c>
      <c r="E278" s="12">
        <v>1998</v>
      </c>
      <c r="F278" s="15"/>
      <c r="G278" s="15"/>
      <c r="H278" s="15"/>
      <c r="I278" s="15"/>
      <c r="J278" s="15"/>
      <c r="K278" s="15"/>
      <c r="L278" s="15"/>
      <c r="M278" s="21">
        <v>0</v>
      </c>
      <c r="N278" s="21">
        <v>0</v>
      </c>
      <c r="O278" s="21">
        <v>0</v>
      </c>
      <c r="P278" s="21">
        <v>1</v>
      </c>
      <c r="Q278" s="21">
        <f t="shared" si="167"/>
        <v>1</v>
      </c>
      <c r="R278" s="15"/>
      <c r="S278" s="21">
        <v>0</v>
      </c>
      <c r="T278" s="21">
        <v>0</v>
      </c>
      <c r="U278" s="21">
        <v>0</v>
      </c>
      <c r="V278" s="21">
        <v>1</v>
      </c>
      <c r="W278" s="21">
        <f t="shared" si="168"/>
        <v>1</v>
      </c>
      <c r="X278" s="15"/>
      <c r="Y278" s="21">
        <v>0</v>
      </c>
      <c r="Z278" s="21">
        <v>0</v>
      </c>
      <c r="AA278" s="21">
        <v>0</v>
      </c>
      <c r="AB278" s="21">
        <v>1</v>
      </c>
      <c r="AC278" s="21">
        <f t="shared" si="169"/>
        <v>1</v>
      </c>
      <c r="AD278" s="15"/>
      <c r="AE278" s="21">
        <v>0</v>
      </c>
      <c r="AF278" s="21">
        <v>0</v>
      </c>
      <c r="AG278" s="21">
        <v>0</v>
      </c>
      <c r="AH278" s="21">
        <v>1</v>
      </c>
      <c r="AI278" s="21">
        <f t="shared" si="170"/>
        <v>1</v>
      </c>
      <c r="AK278" s="128">
        <v>0</v>
      </c>
      <c r="AL278">
        <v>0</v>
      </c>
      <c r="AM278">
        <v>5</v>
      </c>
      <c r="AN278">
        <v>0</v>
      </c>
      <c r="AO278" s="21">
        <f t="shared" si="171"/>
        <v>5</v>
      </c>
      <c r="AQ278">
        <v>0</v>
      </c>
      <c r="AR278">
        <v>0</v>
      </c>
      <c r="AS278">
        <v>5</v>
      </c>
      <c r="AT278">
        <v>0</v>
      </c>
      <c r="AU278" s="21">
        <f t="shared" si="166"/>
        <v>5</v>
      </c>
    </row>
    <row r="279" spans="1:47" x14ac:dyDescent="0.2">
      <c r="A279" s="12">
        <v>7</v>
      </c>
      <c r="B279" s="12" t="s">
        <v>309</v>
      </c>
      <c r="C279" s="12" t="s">
        <v>26</v>
      </c>
      <c r="D279" s="12">
        <v>11.35</v>
      </c>
      <c r="E279" s="12">
        <v>1998</v>
      </c>
      <c r="F279" s="15"/>
      <c r="G279" s="15"/>
      <c r="H279" s="15"/>
      <c r="I279" s="15"/>
      <c r="J279" s="15"/>
      <c r="K279" s="15"/>
      <c r="L279" s="15"/>
      <c r="M279" s="21">
        <v>0</v>
      </c>
      <c r="N279" s="21">
        <v>0</v>
      </c>
      <c r="O279" s="21">
        <v>0</v>
      </c>
      <c r="P279" s="21">
        <v>1</v>
      </c>
      <c r="Q279" s="21">
        <f t="shared" si="167"/>
        <v>1</v>
      </c>
      <c r="R279" s="15"/>
      <c r="S279" s="21">
        <v>0</v>
      </c>
      <c r="T279" s="21">
        <v>0</v>
      </c>
      <c r="U279" s="21">
        <v>0</v>
      </c>
      <c r="V279" s="21">
        <v>1</v>
      </c>
      <c r="W279" s="21">
        <f t="shared" si="168"/>
        <v>1</v>
      </c>
      <c r="X279" s="15"/>
      <c r="Y279" s="21">
        <v>0</v>
      </c>
      <c r="Z279" s="21">
        <v>0</v>
      </c>
      <c r="AA279" s="21">
        <v>0</v>
      </c>
      <c r="AB279" s="21">
        <v>1</v>
      </c>
      <c r="AC279" s="21">
        <f t="shared" si="169"/>
        <v>1</v>
      </c>
      <c r="AD279" s="15"/>
      <c r="AE279" s="21">
        <v>0</v>
      </c>
      <c r="AF279" s="21">
        <v>0</v>
      </c>
      <c r="AG279" s="21">
        <v>0</v>
      </c>
      <c r="AH279" s="21">
        <v>1</v>
      </c>
      <c r="AI279" s="21">
        <f t="shared" si="170"/>
        <v>1</v>
      </c>
      <c r="AK279" s="128">
        <v>0</v>
      </c>
      <c r="AL279">
        <v>0</v>
      </c>
      <c r="AM279">
        <v>0</v>
      </c>
      <c r="AN279">
        <v>1</v>
      </c>
      <c r="AO279" s="21">
        <f t="shared" si="171"/>
        <v>1</v>
      </c>
      <c r="AQ279">
        <v>0</v>
      </c>
      <c r="AR279">
        <v>0</v>
      </c>
      <c r="AS279">
        <v>0</v>
      </c>
      <c r="AT279">
        <v>1</v>
      </c>
      <c r="AU279" s="21">
        <f t="shared" si="166"/>
        <v>1</v>
      </c>
    </row>
    <row r="280" spans="1:47" ht="15" customHeight="1" x14ac:dyDescent="0.2">
      <c r="A280" s="12">
        <v>7</v>
      </c>
      <c r="B280" s="12" t="s">
        <v>279</v>
      </c>
      <c r="C280" s="12" t="s">
        <v>26</v>
      </c>
      <c r="D280" s="12">
        <v>29.43</v>
      </c>
      <c r="E280" s="12">
        <v>1999</v>
      </c>
      <c r="F280" s="15"/>
      <c r="G280" s="15"/>
      <c r="H280" s="15"/>
      <c r="I280" s="15"/>
      <c r="J280" s="15"/>
      <c r="K280" s="15"/>
      <c r="L280" s="15">
        <v>1</v>
      </c>
      <c r="M280" s="21">
        <v>0</v>
      </c>
      <c r="N280" s="21">
        <v>0</v>
      </c>
      <c r="O280" s="21">
        <v>0</v>
      </c>
      <c r="P280" s="21">
        <v>0</v>
      </c>
      <c r="Q280" s="21">
        <f t="shared" si="167"/>
        <v>0</v>
      </c>
      <c r="R280" s="15"/>
      <c r="S280" s="21">
        <v>0</v>
      </c>
      <c r="T280" s="21">
        <v>0</v>
      </c>
      <c r="U280" s="21">
        <v>0</v>
      </c>
      <c r="V280" s="21">
        <v>1</v>
      </c>
      <c r="W280" s="21">
        <f t="shared" si="168"/>
        <v>1</v>
      </c>
      <c r="X280" s="15"/>
      <c r="Y280" s="21">
        <v>0</v>
      </c>
      <c r="Z280" s="21">
        <v>0</v>
      </c>
      <c r="AA280" s="21">
        <v>0</v>
      </c>
      <c r="AB280" s="21">
        <v>1</v>
      </c>
      <c r="AC280" s="21">
        <f t="shared" si="169"/>
        <v>1</v>
      </c>
      <c r="AD280" s="15"/>
      <c r="AE280" s="21">
        <v>0</v>
      </c>
      <c r="AF280" s="21">
        <v>0</v>
      </c>
      <c r="AG280" s="21">
        <v>0</v>
      </c>
      <c r="AH280" s="21">
        <v>1</v>
      </c>
      <c r="AI280" s="21">
        <f t="shared" si="170"/>
        <v>1</v>
      </c>
      <c r="AK280" s="128">
        <v>0</v>
      </c>
      <c r="AL280">
        <v>0</v>
      </c>
      <c r="AM280">
        <v>0</v>
      </c>
      <c r="AN280">
        <v>1</v>
      </c>
      <c r="AO280" s="21">
        <f t="shared" si="171"/>
        <v>1</v>
      </c>
      <c r="AQ280">
        <v>0</v>
      </c>
      <c r="AR280">
        <v>0</v>
      </c>
      <c r="AS280">
        <v>0</v>
      </c>
      <c r="AT280">
        <v>1</v>
      </c>
      <c r="AU280" s="21">
        <f t="shared" si="166"/>
        <v>1</v>
      </c>
    </row>
    <row r="281" spans="1:47" x14ac:dyDescent="0.2">
      <c r="A281" s="12">
        <v>7</v>
      </c>
      <c r="B281" s="12" t="s">
        <v>269</v>
      </c>
      <c r="C281" s="12" t="s">
        <v>26</v>
      </c>
      <c r="D281" s="12">
        <v>27.69</v>
      </c>
      <c r="E281" s="12">
        <v>2002</v>
      </c>
      <c r="F281" s="15"/>
      <c r="G281" s="15"/>
      <c r="H281" s="15"/>
      <c r="I281" s="15"/>
      <c r="J281" s="15"/>
      <c r="K281" s="15"/>
      <c r="L281" s="15"/>
      <c r="M281" s="21">
        <v>0</v>
      </c>
      <c r="N281" s="21">
        <v>0</v>
      </c>
      <c r="O281" s="21">
        <v>0</v>
      </c>
      <c r="P281" s="21">
        <v>1</v>
      </c>
      <c r="Q281" s="21">
        <f t="shared" si="167"/>
        <v>1</v>
      </c>
      <c r="R281" s="15"/>
      <c r="S281" s="21">
        <v>0</v>
      </c>
      <c r="T281" s="21">
        <v>0</v>
      </c>
      <c r="U281" s="21">
        <v>0</v>
      </c>
      <c r="V281" s="21">
        <v>1</v>
      </c>
      <c r="W281" s="21">
        <f t="shared" si="168"/>
        <v>1</v>
      </c>
      <c r="X281" s="15"/>
      <c r="Y281" s="21">
        <v>0</v>
      </c>
      <c r="Z281" s="21">
        <v>0</v>
      </c>
      <c r="AA281" s="21">
        <v>0</v>
      </c>
      <c r="AB281" s="21">
        <v>1</v>
      </c>
      <c r="AC281" s="21">
        <f t="shared" si="169"/>
        <v>1</v>
      </c>
      <c r="AD281" s="15"/>
      <c r="AE281" s="21">
        <v>0</v>
      </c>
      <c r="AF281" s="21">
        <v>0</v>
      </c>
      <c r="AG281" s="21">
        <v>0</v>
      </c>
      <c r="AH281" s="21">
        <v>1</v>
      </c>
      <c r="AI281" s="21">
        <f t="shared" si="170"/>
        <v>1</v>
      </c>
      <c r="AK281" s="128">
        <v>0</v>
      </c>
      <c r="AL281">
        <v>0</v>
      </c>
      <c r="AM281">
        <v>0</v>
      </c>
      <c r="AN281">
        <v>1</v>
      </c>
      <c r="AO281" s="21">
        <f t="shared" si="171"/>
        <v>1</v>
      </c>
      <c r="AQ281">
        <v>0</v>
      </c>
      <c r="AR281">
        <v>0</v>
      </c>
      <c r="AS281">
        <v>0</v>
      </c>
      <c r="AT281">
        <v>1</v>
      </c>
      <c r="AU281" s="21">
        <f t="shared" si="166"/>
        <v>1</v>
      </c>
    </row>
    <row r="282" spans="1:47" ht="15" customHeight="1" x14ac:dyDescent="0.2">
      <c r="A282" s="12">
        <v>7</v>
      </c>
      <c r="B282" s="12" t="s">
        <v>270</v>
      </c>
      <c r="C282" s="12" t="s">
        <v>26</v>
      </c>
      <c r="D282" s="12">
        <v>28.29</v>
      </c>
      <c r="E282" s="12">
        <v>2002</v>
      </c>
      <c r="F282" s="15"/>
      <c r="G282" s="15"/>
      <c r="H282" s="15"/>
      <c r="I282" s="15"/>
      <c r="J282" s="15"/>
      <c r="K282" s="15"/>
      <c r="L282" s="15">
        <v>1</v>
      </c>
      <c r="M282" s="21">
        <v>0</v>
      </c>
      <c r="N282" s="21">
        <v>0</v>
      </c>
      <c r="O282" s="21">
        <v>0</v>
      </c>
      <c r="P282" s="21">
        <v>0</v>
      </c>
      <c r="Q282" s="21">
        <f t="shared" si="167"/>
        <v>0</v>
      </c>
      <c r="R282" s="15"/>
      <c r="S282" s="21">
        <v>0</v>
      </c>
      <c r="T282" s="21">
        <v>0</v>
      </c>
      <c r="U282" s="21">
        <v>0</v>
      </c>
      <c r="V282" s="21">
        <v>1</v>
      </c>
      <c r="W282" s="21">
        <f t="shared" si="168"/>
        <v>1</v>
      </c>
      <c r="X282" s="15"/>
      <c r="Y282" s="21">
        <v>0</v>
      </c>
      <c r="Z282" s="21">
        <v>0</v>
      </c>
      <c r="AA282" s="21">
        <v>0</v>
      </c>
      <c r="AB282" s="21">
        <v>1</v>
      </c>
      <c r="AC282" s="21">
        <f t="shared" si="169"/>
        <v>1</v>
      </c>
      <c r="AD282" s="15"/>
      <c r="AE282" s="21">
        <v>0</v>
      </c>
      <c r="AF282" s="21">
        <v>0</v>
      </c>
      <c r="AG282" s="21">
        <v>0</v>
      </c>
      <c r="AH282" s="21">
        <v>1</v>
      </c>
      <c r="AI282" s="21">
        <f t="shared" si="170"/>
        <v>1</v>
      </c>
      <c r="AK282" s="128">
        <v>0</v>
      </c>
      <c r="AL282">
        <v>0</v>
      </c>
      <c r="AM282">
        <v>0</v>
      </c>
      <c r="AN282">
        <v>1</v>
      </c>
      <c r="AO282" s="21">
        <f t="shared" si="171"/>
        <v>1</v>
      </c>
      <c r="AQ282">
        <v>0</v>
      </c>
      <c r="AR282">
        <v>0</v>
      </c>
      <c r="AS282">
        <v>0</v>
      </c>
      <c r="AT282">
        <v>1</v>
      </c>
      <c r="AU282" s="21">
        <f t="shared" si="166"/>
        <v>1</v>
      </c>
    </row>
    <row r="283" spans="1:47" ht="15" customHeight="1" x14ac:dyDescent="0.2">
      <c r="A283" s="12">
        <v>7</v>
      </c>
      <c r="B283" s="12" t="s">
        <v>271</v>
      </c>
      <c r="C283" s="12" t="s">
        <v>26</v>
      </c>
      <c r="D283" s="12">
        <v>37.1</v>
      </c>
      <c r="E283" s="12">
        <v>2002</v>
      </c>
      <c r="F283" s="15"/>
      <c r="G283" s="15"/>
      <c r="H283" s="15"/>
      <c r="I283" s="15"/>
      <c r="J283" s="15"/>
      <c r="K283" s="15"/>
      <c r="L283" s="15">
        <v>1</v>
      </c>
      <c r="M283" s="21">
        <v>0</v>
      </c>
      <c r="N283" s="21">
        <v>0</v>
      </c>
      <c r="O283" s="21">
        <v>0</v>
      </c>
      <c r="P283" s="21">
        <v>0</v>
      </c>
      <c r="Q283" s="21">
        <f t="shared" si="167"/>
        <v>0</v>
      </c>
      <c r="R283" s="15"/>
      <c r="S283" s="21">
        <v>0</v>
      </c>
      <c r="T283" s="21">
        <v>0</v>
      </c>
      <c r="U283" s="21">
        <v>0</v>
      </c>
      <c r="V283" s="21">
        <v>1</v>
      </c>
      <c r="W283" s="21">
        <f t="shared" si="168"/>
        <v>1</v>
      </c>
      <c r="X283" s="15"/>
      <c r="Y283" s="21">
        <v>0</v>
      </c>
      <c r="Z283" s="21">
        <v>0</v>
      </c>
      <c r="AA283" s="21">
        <v>0</v>
      </c>
      <c r="AB283" s="21">
        <v>1</v>
      </c>
      <c r="AC283" s="21">
        <f t="shared" si="169"/>
        <v>1</v>
      </c>
      <c r="AD283" s="15"/>
      <c r="AE283" s="21">
        <v>0</v>
      </c>
      <c r="AF283" s="21">
        <v>0</v>
      </c>
      <c r="AG283" s="21">
        <v>0</v>
      </c>
      <c r="AH283" s="21">
        <v>1</v>
      </c>
      <c r="AI283" s="21">
        <f t="shared" si="170"/>
        <v>1</v>
      </c>
      <c r="AK283" s="128">
        <v>0</v>
      </c>
      <c r="AL283">
        <v>0</v>
      </c>
      <c r="AM283">
        <v>0</v>
      </c>
      <c r="AN283">
        <v>1</v>
      </c>
      <c r="AO283" s="21">
        <f t="shared" si="171"/>
        <v>1</v>
      </c>
      <c r="AQ283">
        <v>0</v>
      </c>
      <c r="AR283">
        <v>0</v>
      </c>
      <c r="AS283">
        <v>0</v>
      </c>
      <c r="AT283">
        <v>1</v>
      </c>
      <c r="AU283" s="21">
        <f t="shared" si="166"/>
        <v>1</v>
      </c>
    </row>
    <row r="284" spans="1:47" x14ac:dyDescent="0.2">
      <c r="A284" s="12">
        <v>7</v>
      </c>
      <c r="B284" s="12" t="s">
        <v>312</v>
      </c>
      <c r="C284" s="12" t="s">
        <v>26</v>
      </c>
      <c r="D284" s="12">
        <v>25.41</v>
      </c>
      <c r="E284" s="12">
        <v>2002</v>
      </c>
      <c r="F284" s="15"/>
      <c r="G284" s="15"/>
      <c r="H284" s="15"/>
      <c r="I284" s="15"/>
      <c r="J284" s="15"/>
      <c r="K284" s="15"/>
      <c r="L284" s="15"/>
      <c r="M284" s="21">
        <v>0</v>
      </c>
      <c r="N284" s="21">
        <v>0</v>
      </c>
      <c r="O284" s="21">
        <v>0</v>
      </c>
      <c r="P284" s="21">
        <v>1</v>
      </c>
      <c r="Q284" s="21">
        <f t="shared" si="167"/>
        <v>1</v>
      </c>
      <c r="R284" s="15"/>
      <c r="S284" s="21">
        <v>0</v>
      </c>
      <c r="T284" s="21">
        <v>0</v>
      </c>
      <c r="U284" s="21">
        <v>0</v>
      </c>
      <c r="V284" s="21">
        <v>1</v>
      </c>
      <c r="W284" s="21">
        <f t="shared" si="168"/>
        <v>1</v>
      </c>
      <c r="X284" s="15"/>
      <c r="Y284" s="21">
        <v>0</v>
      </c>
      <c r="Z284" s="21">
        <v>0</v>
      </c>
      <c r="AA284" s="21">
        <v>0</v>
      </c>
      <c r="AB284" s="21">
        <v>1</v>
      </c>
      <c r="AC284" s="21">
        <f t="shared" si="169"/>
        <v>1</v>
      </c>
      <c r="AD284" s="15"/>
      <c r="AE284" s="21">
        <v>0</v>
      </c>
      <c r="AF284" s="21">
        <v>0</v>
      </c>
      <c r="AG284" s="21">
        <v>0</v>
      </c>
      <c r="AH284" s="21">
        <v>1</v>
      </c>
      <c r="AI284" s="21">
        <f t="shared" si="170"/>
        <v>1</v>
      </c>
      <c r="AJ284">
        <v>1</v>
      </c>
      <c r="AK284" s="128">
        <v>0</v>
      </c>
      <c r="AL284">
        <v>0</v>
      </c>
      <c r="AM284">
        <v>0</v>
      </c>
      <c r="AN284">
        <v>0</v>
      </c>
      <c r="AO284" s="21">
        <f t="shared" si="171"/>
        <v>0</v>
      </c>
      <c r="AQ284">
        <v>0</v>
      </c>
      <c r="AR284">
        <v>0</v>
      </c>
      <c r="AS284">
        <v>0</v>
      </c>
      <c r="AT284">
        <v>1</v>
      </c>
      <c r="AU284" s="21">
        <f t="shared" si="166"/>
        <v>1</v>
      </c>
    </row>
    <row r="285" spans="1:47" ht="15" customHeight="1" x14ac:dyDescent="0.2">
      <c r="A285" s="12">
        <v>7</v>
      </c>
      <c r="B285" s="12" t="s">
        <v>280</v>
      </c>
      <c r="C285" s="12" t="s">
        <v>26</v>
      </c>
      <c r="D285" s="12">
        <v>30.05</v>
      </c>
      <c r="E285" s="12">
        <v>2002</v>
      </c>
      <c r="F285" s="15"/>
      <c r="G285" s="15"/>
      <c r="H285" s="15"/>
      <c r="I285" s="15"/>
      <c r="J285" s="15"/>
      <c r="K285" s="15"/>
      <c r="L285" s="15">
        <v>1</v>
      </c>
      <c r="M285" s="21">
        <v>0</v>
      </c>
      <c r="N285" s="21">
        <v>0</v>
      </c>
      <c r="O285" s="21">
        <v>0</v>
      </c>
      <c r="P285" s="21">
        <v>0</v>
      </c>
      <c r="Q285" s="21">
        <f t="shared" si="167"/>
        <v>0</v>
      </c>
      <c r="R285" s="15"/>
      <c r="S285" s="21">
        <v>0</v>
      </c>
      <c r="T285" s="21">
        <v>0</v>
      </c>
      <c r="U285" s="21">
        <v>0</v>
      </c>
      <c r="V285" s="21">
        <v>1</v>
      </c>
      <c r="W285" s="21">
        <f t="shared" si="168"/>
        <v>1</v>
      </c>
      <c r="X285" s="15">
        <v>1</v>
      </c>
      <c r="Y285" s="21">
        <v>0</v>
      </c>
      <c r="Z285" s="21">
        <v>0</v>
      </c>
      <c r="AA285" s="21">
        <v>0</v>
      </c>
      <c r="AB285" s="21">
        <v>0</v>
      </c>
      <c r="AC285" s="21">
        <f t="shared" si="169"/>
        <v>0</v>
      </c>
      <c r="AD285" s="15">
        <v>0</v>
      </c>
      <c r="AE285" s="21">
        <v>0</v>
      </c>
      <c r="AF285" s="21">
        <v>0</v>
      </c>
      <c r="AG285" s="21">
        <v>0</v>
      </c>
      <c r="AH285" s="21">
        <v>0</v>
      </c>
      <c r="AI285" s="21">
        <f t="shared" si="170"/>
        <v>0</v>
      </c>
      <c r="AJ285">
        <v>0</v>
      </c>
      <c r="AK285" s="128">
        <v>0</v>
      </c>
      <c r="AL285">
        <v>0</v>
      </c>
      <c r="AM285">
        <v>0</v>
      </c>
      <c r="AN285">
        <v>0</v>
      </c>
      <c r="AO285" s="21">
        <f t="shared" si="171"/>
        <v>0</v>
      </c>
      <c r="AQ285">
        <v>0</v>
      </c>
      <c r="AR285">
        <v>0</v>
      </c>
      <c r="AS285">
        <v>0</v>
      </c>
      <c r="AT285">
        <v>0</v>
      </c>
      <c r="AU285" s="21">
        <f t="shared" si="166"/>
        <v>0</v>
      </c>
    </row>
    <row r="286" spans="1:47" ht="15" customHeight="1" x14ac:dyDescent="0.2">
      <c r="A286" s="12">
        <v>7</v>
      </c>
      <c r="B286" s="12" t="s">
        <v>281</v>
      </c>
      <c r="C286" s="12" t="s">
        <v>26</v>
      </c>
      <c r="D286" s="12">
        <v>40.44</v>
      </c>
      <c r="E286" s="12">
        <v>2002</v>
      </c>
      <c r="F286" s="15"/>
      <c r="G286" s="15"/>
      <c r="H286" s="15"/>
      <c r="I286" s="15"/>
      <c r="J286" s="15"/>
      <c r="K286" s="15"/>
      <c r="L286" s="15">
        <v>1</v>
      </c>
      <c r="M286" s="21">
        <v>0</v>
      </c>
      <c r="N286" s="21">
        <v>0</v>
      </c>
      <c r="O286" s="21">
        <v>0</v>
      </c>
      <c r="P286" s="21">
        <v>0</v>
      </c>
      <c r="Q286" s="21">
        <f t="shared" si="167"/>
        <v>0</v>
      </c>
      <c r="R286" s="15">
        <v>1</v>
      </c>
      <c r="S286" s="21">
        <v>0</v>
      </c>
      <c r="T286" s="21">
        <v>0</v>
      </c>
      <c r="U286" s="21">
        <v>0</v>
      </c>
      <c r="V286" s="21">
        <v>0</v>
      </c>
      <c r="W286" s="21">
        <f t="shared" si="168"/>
        <v>0</v>
      </c>
      <c r="X286" s="15">
        <v>1</v>
      </c>
      <c r="Y286" s="21">
        <v>0</v>
      </c>
      <c r="Z286" s="21">
        <v>0</v>
      </c>
      <c r="AA286" s="21">
        <v>0</v>
      </c>
      <c r="AB286" s="21">
        <v>0</v>
      </c>
      <c r="AC286" s="21">
        <f t="shared" si="169"/>
        <v>0</v>
      </c>
      <c r="AD286" s="15">
        <v>1</v>
      </c>
      <c r="AE286" s="21">
        <v>0</v>
      </c>
      <c r="AF286" s="21">
        <v>0</v>
      </c>
      <c r="AG286" s="21">
        <v>0</v>
      </c>
      <c r="AH286" s="21">
        <v>0</v>
      </c>
      <c r="AI286" s="21">
        <f t="shared" si="170"/>
        <v>0</v>
      </c>
      <c r="AK286" s="128">
        <v>0</v>
      </c>
      <c r="AL286">
        <v>0</v>
      </c>
      <c r="AM286">
        <v>0</v>
      </c>
      <c r="AN286">
        <v>1</v>
      </c>
      <c r="AO286" s="21">
        <f t="shared" si="171"/>
        <v>1</v>
      </c>
      <c r="AQ286">
        <v>0</v>
      </c>
      <c r="AR286">
        <v>0</v>
      </c>
      <c r="AS286">
        <v>0</v>
      </c>
      <c r="AT286">
        <v>1</v>
      </c>
      <c r="AU286" s="21">
        <f t="shared" si="166"/>
        <v>1</v>
      </c>
    </row>
    <row r="287" spans="1:47" ht="15" customHeight="1" x14ac:dyDescent="0.2">
      <c r="A287" s="12">
        <v>7</v>
      </c>
      <c r="B287" s="12" t="s">
        <v>282</v>
      </c>
      <c r="C287" s="12" t="s">
        <v>26</v>
      </c>
      <c r="D287" s="12">
        <v>27.19</v>
      </c>
      <c r="E287" s="12">
        <v>2002</v>
      </c>
      <c r="F287" s="15"/>
      <c r="G287" s="15"/>
      <c r="H287" s="15"/>
      <c r="I287" s="15"/>
      <c r="J287" s="15"/>
      <c r="K287" s="15"/>
      <c r="L287" s="15">
        <v>1</v>
      </c>
      <c r="M287" s="21">
        <v>0</v>
      </c>
      <c r="N287" s="21">
        <v>0</v>
      </c>
      <c r="O287" s="21">
        <v>0</v>
      </c>
      <c r="P287" s="21">
        <v>0</v>
      </c>
      <c r="Q287" s="21">
        <f t="shared" si="167"/>
        <v>0</v>
      </c>
      <c r="R287" s="15"/>
      <c r="S287" s="21">
        <v>0</v>
      </c>
      <c r="T287" s="21">
        <v>0</v>
      </c>
      <c r="U287" s="21">
        <v>0</v>
      </c>
      <c r="V287" s="21">
        <v>1</v>
      </c>
      <c r="W287" s="21">
        <f t="shared" si="168"/>
        <v>1</v>
      </c>
      <c r="X287" s="15"/>
      <c r="Y287" s="21">
        <v>0</v>
      </c>
      <c r="Z287" s="21">
        <v>0</v>
      </c>
      <c r="AA287" s="21">
        <v>0</v>
      </c>
      <c r="AB287" s="21">
        <v>1</v>
      </c>
      <c r="AC287" s="21">
        <f t="shared" si="169"/>
        <v>1</v>
      </c>
      <c r="AD287" s="15"/>
      <c r="AE287" s="21">
        <v>0</v>
      </c>
      <c r="AF287" s="21">
        <v>0</v>
      </c>
      <c r="AG287" s="21">
        <v>0</v>
      </c>
      <c r="AH287" s="21">
        <v>1</v>
      </c>
      <c r="AI287" s="21">
        <f t="shared" si="170"/>
        <v>1</v>
      </c>
      <c r="AK287" s="128">
        <v>0</v>
      </c>
      <c r="AL287">
        <v>0</v>
      </c>
      <c r="AM287">
        <v>0</v>
      </c>
      <c r="AN287">
        <v>1</v>
      </c>
      <c r="AO287" s="21">
        <f t="shared" si="171"/>
        <v>1</v>
      </c>
      <c r="AQ287">
        <v>0</v>
      </c>
      <c r="AR287">
        <v>0</v>
      </c>
      <c r="AS287">
        <v>0</v>
      </c>
      <c r="AT287">
        <v>1</v>
      </c>
      <c r="AU287" s="21">
        <f t="shared" si="166"/>
        <v>1</v>
      </c>
    </row>
    <row r="288" spans="1:47" x14ac:dyDescent="0.2">
      <c r="A288" s="12">
        <v>7</v>
      </c>
      <c r="B288" s="12" t="s">
        <v>293</v>
      </c>
      <c r="C288" s="12" t="s">
        <v>26</v>
      </c>
      <c r="D288" s="12">
        <v>27.03</v>
      </c>
      <c r="E288" s="12">
        <v>2002</v>
      </c>
      <c r="F288" s="15"/>
      <c r="G288" s="15"/>
      <c r="H288" s="15"/>
      <c r="I288" s="15"/>
      <c r="J288" s="15"/>
      <c r="K288" s="15"/>
      <c r="L288" s="15"/>
      <c r="M288" s="21">
        <v>0</v>
      </c>
      <c r="N288" s="21">
        <v>2</v>
      </c>
      <c r="O288" s="21">
        <v>0</v>
      </c>
      <c r="P288" s="21">
        <v>1</v>
      </c>
      <c r="Q288" s="21">
        <f t="shared" si="167"/>
        <v>3</v>
      </c>
      <c r="R288" s="15"/>
      <c r="S288" s="21">
        <v>3</v>
      </c>
      <c r="T288" s="21">
        <v>0</v>
      </c>
      <c r="U288" s="21">
        <v>0</v>
      </c>
      <c r="V288" s="21">
        <v>1</v>
      </c>
      <c r="W288" s="21">
        <f t="shared" si="168"/>
        <v>4</v>
      </c>
      <c r="X288" s="15"/>
      <c r="Y288" s="21">
        <v>0</v>
      </c>
      <c r="Z288" s="21">
        <v>0</v>
      </c>
      <c r="AA288" s="21">
        <v>0</v>
      </c>
      <c r="AB288" s="21">
        <v>1</v>
      </c>
      <c r="AC288" s="21">
        <f t="shared" si="169"/>
        <v>1</v>
      </c>
      <c r="AD288" s="15"/>
      <c r="AE288" s="21">
        <v>0</v>
      </c>
      <c r="AF288" s="21">
        <v>0</v>
      </c>
      <c r="AG288" s="21">
        <v>0</v>
      </c>
      <c r="AH288" s="21">
        <v>1</v>
      </c>
      <c r="AI288" s="21">
        <f t="shared" si="170"/>
        <v>1</v>
      </c>
      <c r="AK288" s="128">
        <v>1</v>
      </c>
      <c r="AL288">
        <v>0</v>
      </c>
      <c r="AM288">
        <v>0</v>
      </c>
      <c r="AN288">
        <v>0</v>
      </c>
      <c r="AO288" s="21">
        <f t="shared" si="171"/>
        <v>1</v>
      </c>
      <c r="AQ288">
        <v>0</v>
      </c>
      <c r="AR288">
        <v>0</v>
      </c>
      <c r="AS288">
        <v>0</v>
      </c>
      <c r="AT288">
        <v>1</v>
      </c>
      <c r="AU288" s="21">
        <f t="shared" si="166"/>
        <v>1</v>
      </c>
    </row>
    <row r="289" spans="1:47" x14ac:dyDescent="0.2">
      <c r="A289" s="12">
        <v>7</v>
      </c>
      <c r="B289" s="12" t="s">
        <v>290</v>
      </c>
      <c r="C289" s="12" t="s">
        <v>26</v>
      </c>
      <c r="D289" s="12">
        <v>30.54</v>
      </c>
      <c r="E289" s="12">
        <v>2003</v>
      </c>
      <c r="F289" s="15"/>
      <c r="G289" s="15"/>
      <c r="H289" s="15"/>
      <c r="I289" s="15"/>
      <c r="J289" s="15"/>
      <c r="K289" s="15"/>
      <c r="L289" s="15"/>
      <c r="M289" s="21">
        <v>0</v>
      </c>
      <c r="N289" s="21">
        <v>0</v>
      </c>
      <c r="O289" s="21">
        <v>3</v>
      </c>
      <c r="P289" s="21">
        <v>1</v>
      </c>
      <c r="Q289" s="21">
        <f t="shared" si="167"/>
        <v>4</v>
      </c>
      <c r="R289" s="15"/>
      <c r="S289" s="21">
        <v>0</v>
      </c>
      <c r="T289" s="21">
        <v>0</v>
      </c>
      <c r="U289" s="21">
        <v>0</v>
      </c>
      <c r="V289" s="21">
        <v>1</v>
      </c>
      <c r="W289" s="21">
        <f t="shared" si="168"/>
        <v>1</v>
      </c>
      <c r="X289" s="15"/>
      <c r="Y289" s="21">
        <v>1</v>
      </c>
      <c r="Z289" s="21">
        <v>3</v>
      </c>
      <c r="AA289" s="21">
        <v>1</v>
      </c>
      <c r="AB289" s="21">
        <v>1</v>
      </c>
      <c r="AC289" s="21">
        <f t="shared" si="169"/>
        <v>6</v>
      </c>
      <c r="AD289" s="15"/>
      <c r="AE289" s="21">
        <v>1</v>
      </c>
      <c r="AF289" s="21">
        <v>2</v>
      </c>
      <c r="AG289" s="21">
        <v>1</v>
      </c>
      <c r="AH289" s="21">
        <v>0</v>
      </c>
      <c r="AI289" s="21">
        <f t="shared" si="170"/>
        <v>4</v>
      </c>
      <c r="AJ289">
        <v>1</v>
      </c>
      <c r="AK289" s="128">
        <v>0</v>
      </c>
      <c r="AL289">
        <v>0</v>
      </c>
      <c r="AM289">
        <v>0</v>
      </c>
      <c r="AN289">
        <v>0</v>
      </c>
      <c r="AO289" s="21">
        <f t="shared" si="171"/>
        <v>0</v>
      </c>
      <c r="AQ289">
        <v>1</v>
      </c>
      <c r="AR289">
        <v>0</v>
      </c>
      <c r="AS289">
        <v>0</v>
      </c>
      <c r="AT289">
        <v>0</v>
      </c>
      <c r="AU289" s="21">
        <f t="shared" si="166"/>
        <v>1</v>
      </c>
    </row>
    <row r="290" spans="1:47" x14ac:dyDescent="0.2">
      <c r="A290" s="12">
        <v>7</v>
      </c>
      <c r="B290" s="12" t="s">
        <v>291</v>
      </c>
      <c r="C290" s="12" t="s">
        <v>26</v>
      </c>
      <c r="D290" s="12">
        <v>29.58</v>
      </c>
      <c r="E290" s="12">
        <v>2003</v>
      </c>
      <c r="F290" s="15"/>
      <c r="G290" s="15"/>
      <c r="H290" s="15"/>
      <c r="I290" s="15"/>
      <c r="J290" s="15"/>
      <c r="K290" s="15"/>
      <c r="L290" s="15"/>
      <c r="M290" s="21">
        <v>0</v>
      </c>
      <c r="N290" s="21">
        <v>0</v>
      </c>
      <c r="O290" s="21">
        <v>0</v>
      </c>
      <c r="P290" s="21">
        <v>1</v>
      </c>
      <c r="Q290" s="21">
        <f t="shared" si="167"/>
        <v>1</v>
      </c>
      <c r="R290" s="15"/>
      <c r="S290" s="21">
        <v>0</v>
      </c>
      <c r="T290" s="21">
        <v>0</v>
      </c>
      <c r="U290" s="21">
        <v>0</v>
      </c>
      <c r="V290" s="21">
        <v>1</v>
      </c>
      <c r="W290" s="21">
        <f t="shared" si="168"/>
        <v>1</v>
      </c>
      <c r="X290" s="15">
        <v>1</v>
      </c>
      <c r="Y290" s="21">
        <v>0</v>
      </c>
      <c r="Z290" s="21">
        <v>0</v>
      </c>
      <c r="AA290" s="21">
        <v>0</v>
      </c>
      <c r="AB290" s="21">
        <v>0</v>
      </c>
      <c r="AC290" s="21">
        <f t="shared" si="169"/>
        <v>0</v>
      </c>
      <c r="AD290" s="15">
        <v>1</v>
      </c>
      <c r="AE290" s="21">
        <v>0</v>
      </c>
      <c r="AF290" s="21">
        <v>0</v>
      </c>
      <c r="AG290" s="21">
        <v>0</v>
      </c>
      <c r="AH290" s="21">
        <v>0</v>
      </c>
      <c r="AI290" s="21">
        <f t="shared" si="170"/>
        <v>0</v>
      </c>
      <c r="AJ290">
        <v>1</v>
      </c>
      <c r="AK290" s="128">
        <v>0</v>
      </c>
      <c r="AL290">
        <v>0</v>
      </c>
      <c r="AM290">
        <v>0</v>
      </c>
      <c r="AN290">
        <v>0</v>
      </c>
      <c r="AO290" s="21">
        <f t="shared" si="171"/>
        <v>0</v>
      </c>
      <c r="AP290">
        <v>1</v>
      </c>
      <c r="AQ290">
        <v>0</v>
      </c>
      <c r="AR290">
        <v>0</v>
      </c>
      <c r="AS290">
        <v>0</v>
      </c>
      <c r="AT290">
        <v>0</v>
      </c>
      <c r="AU290" s="21">
        <f t="shared" si="166"/>
        <v>0</v>
      </c>
    </row>
    <row r="291" spans="1:47" ht="15" customHeight="1" x14ac:dyDescent="0.2">
      <c r="A291" s="12">
        <v>7</v>
      </c>
      <c r="B291" s="12" t="s">
        <v>292</v>
      </c>
      <c r="C291" s="12" t="s">
        <v>26</v>
      </c>
      <c r="D291" s="12">
        <v>41.15</v>
      </c>
      <c r="E291" s="12">
        <v>2003</v>
      </c>
      <c r="F291" s="15"/>
      <c r="G291" s="15"/>
      <c r="H291" s="15"/>
      <c r="I291" s="15"/>
      <c r="J291" s="15"/>
      <c r="K291" s="15"/>
      <c r="L291" s="15">
        <v>1</v>
      </c>
      <c r="M291" s="21">
        <v>0</v>
      </c>
      <c r="N291" s="21">
        <v>0</v>
      </c>
      <c r="O291" s="21">
        <v>0</v>
      </c>
      <c r="P291" s="21">
        <v>0</v>
      </c>
      <c r="Q291" s="21">
        <f t="shared" si="167"/>
        <v>0</v>
      </c>
      <c r="R291" s="15"/>
      <c r="S291" s="21">
        <v>0</v>
      </c>
      <c r="T291" s="21">
        <v>0</v>
      </c>
      <c r="U291" s="21">
        <v>0</v>
      </c>
      <c r="V291" s="21">
        <v>1</v>
      </c>
      <c r="W291" s="21">
        <f t="shared" si="168"/>
        <v>1</v>
      </c>
      <c r="X291" s="15">
        <v>1</v>
      </c>
      <c r="Y291" s="21">
        <v>0</v>
      </c>
      <c r="Z291" s="21">
        <v>0</v>
      </c>
      <c r="AA291" s="21">
        <v>0</v>
      </c>
      <c r="AB291" s="21">
        <v>0</v>
      </c>
      <c r="AC291" s="21">
        <f t="shared" si="169"/>
        <v>0</v>
      </c>
      <c r="AD291" s="15">
        <v>1</v>
      </c>
      <c r="AE291" s="21">
        <v>0</v>
      </c>
      <c r="AF291" s="21">
        <v>0</v>
      </c>
      <c r="AG291" s="21">
        <v>0</v>
      </c>
      <c r="AH291" s="21">
        <v>0</v>
      </c>
      <c r="AI291" s="21">
        <f t="shared" si="170"/>
        <v>0</v>
      </c>
      <c r="AJ291">
        <v>0</v>
      </c>
      <c r="AK291" s="128">
        <v>0</v>
      </c>
      <c r="AL291">
        <v>2</v>
      </c>
      <c r="AM291">
        <v>0</v>
      </c>
      <c r="AN291">
        <v>0</v>
      </c>
      <c r="AO291" s="21">
        <f t="shared" si="171"/>
        <v>2</v>
      </c>
      <c r="AP291">
        <v>1</v>
      </c>
      <c r="AQ291">
        <v>0</v>
      </c>
      <c r="AR291">
        <v>0</v>
      </c>
      <c r="AS291">
        <v>0</v>
      </c>
      <c r="AT291">
        <v>0</v>
      </c>
      <c r="AU291" s="21">
        <f t="shared" si="166"/>
        <v>0</v>
      </c>
    </row>
    <row r="292" spans="1:47" ht="15" customHeight="1" x14ac:dyDescent="0.2">
      <c r="A292" s="12">
        <v>7</v>
      </c>
      <c r="B292" s="12" t="s">
        <v>286</v>
      </c>
      <c r="C292" s="12" t="s">
        <v>26</v>
      </c>
      <c r="D292" s="12">
        <v>26.9</v>
      </c>
      <c r="E292" s="12">
        <v>2004</v>
      </c>
      <c r="F292" s="15"/>
      <c r="G292" s="15"/>
      <c r="H292" s="15"/>
      <c r="I292" s="15"/>
      <c r="J292" s="15"/>
      <c r="K292" s="15"/>
      <c r="L292" s="15">
        <v>1</v>
      </c>
      <c r="M292" s="21">
        <v>0</v>
      </c>
      <c r="N292" s="21">
        <v>0</v>
      </c>
      <c r="O292" s="21">
        <v>0</v>
      </c>
      <c r="P292" s="21">
        <v>0</v>
      </c>
      <c r="Q292" s="21">
        <f t="shared" si="167"/>
        <v>0</v>
      </c>
      <c r="R292" s="15"/>
      <c r="S292" s="21">
        <v>0</v>
      </c>
      <c r="T292" s="21">
        <v>0</v>
      </c>
      <c r="U292" s="21">
        <v>0</v>
      </c>
      <c r="V292" s="21">
        <v>1</v>
      </c>
      <c r="W292" s="21">
        <f t="shared" si="168"/>
        <v>1</v>
      </c>
      <c r="X292" s="15">
        <v>1</v>
      </c>
      <c r="Y292" s="21">
        <v>0</v>
      </c>
      <c r="Z292" s="21">
        <v>0</v>
      </c>
      <c r="AA292" s="21">
        <v>0</v>
      </c>
      <c r="AB292" s="21">
        <v>0</v>
      </c>
      <c r="AC292" s="21">
        <f t="shared" si="169"/>
        <v>0</v>
      </c>
      <c r="AD292" s="15">
        <v>1</v>
      </c>
      <c r="AE292" s="21">
        <v>0</v>
      </c>
      <c r="AF292" s="21">
        <v>0</v>
      </c>
      <c r="AG292" s="21">
        <v>0</v>
      </c>
      <c r="AH292" s="21">
        <v>0</v>
      </c>
      <c r="AI292" s="21">
        <f t="shared" si="170"/>
        <v>0</v>
      </c>
      <c r="AK292" s="128">
        <v>3</v>
      </c>
      <c r="AL292">
        <v>0</v>
      </c>
      <c r="AM292">
        <v>0</v>
      </c>
      <c r="AN292">
        <v>0</v>
      </c>
      <c r="AO292" s="21">
        <f t="shared" si="171"/>
        <v>3</v>
      </c>
      <c r="AQ292">
        <v>0</v>
      </c>
      <c r="AR292">
        <v>2</v>
      </c>
      <c r="AS292">
        <v>0</v>
      </c>
      <c r="AT292">
        <v>0</v>
      </c>
      <c r="AU292" s="21">
        <f t="shared" si="166"/>
        <v>2</v>
      </c>
    </row>
    <row r="293" spans="1:47" x14ac:dyDescent="0.2">
      <c r="A293" s="12">
        <v>7</v>
      </c>
      <c r="B293" s="12" t="s">
        <v>303</v>
      </c>
      <c r="C293" s="12" t="s">
        <v>26</v>
      </c>
      <c r="D293" s="12">
        <v>37.869999999999997</v>
      </c>
      <c r="E293" s="12">
        <v>2004</v>
      </c>
      <c r="F293" s="15"/>
      <c r="G293" s="15"/>
      <c r="H293" s="15"/>
      <c r="I293" s="15"/>
      <c r="J293" s="15"/>
      <c r="K293" s="15"/>
      <c r="L293" s="15"/>
      <c r="M293" s="21">
        <v>0</v>
      </c>
      <c r="N293" s="21">
        <v>0</v>
      </c>
      <c r="O293" s="21">
        <v>4</v>
      </c>
      <c r="P293" s="21">
        <v>1</v>
      </c>
      <c r="Q293" s="21">
        <f t="shared" si="167"/>
        <v>5</v>
      </c>
      <c r="R293" s="15"/>
      <c r="S293" s="21">
        <v>0</v>
      </c>
      <c r="T293" s="21">
        <v>0</v>
      </c>
      <c r="U293" s="21">
        <v>6</v>
      </c>
      <c r="V293" s="21">
        <v>1</v>
      </c>
      <c r="W293" s="21">
        <f t="shared" si="168"/>
        <v>7</v>
      </c>
      <c r="X293" s="15"/>
      <c r="Y293" s="21">
        <v>0</v>
      </c>
      <c r="Z293" s="21">
        <v>0</v>
      </c>
      <c r="AA293" s="21">
        <v>6</v>
      </c>
      <c r="AB293" s="21">
        <v>1</v>
      </c>
      <c r="AC293" s="21">
        <f t="shared" si="169"/>
        <v>7</v>
      </c>
      <c r="AD293" s="15"/>
      <c r="AE293" s="21">
        <v>0</v>
      </c>
      <c r="AF293" s="21">
        <v>0</v>
      </c>
      <c r="AG293" s="21">
        <v>6</v>
      </c>
      <c r="AH293" s="21">
        <v>0</v>
      </c>
      <c r="AI293" s="21">
        <f t="shared" si="170"/>
        <v>6</v>
      </c>
      <c r="AK293" s="128">
        <v>0</v>
      </c>
      <c r="AL293">
        <v>0</v>
      </c>
      <c r="AM293">
        <v>0</v>
      </c>
      <c r="AN293">
        <v>1</v>
      </c>
      <c r="AO293" s="21">
        <f t="shared" si="171"/>
        <v>1</v>
      </c>
      <c r="AQ293">
        <v>3</v>
      </c>
      <c r="AR293">
        <v>0</v>
      </c>
      <c r="AS293">
        <v>0</v>
      </c>
      <c r="AT293">
        <v>0</v>
      </c>
      <c r="AU293" s="21">
        <f t="shared" si="166"/>
        <v>3</v>
      </c>
    </row>
    <row r="294" spans="1:47" ht="15" customHeight="1" x14ac:dyDescent="0.2">
      <c r="A294" s="12">
        <v>7</v>
      </c>
      <c r="B294" s="12" t="s">
        <v>287</v>
      </c>
      <c r="C294" s="12" t="s">
        <v>26</v>
      </c>
      <c r="D294" s="12">
        <v>6.1</v>
      </c>
      <c r="E294" s="12">
        <v>2012</v>
      </c>
      <c r="F294" s="15"/>
      <c r="G294" s="15"/>
      <c r="H294" s="15"/>
      <c r="I294" s="15"/>
      <c r="J294" s="15"/>
      <c r="K294" s="15"/>
      <c r="L294" s="15">
        <v>1</v>
      </c>
      <c r="M294" s="21">
        <v>0</v>
      </c>
      <c r="N294" s="21">
        <v>0</v>
      </c>
      <c r="O294" s="21">
        <v>0</v>
      </c>
      <c r="P294" s="21">
        <v>0</v>
      </c>
      <c r="Q294" s="21">
        <f t="shared" si="167"/>
        <v>0</v>
      </c>
      <c r="R294" s="15"/>
      <c r="S294" s="21">
        <v>0</v>
      </c>
      <c r="T294" s="21">
        <v>0</v>
      </c>
      <c r="U294" s="21">
        <v>0</v>
      </c>
      <c r="V294" s="21">
        <v>1</v>
      </c>
      <c r="W294" s="21">
        <f t="shared" si="168"/>
        <v>1</v>
      </c>
      <c r="X294" s="15">
        <v>1</v>
      </c>
      <c r="Y294" s="21">
        <v>0</v>
      </c>
      <c r="Z294" s="21">
        <v>0</v>
      </c>
      <c r="AA294" s="21">
        <v>0</v>
      </c>
      <c r="AB294" s="21">
        <v>0</v>
      </c>
      <c r="AC294" s="21">
        <f t="shared" si="169"/>
        <v>0</v>
      </c>
      <c r="AD294" s="15">
        <v>1</v>
      </c>
      <c r="AE294" s="21">
        <v>0</v>
      </c>
      <c r="AF294" s="21">
        <v>0</v>
      </c>
      <c r="AG294" s="21">
        <v>0</v>
      </c>
      <c r="AH294" s="21">
        <v>0</v>
      </c>
      <c r="AI294" s="21">
        <f t="shared" si="170"/>
        <v>0</v>
      </c>
      <c r="AK294" s="128">
        <v>0</v>
      </c>
      <c r="AL294">
        <v>0</v>
      </c>
      <c r="AM294">
        <v>0</v>
      </c>
      <c r="AN294">
        <v>1</v>
      </c>
      <c r="AO294" s="21">
        <f t="shared" si="171"/>
        <v>1</v>
      </c>
      <c r="AP294">
        <v>1</v>
      </c>
      <c r="AQ294">
        <v>0</v>
      </c>
      <c r="AR294">
        <v>0</v>
      </c>
      <c r="AS294">
        <v>0</v>
      </c>
      <c r="AT294">
        <v>0</v>
      </c>
      <c r="AU294" s="21">
        <f t="shared" si="166"/>
        <v>0</v>
      </c>
    </row>
    <row r="295" spans="1:47" x14ac:dyDescent="0.2">
      <c r="A295" s="12">
        <v>7</v>
      </c>
      <c r="B295" s="12" t="s">
        <v>288</v>
      </c>
      <c r="C295" s="12" t="s">
        <v>26</v>
      </c>
      <c r="D295" s="12">
        <v>20</v>
      </c>
      <c r="E295" s="12">
        <v>2012</v>
      </c>
      <c r="F295" s="15"/>
      <c r="G295" s="15"/>
      <c r="H295" s="15"/>
      <c r="I295" s="15"/>
      <c r="J295" s="15"/>
      <c r="K295" s="15"/>
      <c r="L295" s="15"/>
      <c r="M295" s="21">
        <v>0</v>
      </c>
      <c r="N295" s="21">
        <v>0</v>
      </c>
      <c r="O295" s="21">
        <v>0</v>
      </c>
      <c r="P295" s="21">
        <v>1</v>
      </c>
      <c r="Q295" s="21">
        <f t="shared" si="167"/>
        <v>1</v>
      </c>
      <c r="R295" s="15"/>
      <c r="S295" s="21">
        <v>0</v>
      </c>
      <c r="T295" s="21">
        <v>0</v>
      </c>
      <c r="U295" s="21">
        <v>0</v>
      </c>
      <c r="V295" s="21">
        <v>1</v>
      </c>
      <c r="W295" s="21">
        <f t="shared" si="168"/>
        <v>1</v>
      </c>
      <c r="X295" s="15"/>
      <c r="Y295" s="21">
        <v>0</v>
      </c>
      <c r="Z295" s="21">
        <v>0</v>
      </c>
      <c r="AA295" s="21">
        <v>0</v>
      </c>
      <c r="AB295" s="21">
        <v>1</v>
      </c>
      <c r="AC295" s="21">
        <f t="shared" si="169"/>
        <v>1</v>
      </c>
      <c r="AD295" s="15"/>
      <c r="AE295" s="21">
        <v>0</v>
      </c>
      <c r="AF295" s="21">
        <v>0</v>
      </c>
      <c r="AG295" s="21">
        <v>0</v>
      </c>
      <c r="AH295" s="21">
        <v>1</v>
      </c>
      <c r="AI295" s="21">
        <f t="shared" si="170"/>
        <v>1</v>
      </c>
      <c r="AK295" s="128">
        <v>0</v>
      </c>
      <c r="AL295">
        <v>0</v>
      </c>
      <c r="AM295">
        <v>0</v>
      </c>
      <c r="AN295">
        <v>1</v>
      </c>
      <c r="AO295" s="21">
        <f t="shared" si="171"/>
        <v>1</v>
      </c>
      <c r="AQ295">
        <v>0</v>
      </c>
      <c r="AR295">
        <v>0</v>
      </c>
      <c r="AS295">
        <v>0</v>
      </c>
      <c r="AT295">
        <v>1</v>
      </c>
      <c r="AU295" s="21">
        <f t="shared" si="166"/>
        <v>1</v>
      </c>
    </row>
    <row r="296" spans="1:47" ht="15" customHeight="1" x14ac:dyDescent="0.2">
      <c r="A296" s="12">
        <v>7</v>
      </c>
      <c r="B296" s="12" t="s">
        <v>289</v>
      </c>
      <c r="C296" s="12" t="s">
        <v>26</v>
      </c>
      <c r="D296" s="12">
        <v>16</v>
      </c>
      <c r="E296" s="12">
        <v>2012</v>
      </c>
      <c r="F296" s="15"/>
      <c r="G296" s="15"/>
      <c r="H296" s="15"/>
      <c r="I296" s="15"/>
      <c r="J296" s="15"/>
      <c r="K296" s="15"/>
      <c r="L296" s="15">
        <v>1</v>
      </c>
      <c r="M296" s="21">
        <v>0</v>
      </c>
      <c r="N296" s="21">
        <v>0</v>
      </c>
      <c r="O296" s="21">
        <v>0</v>
      </c>
      <c r="P296" s="21">
        <v>0</v>
      </c>
      <c r="Q296" s="21">
        <f t="shared" si="167"/>
        <v>0</v>
      </c>
      <c r="R296" s="15"/>
      <c r="S296" s="21">
        <v>0</v>
      </c>
      <c r="T296" s="21">
        <v>0</v>
      </c>
      <c r="U296" s="21">
        <v>0</v>
      </c>
      <c r="V296" s="21">
        <v>1</v>
      </c>
      <c r="W296" s="21">
        <f t="shared" si="168"/>
        <v>1</v>
      </c>
      <c r="X296" s="15"/>
      <c r="Y296" s="21">
        <v>0</v>
      </c>
      <c r="Z296" s="21">
        <v>0</v>
      </c>
      <c r="AA296" s="21">
        <v>0</v>
      </c>
      <c r="AB296" s="21">
        <v>1</v>
      </c>
      <c r="AC296" s="21">
        <f t="shared" si="169"/>
        <v>1</v>
      </c>
      <c r="AD296" s="15"/>
      <c r="AE296" s="21">
        <v>0</v>
      </c>
      <c r="AF296" s="21">
        <v>0</v>
      </c>
      <c r="AG296" s="21">
        <v>0</v>
      </c>
      <c r="AH296" s="21">
        <v>1</v>
      </c>
      <c r="AI296" s="21">
        <f t="shared" si="170"/>
        <v>1</v>
      </c>
      <c r="AK296" s="128">
        <v>0</v>
      </c>
      <c r="AL296">
        <v>0</v>
      </c>
      <c r="AM296">
        <v>0</v>
      </c>
      <c r="AN296">
        <v>1</v>
      </c>
      <c r="AO296" s="21">
        <f t="shared" si="171"/>
        <v>1</v>
      </c>
      <c r="AQ296">
        <v>0</v>
      </c>
      <c r="AR296">
        <v>0</v>
      </c>
      <c r="AS296">
        <v>0</v>
      </c>
      <c r="AT296">
        <v>1</v>
      </c>
      <c r="AU296" s="21">
        <f t="shared" si="166"/>
        <v>1</v>
      </c>
    </row>
    <row r="297" spans="1:47" x14ac:dyDescent="0.2">
      <c r="A297" s="12">
        <v>7</v>
      </c>
      <c r="B297" s="12" t="s">
        <v>311</v>
      </c>
      <c r="C297" s="12" t="s">
        <v>26</v>
      </c>
      <c r="D297" s="12">
        <v>20.32</v>
      </c>
      <c r="E297" s="12">
        <v>2019</v>
      </c>
      <c r="F297" s="15"/>
      <c r="G297" s="15"/>
      <c r="H297" s="15"/>
      <c r="I297" s="15"/>
      <c r="J297" s="15"/>
      <c r="K297" s="15"/>
      <c r="L297" s="15"/>
      <c r="M297" s="21">
        <v>0</v>
      </c>
      <c r="N297" s="21">
        <v>0</v>
      </c>
      <c r="O297" s="21">
        <v>0</v>
      </c>
      <c r="P297" s="21">
        <v>1</v>
      </c>
      <c r="Q297" s="21">
        <f t="shared" si="167"/>
        <v>1</v>
      </c>
      <c r="R297" s="15"/>
      <c r="S297" s="21">
        <v>0</v>
      </c>
      <c r="T297" s="21">
        <v>0</v>
      </c>
      <c r="U297" s="21">
        <v>0</v>
      </c>
      <c r="V297" s="21">
        <v>1</v>
      </c>
      <c r="W297" s="21">
        <f t="shared" si="168"/>
        <v>1</v>
      </c>
      <c r="X297" s="15"/>
      <c r="Y297" s="21">
        <v>0</v>
      </c>
      <c r="Z297" s="21">
        <v>0</v>
      </c>
      <c r="AA297" s="21">
        <v>0</v>
      </c>
      <c r="AB297" s="21">
        <v>1</v>
      </c>
      <c r="AC297" s="21">
        <f t="shared" si="169"/>
        <v>1</v>
      </c>
      <c r="AD297" s="15"/>
      <c r="AE297" s="21">
        <v>0</v>
      </c>
      <c r="AF297" s="21">
        <v>0</v>
      </c>
      <c r="AG297" s="21">
        <v>0</v>
      </c>
      <c r="AH297" s="21">
        <v>1</v>
      </c>
      <c r="AI297" s="21">
        <f t="shared" si="170"/>
        <v>1</v>
      </c>
      <c r="AK297" s="128">
        <v>0</v>
      </c>
      <c r="AL297">
        <v>0</v>
      </c>
      <c r="AM297">
        <v>0</v>
      </c>
      <c r="AN297">
        <v>1</v>
      </c>
      <c r="AO297" s="21">
        <f t="shared" si="171"/>
        <v>1</v>
      </c>
      <c r="AQ297">
        <v>0</v>
      </c>
      <c r="AR297">
        <v>0</v>
      </c>
      <c r="AS297">
        <v>0</v>
      </c>
      <c r="AT297">
        <v>1</v>
      </c>
      <c r="AU297" s="21">
        <f t="shared" si="166"/>
        <v>1</v>
      </c>
    </row>
    <row r="298" spans="1:47" x14ac:dyDescent="0.2">
      <c r="A298" s="12">
        <v>7</v>
      </c>
      <c r="B298" s="12" t="s">
        <v>313</v>
      </c>
      <c r="C298" s="12" t="s">
        <v>26</v>
      </c>
      <c r="D298" s="12">
        <v>12.5</v>
      </c>
      <c r="E298" s="12">
        <v>2013</v>
      </c>
      <c r="F298" s="15"/>
      <c r="G298" s="15"/>
      <c r="H298" s="15"/>
      <c r="I298" s="15"/>
      <c r="J298" s="15"/>
      <c r="K298" s="15"/>
      <c r="L298" s="15"/>
      <c r="M298" s="21">
        <v>0</v>
      </c>
      <c r="N298" s="21">
        <v>0</v>
      </c>
      <c r="O298" s="21">
        <v>0</v>
      </c>
      <c r="P298" s="21">
        <v>1</v>
      </c>
      <c r="Q298" s="21">
        <f t="shared" si="167"/>
        <v>1</v>
      </c>
      <c r="R298" s="15"/>
      <c r="S298" s="21">
        <v>0</v>
      </c>
      <c r="T298" s="21">
        <v>0</v>
      </c>
      <c r="U298" s="21">
        <v>0</v>
      </c>
      <c r="V298" s="21">
        <v>1</v>
      </c>
      <c r="W298" s="21">
        <f t="shared" si="168"/>
        <v>1</v>
      </c>
      <c r="X298" s="15"/>
      <c r="Y298" s="21">
        <v>0</v>
      </c>
      <c r="Z298" s="21">
        <v>0</v>
      </c>
      <c r="AA298" s="21">
        <v>0</v>
      </c>
      <c r="AB298" s="21">
        <v>1</v>
      </c>
      <c r="AC298" s="21">
        <f t="shared" si="169"/>
        <v>1</v>
      </c>
      <c r="AD298" s="15"/>
      <c r="AE298" s="21">
        <v>0</v>
      </c>
      <c r="AF298" s="21">
        <v>0</v>
      </c>
      <c r="AG298" s="21">
        <v>0</v>
      </c>
      <c r="AH298" s="21">
        <v>1</v>
      </c>
      <c r="AI298" s="21">
        <f t="shared" si="170"/>
        <v>1</v>
      </c>
      <c r="AK298" s="128">
        <v>0</v>
      </c>
      <c r="AL298">
        <v>0</v>
      </c>
      <c r="AM298">
        <v>0</v>
      </c>
      <c r="AN298">
        <v>1</v>
      </c>
      <c r="AO298" s="21">
        <f t="shared" si="171"/>
        <v>1</v>
      </c>
      <c r="AQ298">
        <v>0</v>
      </c>
      <c r="AR298">
        <v>0</v>
      </c>
      <c r="AS298">
        <v>0</v>
      </c>
      <c r="AT298">
        <v>1</v>
      </c>
      <c r="AU298" s="21">
        <f t="shared" si="166"/>
        <v>1</v>
      </c>
    </row>
    <row r="299" spans="1:47" x14ac:dyDescent="0.2">
      <c r="A299" s="12">
        <v>7</v>
      </c>
      <c r="B299" s="12" t="s">
        <v>310</v>
      </c>
      <c r="C299" s="12" t="s">
        <v>26</v>
      </c>
      <c r="D299" s="12">
        <v>18.2</v>
      </c>
      <c r="E299" s="12">
        <v>2013</v>
      </c>
      <c r="F299" s="15"/>
      <c r="G299" s="15"/>
      <c r="H299" s="15"/>
      <c r="I299" s="15"/>
      <c r="J299" s="15"/>
      <c r="K299" s="15"/>
      <c r="L299" s="15"/>
      <c r="M299" s="21">
        <v>0</v>
      </c>
      <c r="N299" s="21">
        <v>0</v>
      </c>
      <c r="O299" s="21">
        <v>0</v>
      </c>
      <c r="P299" s="21">
        <v>1</v>
      </c>
      <c r="Q299" s="21">
        <f t="shared" si="167"/>
        <v>1</v>
      </c>
      <c r="R299" s="15"/>
      <c r="S299" s="21">
        <v>0</v>
      </c>
      <c r="T299" s="21">
        <v>0</v>
      </c>
      <c r="U299" s="21">
        <v>0</v>
      </c>
      <c r="V299" s="21">
        <v>1</v>
      </c>
      <c r="W299" s="21">
        <f t="shared" si="168"/>
        <v>1</v>
      </c>
      <c r="X299" s="15"/>
      <c r="Y299" s="21">
        <v>0</v>
      </c>
      <c r="Z299" s="21">
        <v>0</v>
      </c>
      <c r="AA299" s="21">
        <v>0</v>
      </c>
      <c r="AB299" s="21">
        <v>1</v>
      </c>
      <c r="AC299" s="21">
        <f t="shared" si="169"/>
        <v>1</v>
      </c>
      <c r="AD299" s="15"/>
      <c r="AE299" s="21">
        <v>0</v>
      </c>
      <c r="AF299" s="21">
        <v>0</v>
      </c>
      <c r="AG299" s="21">
        <v>0</v>
      </c>
      <c r="AH299" s="21">
        <v>1</v>
      </c>
      <c r="AI299" s="21">
        <f t="shared" si="170"/>
        <v>1</v>
      </c>
      <c r="AK299" s="128">
        <v>0</v>
      </c>
      <c r="AL299">
        <v>0</v>
      </c>
      <c r="AM299">
        <v>0</v>
      </c>
      <c r="AN299">
        <v>1</v>
      </c>
      <c r="AO299" s="21">
        <f t="shared" si="171"/>
        <v>1</v>
      </c>
      <c r="AQ299">
        <v>0</v>
      </c>
      <c r="AR299">
        <v>0</v>
      </c>
      <c r="AS299">
        <v>0</v>
      </c>
      <c r="AT299">
        <v>1</v>
      </c>
      <c r="AU299" s="21">
        <f t="shared" si="166"/>
        <v>1</v>
      </c>
    </row>
    <row r="300" spans="1:47" x14ac:dyDescent="0.2">
      <c r="A300" s="12">
        <v>7</v>
      </c>
      <c r="B300" s="12" t="s">
        <v>296</v>
      </c>
      <c r="C300" s="12" t="s">
        <v>26</v>
      </c>
      <c r="D300" s="12">
        <v>54.43</v>
      </c>
      <c r="E300" s="12">
        <v>2012</v>
      </c>
      <c r="F300" s="15"/>
      <c r="G300" s="15"/>
      <c r="H300" s="15"/>
      <c r="I300" s="15"/>
      <c r="J300" s="15"/>
      <c r="K300" s="15"/>
      <c r="L300" s="15"/>
      <c r="M300" s="21">
        <v>0</v>
      </c>
      <c r="N300" s="21">
        <v>0</v>
      </c>
      <c r="O300" s="21">
        <v>0</v>
      </c>
      <c r="P300" s="21">
        <v>1</v>
      </c>
      <c r="Q300" s="21">
        <f t="shared" si="167"/>
        <v>1</v>
      </c>
      <c r="R300" s="15"/>
      <c r="S300" s="21">
        <v>0</v>
      </c>
      <c r="T300" s="21">
        <v>0</v>
      </c>
      <c r="U300" s="21">
        <v>0</v>
      </c>
      <c r="V300" s="21">
        <v>1</v>
      </c>
      <c r="W300" s="21">
        <f t="shared" si="168"/>
        <v>1</v>
      </c>
      <c r="X300" s="15"/>
      <c r="Y300" s="21">
        <v>0</v>
      </c>
      <c r="Z300" s="21">
        <v>0</v>
      </c>
      <c r="AA300" s="21">
        <v>0</v>
      </c>
      <c r="AB300" s="21">
        <v>1</v>
      </c>
      <c r="AC300" s="21">
        <f t="shared" si="169"/>
        <v>1</v>
      </c>
      <c r="AD300" s="15"/>
      <c r="AE300" s="21">
        <v>0</v>
      </c>
      <c r="AF300" s="21">
        <v>0</v>
      </c>
      <c r="AG300" s="21">
        <v>0</v>
      </c>
      <c r="AH300" s="21">
        <v>1</v>
      </c>
      <c r="AI300" s="21">
        <f t="shared" si="170"/>
        <v>1</v>
      </c>
      <c r="AK300" s="128">
        <v>0</v>
      </c>
      <c r="AL300">
        <v>0</v>
      </c>
      <c r="AM300">
        <v>0</v>
      </c>
      <c r="AN300">
        <v>1</v>
      </c>
      <c r="AO300" s="21">
        <f t="shared" si="171"/>
        <v>1</v>
      </c>
      <c r="AQ300">
        <v>0</v>
      </c>
      <c r="AR300">
        <v>0</v>
      </c>
      <c r="AS300">
        <v>0</v>
      </c>
      <c r="AT300">
        <v>1</v>
      </c>
      <c r="AU300" s="21">
        <f t="shared" si="166"/>
        <v>1</v>
      </c>
    </row>
    <row r="301" spans="1:47" ht="15" customHeight="1" x14ac:dyDescent="0.2">
      <c r="A301" s="12">
        <v>7</v>
      </c>
      <c r="B301" s="12" t="s">
        <v>315</v>
      </c>
      <c r="C301" s="12" t="s">
        <v>26</v>
      </c>
      <c r="D301" s="12">
        <v>37.83</v>
      </c>
      <c r="E301" s="12">
        <v>2019</v>
      </c>
      <c r="F301" s="15"/>
      <c r="G301" s="15"/>
      <c r="H301" s="15"/>
      <c r="I301" s="15"/>
      <c r="J301" s="15"/>
      <c r="K301" s="15"/>
      <c r="L301" s="15">
        <v>1</v>
      </c>
      <c r="M301" s="21">
        <v>0</v>
      </c>
      <c r="N301" s="21">
        <v>0</v>
      </c>
      <c r="O301" s="21">
        <v>0</v>
      </c>
      <c r="P301" s="21">
        <v>0</v>
      </c>
      <c r="Q301" s="21">
        <f t="shared" si="167"/>
        <v>0</v>
      </c>
      <c r="R301" s="15"/>
      <c r="S301" s="21">
        <v>0</v>
      </c>
      <c r="T301" s="21">
        <v>0</v>
      </c>
      <c r="U301" s="21">
        <v>0</v>
      </c>
      <c r="V301" s="21">
        <v>1</v>
      </c>
      <c r="W301" s="21">
        <f t="shared" si="168"/>
        <v>1</v>
      </c>
      <c r="X301" s="15">
        <v>1</v>
      </c>
      <c r="Y301" s="21">
        <v>0</v>
      </c>
      <c r="Z301" s="21">
        <v>0</v>
      </c>
      <c r="AA301" s="21">
        <v>0</v>
      </c>
      <c r="AB301" s="21">
        <v>0</v>
      </c>
      <c r="AC301" s="21">
        <f t="shared" si="169"/>
        <v>0</v>
      </c>
      <c r="AD301" s="15"/>
      <c r="AE301" s="21">
        <v>0</v>
      </c>
      <c r="AF301" s="21">
        <v>0</v>
      </c>
      <c r="AG301" s="21">
        <v>0</v>
      </c>
      <c r="AH301" s="21">
        <v>0</v>
      </c>
      <c r="AI301" s="21">
        <f t="shared" si="170"/>
        <v>0</v>
      </c>
      <c r="AJ301">
        <v>1</v>
      </c>
      <c r="AK301" s="128">
        <v>0</v>
      </c>
      <c r="AL301">
        <v>0</v>
      </c>
      <c r="AM301">
        <v>0</v>
      </c>
      <c r="AN301">
        <v>0</v>
      </c>
      <c r="AO301" s="21">
        <f t="shared" si="171"/>
        <v>0</v>
      </c>
      <c r="AP301">
        <v>1</v>
      </c>
      <c r="AQ301">
        <v>0</v>
      </c>
      <c r="AR301">
        <v>0</v>
      </c>
      <c r="AS301">
        <v>0</v>
      </c>
      <c r="AT301">
        <v>0</v>
      </c>
      <c r="AU301" s="21">
        <f t="shared" si="166"/>
        <v>0</v>
      </c>
    </row>
    <row r="302" spans="1:47" ht="15" customHeight="1" x14ac:dyDescent="0.2">
      <c r="A302" s="12">
        <v>7</v>
      </c>
      <c r="B302" s="12" t="s">
        <v>314</v>
      </c>
      <c r="C302" s="12" t="s">
        <v>26</v>
      </c>
      <c r="D302" s="12">
        <v>22.95</v>
      </c>
      <c r="E302" s="12">
        <v>2019</v>
      </c>
      <c r="F302" s="15"/>
      <c r="G302" s="15"/>
      <c r="H302" s="15"/>
      <c r="I302" s="15"/>
      <c r="J302" s="15"/>
      <c r="K302" s="15"/>
      <c r="L302" s="15">
        <v>1</v>
      </c>
      <c r="M302" s="21">
        <v>0</v>
      </c>
      <c r="N302" s="21">
        <v>0</v>
      </c>
      <c r="O302" s="21">
        <v>0</v>
      </c>
      <c r="P302" s="21">
        <v>0</v>
      </c>
      <c r="Q302" s="21">
        <f t="shared" si="167"/>
        <v>0</v>
      </c>
      <c r="R302" s="15"/>
      <c r="S302" s="21">
        <v>0</v>
      </c>
      <c r="T302" s="21">
        <v>0</v>
      </c>
      <c r="U302" s="21">
        <v>0</v>
      </c>
      <c r="V302" s="21">
        <v>1</v>
      </c>
      <c r="W302" s="21">
        <f t="shared" si="168"/>
        <v>1</v>
      </c>
      <c r="X302" s="15">
        <v>1</v>
      </c>
      <c r="Y302" s="21">
        <v>0</v>
      </c>
      <c r="Z302" s="21">
        <v>0</v>
      </c>
      <c r="AA302" s="21">
        <v>0</v>
      </c>
      <c r="AB302" s="21">
        <v>0</v>
      </c>
      <c r="AC302" s="21">
        <f t="shared" si="169"/>
        <v>0</v>
      </c>
      <c r="AD302" s="15"/>
      <c r="AE302" s="21">
        <v>0</v>
      </c>
      <c r="AF302" s="21">
        <v>0</v>
      </c>
      <c r="AG302" s="21">
        <v>0</v>
      </c>
      <c r="AH302" s="21">
        <v>0</v>
      </c>
      <c r="AI302" s="21">
        <f t="shared" si="170"/>
        <v>0</v>
      </c>
      <c r="AK302" s="128">
        <v>0</v>
      </c>
      <c r="AL302">
        <v>0</v>
      </c>
      <c r="AM302">
        <v>0</v>
      </c>
      <c r="AN302">
        <v>0</v>
      </c>
      <c r="AO302" s="21">
        <f t="shared" si="171"/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 s="21">
        <f t="shared" si="166"/>
        <v>0</v>
      </c>
    </row>
    <row r="303" spans="1:47" ht="15" customHeight="1" x14ac:dyDescent="0.2">
      <c r="A303" s="12">
        <v>7</v>
      </c>
      <c r="B303" s="12" t="s">
        <v>316</v>
      </c>
      <c r="C303" s="12" t="s">
        <v>26</v>
      </c>
      <c r="D303" s="12">
        <v>3.07</v>
      </c>
      <c r="E303" s="12">
        <v>2021</v>
      </c>
      <c r="F303" s="15"/>
      <c r="G303" s="15"/>
      <c r="H303" s="15"/>
      <c r="I303" s="15"/>
      <c r="J303" s="15"/>
      <c r="K303" s="15"/>
      <c r="L303" s="15">
        <v>1</v>
      </c>
      <c r="M303" s="15"/>
      <c r="N303" s="15"/>
      <c r="O303" s="15"/>
      <c r="P303" s="15"/>
      <c r="Q303" s="21">
        <f t="shared" si="167"/>
        <v>0</v>
      </c>
      <c r="R303" s="15">
        <v>1</v>
      </c>
      <c r="S303" s="15"/>
      <c r="T303" s="15"/>
      <c r="U303" s="15"/>
      <c r="V303" s="15"/>
      <c r="W303" s="21">
        <f t="shared" si="168"/>
        <v>0</v>
      </c>
      <c r="X303" s="15">
        <v>1</v>
      </c>
      <c r="Y303" s="15"/>
      <c r="Z303" s="15"/>
      <c r="AA303" s="15"/>
      <c r="AB303" s="15"/>
      <c r="AC303" s="21">
        <f t="shared" si="169"/>
        <v>0</v>
      </c>
      <c r="AD303" s="15"/>
      <c r="AE303" s="15">
        <v>0</v>
      </c>
      <c r="AF303" s="15">
        <v>0</v>
      </c>
      <c r="AG303" s="15">
        <v>0</v>
      </c>
      <c r="AH303" s="15">
        <v>0</v>
      </c>
      <c r="AI303" s="21">
        <f t="shared" si="170"/>
        <v>0</v>
      </c>
      <c r="AK303" s="128">
        <v>0</v>
      </c>
      <c r="AL303">
        <v>0</v>
      </c>
      <c r="AM303">
        <v>0</v>
      </c>
      <c r="AN303">
        <v>0</v>
      </c>
      <c r="AO303" s="21">
        <f t="shared" si="171"/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 s="21">
        <f t="shared" si="166"/>
        <v>0</v>
      </c>
    </row>
    <row r="304" spans="1:47" ht="15" customHeight="1" x14ac:dyDescent="0.2">
      <c r="A304" s="12">
        <v>7</v>
      </c>
      <c r="B304" s="12" t="s">
        <v>306</v>
      </c>
      <c r="C304" s="12" t="s">
        <v>26</v>
      </c>
      <c r="D304" s="12">
        <v>9.33</v>
      </c>
      <c r="E304" s="12">
        <v>2013</v>
      </c>
      <c r="F304" s="15"/>
      <c r="G304" s="15"/>
      <c r="H304" s="15"/>
      <c r="I304" s="15"/>
      <c r="J304" s="15"/>
      <c r="K304" s="15"/>
      <c r="L304" s="15">
        <v>1</v>
      </c>
      <c r="M304" s="15"/>
      <c r="N304" s="15"/>
      <c r="O304" s="15"/>
      <c r="P304" s="15"/>
      <c r="Q304" s="21">
        <f t="shared" si="167"/>
        <v>0</v>
      </c>
      <c r="R304" s="15">
        <v>1</v>
      </c>
      <c r="S304" s="15"/>
      <c r="T304" s="15"/>
      <c r="U304" s="15"/>
      <c r="V304" s="15"/>
      <c r="W304" s="21">
        <f t="shared" si="168"/>
        <v>0</v>
      </c>
      <c r="X304" s="15">
        <v>1</v>
      </c>
      <c r="Y304" s="15"/>
      <c r="Z304" s="15"/>
      <c r="AA304" s="15"/>
      <c r="AB304" s="15"/>
      <c r="AC304" s="21">
        <f t="shared" si="169"/>
        <v>0</v>
      </c>
      <c r="AD304" s="15"/>
      <c r="AE304" s="15">
        <v>0</v>
      </c>
      <c r="AF304" s="15">
        <v>0</v>
      </c>
      <c r="AG304" s="15">
        <v>0</v>
      </c>
      <c r="AH304" s="15">
        <v>0</v>
      </c>
      <c r="AI304" s="21">
        <f t="shared" si="170"/>
        <v>0</v>
      </c>
      <c r="AJ304">
        <v>0</v>
      </c>
      <c r="AK304" s="128">
        <v>0</v>
      </c>
      <c r="AL304">
        <v>0</v>
      </c>
      <c r="AM304">
        <v>0</v>
      </c>
      <c r="AN304">
        <v>0</v>
      </c>
      <c r="AO304" s="21">
        <f t="shared" si="171"/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 s="21">
        <f t="shared" si="166"/>
        <v>0</v>
      </c>
    </row>
    <row r="305" spans="1:48" ht="15" customHeight="1" x14ac:dyDescent="0.2">
      <c r="A305" s="12">
        <v>7</v>
      </c>
      <c r="B305" s="12" t="s">
        <v>305</v>
      </c>
      <c r="C305" s="12" t="s">
        <v>26</v>
      </c>
      <c r="D305" s="12">
        <v>25.16</v>
      </c>
      <c r="E305" s="12">
        <v>2004</v>
      </c>
      <c r="F305" s="15"/>
      <c r="G305" s="15"/>
      <c r="H305" s="15"/>
      <c r="I305" s="15"/>
      <c r="J305" s="15"/>
      <c r="K305" s="15"/>
      <c r="L305" s="15">
        <v>1</v>
      </c>
      <c r="M305" s="15"/>
      <c r="N305" s="15"/>
      <c r="O305" s="15"/>
      <c r="P305" s="15"/>
      <c r="Q305" s="21">
        <f t="shared" si="167"/>
        <v>0</v>
      </c>
      <c r="R305" s="15">
        <v>1</v>
      </c>
      <c r="S305" s="15"/>
      <c r="T305" s="15"/>
      <c r="U305" s="15"/>
      <c r="V305" s="15"/>
      <c r="W305" s="21">
        <f t="shared" si="168"/>
        <v>0</v>
      </c>
      <c r="X305" s="15">
        <v>1</v>
      </c>
      <c r="Y305" s="15"/>
      <c r="Z305" s="15"/>
      <c r="AA305" s="15"/>
      <c r="AB305" s="15"/>
      <c r="AC305" s="21">
        <f t="shared" si="169"/>
        <v>0</v>
      </c>
      <c r="AD305" s="15">
        <v>1</v>
      </c>
      <c r="AE305" s="15">
        <v>0</v>
      </c>
      <c r="AF305" s="15">
        <v>0</v>
      </c>
      <c r="AG305" s="15">
        <v>0</v>
      </c>
      <c r="AH305" s="15">
        <v>0</v>
      </c>
      <c r="AI305" s="21">
        <f t="shared" si="170"/>
        <v>0</v>
      </c>
      <c r="AJ305">
        <v>1</v>
      </c>
      <c r="AK305" s="128">
        <v>0</v>
      </c>
      <c r="AL305">
        <v>0</v>
      </c>
      <c r="AM305">
        <v>0</v>
      </c>
      <c r="AN305">
        <v>0</v>
      </c>
      <c r="AO305" s="21">
        <f t="shared" si="171"/>
        <v>0</v>
      </c>
      <c r="AP305">
        <v>1</v>
      </c>
      <c r="AQ305">
        <v>0</v>
      </c>
      <c r="AR305">
        <v>0</v>
      </c>
      <c r="AS305">
        <v>0</v>
      </c>
      <c r="AT305">
        <v>0</v>
      </c>
      <c r="AU305" s="21">
        <f t="shared" si="166"/>
        <v>0</v>
      </c>
    </row>
    <row r="306" spans="1:48" x14ac:dyDescent="0.2">
      <c r="A306" s="131" t="s">
        <v>71</v>
      </c>
      <c r="B306" s="131"/>
      <c r="C306" s="131"/>
      <c r="D306" s="13">
        <f>SUM(D258:D305)</f>
        <v>1325.6199999999997</v>
      </c>
      <c r="E306" s="13">
        <f t="shared" ref="E306:AV306" si="172">SUM(E258:E305)</f>
        <v>96151</v>
      </c>
      <c r="F306" s="13">
        <f t="shared" si="172"/>
        <v>0</v>
      </c>
      <c r="G306" s="13">
        <f t="shared" si="172"/>
        <v>0</v>
      </c>
      <c r="H306" s="13">
        <f t="shared" si="172"/>
        <v>0</v>
      </c>
      <c r="I306" s="13">
        <f t="shared" si="172"/>
        <v>0</v>
      </c>
      <c r="J306" s="13">
        <f t="shared" si="172"/>
        <v>0</v>
      </c>
      <c r="K306" s="13">
        <f t="shared" si="172"/>
        <v>0</v>
      </c>
      <c r="L306" s="13">
        <f t="shared" si="172"/>
        <v>24</v>
      </c>
      <c r="M306" s="13">
        <f t="shared" si="172"/>
        <v>3</v>
      </c>
      <c r="N306" s="13">
        <f t="shared" si="172"/>
        <v>2</v>
      </c>
      <c r="O306" s="13">
        <f t="shared" si="172"/>
        <v>16</v>
      </c>
      <c r="P306" s="13">
        <f t="shared" si="172"/>
        <v>24</v>
      </c>
      <c r="Q306" s="13">
        <f t="shared" si="172"/>
        <v>45</v>
      </c>
      <c r="R306" s="13">
        <f t="shared" si="172"/>
        <v>6</v>
      </c>
      <c r="S306" s="13">
        <f t="shared" si="172"/>
        <v>6</v>
      </c>
      <c r="T306" s="13">
        <f t="shared" si="172"/>
        <v>0</v>
      </c>
      <c r="U306" s="13">
        <f t="shared" si="172"/>
        <v>18</v>
      </c>
      <c r="V306" s="13">
        <f t="shared" si="172"/>
        <v>42</v>
      </c>
      <c r="W306" s="13">
        <f t="shared" si="172"/>
        <v>66</v>
      </c>
      <c r="X306" s="13">
        <f t="shared" si="172"/>
        <v>18</v>
      </c>
      <c r="Y306" s="13">
        <f t="shared" si="172"/>
        <v>4</v>
      </c>
      <c r="Z306" s="13">
        <f t="shared" si="172"/>
        <v>3</v>
      </c>
      <c r="AA306" s="13">
        <f t="shared" si="172"/>
        <v>19</v>
      </c>
      <c r="AB306" s="13">
        <f t="shared" si="172"/>
        <v>30</v>
      </c>
      <c r="AC306" s="13">
        <f t="shared" si="172"/>
        <v>56</v>
      </c>
      <c r="AD306" s="13">
        <f t="shared" si="172"/>
        <v>12</v>
      </c>
      <c r="AE306" s="13">
        <f t="shared" si="172"/>
        <v>4</v>
      </c>
      <c r="AF306" s="13">
        <f t="shared" si="172"/>
        <v>2</v>
      </c>
      <c r="AG306" s="13">
        <f t="shared" si="172"/>
        <v>16</v>
      </c>
      <c r="AH306" s="13">
        <f t="shared" si="172"/>
        <v>25</v>
      </c>
      <c r="AI306" s="13">
        <f t="shared" si="172"/>
        <v>47</v>
      </c>
      <c r="AJ306" s="13">
        <f t="shared" si="172"/>
        <v>10</v>
      </c>
      <c r="AK306" s="13">
        <f t="shared" si="172"/>
        <v>4</v>
      </c>
      <c r="AL306" s="13">
        <f t="shared" si="172"/>
        <v>2</v>
      </c>
      <c r="AM306" s="13">
        <f t="shared" si="172"/>
        <v>7</v>
      </c>
      <c r="AN306" s="13">
        <f t="shared" si="172"/>
        <v>26</v>
      </c>
      <c r="AO306" s="13">
        <f t="shared" si="172"/>
        <v>39</v>
      </c>
      <c r="AP306" s="13">
        <f t="shared" si="172"/>
        <v>8</v>
      </c>
      <c r="AQ306" s="13">
        <f t="shared" si="172"/>
        <v>5</v>
      </c>
      <c r="AR306" s="13">
        <f t="shared" si="172"/>
        <v>2</v>
      </c>
      <c r="AS306" s="13">
        <f t="shared" si="172"/>
        <v>7</v>
      </c>
      <c r="AT306" s="13">
        <f t="shared" si="172"/>
        <v>28</v>
      </c>
      <c r="AU306" s="13">
        <f t="shared" si="172"/>
        <v>42</v>
      </c>
      <c r="AV306" s="13">
        <f t="shared" si="172"/>
        <v>0</v>
      </c>
    </row>
    <row r="307" spans="1:48" x14ac:dyDescent="0.2">
      <c r="A307" s="12">
        <v>8</v>
      </c>
      <c r="B307" s="12" t="s">
        <v>469</v>
      </c>
      <c r="C307" s="12" t="s">
        <v>26</v>
      </c>
      <c r="D307" s="12">
        <v>28.17</v>
      </c>
      <c r="E307" s="12">
        <v>1998</v>
      </c>
      <c r="F307" s="15"/>
      <c r="G307" s="15"/>
      <c r="H307" s="15"/>
      <c r="I307" s="15"/>
      <c r="J307" s="15"/>
      <c r="K307" s="15"/>
      <c r="L307" s="15"/>
      <c r="M307" s="21">
        <v>0</v>
      </c>
      <c r="N307" s="21">
        <v>0</v>
      </c>
      <c r="O307" s="21">
        <v>0</v>
      </c>
      <c r="P307" s="21">
        <v>1</v>
      </c>
      <c r="Q307" s="21">
        <f t="shared" si="167"/>
        <v>1</v>
      </c>
      <c r="R307" s="15"/>
      <c r="S307" s="21">
        <v>0</v>
      </c>
      <c r="T307" s="21">
        <v>0</v>
      </c>
      <c r="U307" s="21">
        <v>0</v>
      </c>
      <c r="V307" s="21">
        <v>1</v>
      </c>
      <c r="W307" s="21">
        <f t="shared" si="168"/>
        <v>1</v>
      </c>
      <c r="X307" s="15"/>
      <c r="Y307" s="21">
        <v>1</v>
      </c>
      <c r="Z307" s="21">
        <v>0</v>
      </c>
      <c r="AA307" s="21">
        <v>0</v>
      </c>
      <c r="AB307" s="21">
        <v>1</v>
      </c>
      <c r="AC307" s="21">
        <f t="shared" si="169"/>
        <v>2</v>
      </c>
      <c r="AD307" s="15"/>
      <c r="AE307" s="21">
        <v>1</v>
      </c>
      <c r="AF307" s="21">
        <v>1</v>
      </c>
      <c r="AG307" s="21">
        <v>2</v>
      </c>
      <c r="AH307" s="21">
        <v>0</v>
      </c>
      <c r="AI307" s="21">
        <f t="shared" si="170"/>
        <v>4</v>
      </c>
      <c r="AK307" s="128">
        <v>1</v>
      </c>
      <c r="AL307">
        <v>0</v>
      </c>
      <c r="AM307">
        <v>0</v>
      </c>
      <c r="AN307">
        <v>0</v>
      </c>
      <c r="AO307" s="21">
        <f t="shared" si="171"/>
        <v>1</v>
      </c>
      <c r="AQ307">
        <v>1</v>
      </c>
      <c r="AR307">
        <v>3</v>
      </c>
      <c r="AS307">
        <v>0</v>
      </c>
      <c r="AT307">
        <v>0</v>
      </c>
      <c r="AU307" s="21">
        <f t="shared" si="166"/>
        <v>4</v>
      </c>
    </row>
    <row r="308" spans="1:48" x14ac:dyDescent="0.2">
      <c r="A308" s="12">
        <v>8</v>
      </c>
      <c r="B308" s="12" t="s">
        <v>470</v>
      </c>
      <c r="C308" s="12" t="s">
        <v>26</v>
      </c>
      <c r="D308" s="12">
        <v>30.42</v>
      </c>
      <c r="E308" s="12">
        <v>1998</v>
      </c>
      <c r="F308" s="15"/>
      <c r="G308" s="15"/>
      <c r="H308" s="15"/>
      <c r="I308" s="15"/>
      <c r="J308" s="15"/>
      <c r="K308" s="15"/>
      <c r="L308" s="15"/>
      <c r="M308" s="21">
        <v>0</v>
      </c>
      <c r="N308" s="21">
        <v>0</v>
      </c>
      <c r="O308" s="21">
        <v>0</v>
      </c>
      <c r="P308" s="21">
        <v>1</v>
      </c>
      <c r="Q308" s="21">
        <f t="shared" si="167"/>
        <v>1</v>
      </c>
      <c r="R308" s="15">
        <v>1</v>
      </c>
      <c r="S308" s="21">
        <v>0</v>
      </c>
      <c r="T308" s="21">
        <v>0</v>
      </c>
      <c r="U308" s="21">
        <v>0</v>
      </c>
      <c r="V308" s="21">
        <v>0</v>
      </c>
      <c r="W308" s="21">
        <f t="shared" si="168"/>
        <v>0</v>
      </c>
      <c r="X308" s="15"/>
      <c r="Y308" s="21">
        <v>0</v>
      </c>
      <c r="Z308" s="21">
        <v>0</v>
      </c>
      <c r="AA308" s="21">
        <v>0</v>
      </c>
      <c r="AB308" s="21">
        <v>1</v>
      </c>
      <c r="AC308" s="21">
        <f t="shared" si="169"/>
        <v>1</v>
      </c>
      <c r="AD308" s="15">
        <v>1</v>
      </c>
      <c r="AE308" s="21">
        <v>0</v>
      </c>
      <c r="AF308" s="21">
        <v>0</v>
      </c>
      <c r="AG308" s="21">
        <v>0</v>
      </c>
      <c r="AH308" s="21">
        <v>0</v>
      </c>
      <c r="AI308" s="21">
        <f t="shared" si="170"/>
        <v>0</v>
      </c>
      <c r="AK308" s="128">
        <v>1</v>
      </c>
      <c r="AL308">
        <v>0</v>
      </c>
      <c r="AM308">
        <v>2</v>
      </c>
      <c r="AN308">
        <v>0</v>
      </c>
      <c r="AO308" s="21">
        <f t="shared" si="171"/>
        <v>3</v>
      </c>
      <c r="AQ308">
        <v>1</v>
      </c>
      <c r="AR308">
        <v>0</v>
      </c>
      <c r="AS308">
        <v>2</v>
      </c>
      <c r="AT308">
        <v>0</v>
      </c>
      <c r="AU308" s="21">
        <f t="shared" si="166"/>
        <v>3</v>
      </c>
    </row>
    <row r="309" spans="1:48" x14ac:dyDescent="0.2">
      <c r="A309" s="12">
        <v>8</v>
      </c>
      <c r="B309" s="12" t="s">
        <v>471</v>
      </c>
      <c r="C309" s="12" t="s">
        <v>26</v>
      </c>
      <c r="D309" s="12">
        <v>30.82</v>
      </c>
      <c r="E309" s="12">
        <v>1998</v>
      </c>
      <c r="F309" s="15"/>
      <c r="G309" s="15"/>
      <c r="H309" s="15"/>
      <c r="I309" s="15"/>
      <c r="J309" s="15"/>
      <c r="K309" s="15"/>
      <c r="L309" s="15"/>
      <c r="M309" s="21">
        <v>0</v>
      </c>
      <c r="N309" s="21">
        <v>0</v>
      </c>
      <c r="O309" s="21">
        <v>0</v>
      </c>
      <c r="P309" s="21">
        <v>1</v>
      </c>
      <c r="Q309" s="21">
        <f t="shared" si="167"/>
        <v>1</v>
      </c>
      <c r="R309" s="15">
        <v>1</v>
      </c>
      <c r="S309" s="21">
        <v>0</v>
      </c>
      <c r="T309" s="21">
        <v>0</v>
      </c>
      <c r="U309" s="21">
        <v>0</v>
      </c>
      <c r="V309" s="21">
        <v>0</v>
      </c>
      <c r="W309" s="21">
        <f t="shared" si="168"/>
        <v>0</v>
      </c>
      <c r="X309" s="15"/>
      <c r="Y309" s="21">
        <v>0</v>
      </c>
      <c r="Z309" s="21">
        <v>0</v>
      </c>
      <c r="AA309" s="21">
        <v>0</v>
      </c>
      <c r="AB309" s="21">
        <v>1</v>
      </c>
      <c r="AC309" s="21">
        <f t="shared" si="169"/>
        <v>1</v>
      </c>
      <c r="AD309" s="15"/>
      <c r="AE309" s="21">
        <v>1</v>
      </c>
      <c r="AF309" s="21">
        <v>1</v>
      </c>
      <c r="AG309" s="21">
        <v>0</v>
      </c>
      <c r="AH309" s="21">
        <v>0</v>
      </c>
      <c r="AI309" s="21">
        <f t="shared" si="170"/>
        <v>2</v>
      </c>
      <c r="AK309" s="128">
        <v>1</v>
      </c>
      <c r="AL309">
        <v>0</v>
      </c>
      <c r="AM309">
        <v>0</v>
      </c>
      <c r="AN309">
        <v>0</v>
      </c>
      <c r="AO309" s="21">
        <f t="shared" si="171"/>
        <v>1</v>
      </c>
      <c r="AQ309">
        <v>1</v>
      </c>
      <c r="AR309">
        <v>0</v>
      </c>
      <c r="AS309">
        <v>0</v>
      </c>
      <c r="AT309">
        <v>0</v>
      </c>
      <c r="AU309" s="21">
        <f t="shared" si="166"/>
        <v>1</v>
      </c>
    </row>
    <row r="310" spans="1:48" x14ac:dyDescent="0.2">
      <c r="A310" s="12">
        <v>8</v>
      </c>
      <c r="B310" s="12" t="s">
        <v>472</v>
      </c>
      <c r="C310" s="12" t="s">
        <v>26</v>
      </c>
      <c r="D310" s="12">
        <v>28.93</v>
      </c>
      <c r="E310" s="12">
        <v>1998</v>
      </c>
      <c r="F310" s="15"/>
      <c r="G310" s="15"/>
      <c r="H310" s="15"/>
      <c r="I310" s="15"/>
      <c r="J310" s="15"/>
      <c r="K310" s="15"/>
      <c r="L310" s="15"/>
      <c r="M310" s="21">
        <v>0</v>
      </c>
      <c r="N310" s="21">
        <v>0</v>
      </c>
      <c r="O310" s="21">
        <v>0</v>
      </c>
      <c r="P310" s="21">
        <v>1</v>
      </c>
      <c r="Q310" s="21">
        <f t="shared" si="167"/>
        <v>1</v>
      </c>
      <c r="R310" s="15">
        <v>1</v>
      </c>
      <c r="S310" s="21">
        <v>0</v>
      </c>
      <c r="T310" s="21">
        <v>0</v>
      </c>
      <c r="U310" s="21">
        <v>0</v>
      </c>
      <c r="V310" s="21">
        <v>0</v>
      </c>
      <c r="W310" s="21">
        <f t="shared" si="168"/>
        <v>0</v>
      </c>
      <c r="X310" s="15">
        <v>1</v>
      </c>
      <c r="Y310" s="21">
        <v>0</v>
      </c>
      <c r="Z310" s="21">
        <v>0</v>
      </c>
      <c r="AA310" s="21">
        <v>0</v>
      </c>
      <c r="AB310" s="21">
        <v>0</v>
      </c>
      <c r="AC310" s="21">
        <f t="shared" si="169"/>
        <v>0</v>
      </c>
      <c r="AD310" s="15"/>
      <c r="AE310" s="21">
        <v>1</v>
      </c>
      <c r="AF310" s="21">
        <v>0</v>
      </c>
      <c r="AG310" s="21">
        <v>0</v>
      </c>
      <c r="AH310" s="21">
        <v>0</v>
      </c>
      <c r="AI310" s="21">
        <f t="shared" si="170"/>
        <v>1</v>
      </c>
      <c r="AK310" s="128">
        <v>1</v>
      </c>
      <c r="AL310">
        <v>0</v>
      </c>
      <c r="AM310">
        <v>0</v>
      </c>
      <c r="AN310">
        <v>0</v>
      </c>
      <c r="AO310" s="21">
        <f t="shared" si="171"/>
        <v>1</v>
      </c>
      <c r="AQ310">
        <v>1</v>
      </c>
      <c r="AR310">
        <v>0</v>
      </c>
      <c r="AS310">
        <v>0</v>
      </c>
      <c r="AT310">
        <v>0</v>
      </c>
      <c r="AU310" s="21">
        <f t="shared" si="166"/>
        <v>1</v>
      </c>
    </row>
    <row r="311" spans="1:48" x14ac:dyDescent="0.2">
      <c r="A311" s="12">
        <v>8</v>
      </c>
      <c r="B311" s="12" t="s">
        <v>473</v>
      </c>
      <c r="C311" s="12" t="s">
        <v>26</v>
      </c>
      <c r="D311" s="12">
        <v>28.65</v>
      </c>
      <c r="E311" s="12">
        <v>1998</v>
      </c>
      <c r="F311" s="15"/>
      <c r="G311" s="15"/>
      <c r="H311" s="15"/>
      <c r="I311" s="15"/>
      <c r="J311" s="15"/>
      <c r="K311" s="15"/>
      <c r="L311" s="15"/>
      <c r="M311" s="21">
        <v>0</v>
      </c>
      <c r="N311" s="21">
        <v>0</v>
      </c>
      <c r="O311" s="21">
        <v>0</v>
      </c>
      <c r="P311" s="21">
        <v>1</v>
      </c>
      <c r="Q311" s="21">
        <f t="shared" si="167"/>
        <v>1</v>
      </c>
      <c r="R311" s="15"/>
      <c r="S311" s="21">
        <v>0</v>
      </c>
      <c r="T311" s="21">
        <v>0</v>
      </c>
      <c r="U311" s="21">
        <v>0</v>
      </c>
      <c r="V311" s="21">
        <v>1</v>
      </c>
      <c r="W311" s="21">
        <f t="shared" si="168"/>
        <v>1</v>
      </c>
      <c r="X311" s="15"/>
      <c r="Y311" s="21">
        <v>0</v>
      </c>
      <c r="Z311" s="21">
        <v>0</v>
      </c>
      <c r="AA311" s="21">
        <v>0</v>
      </c>
      <c r="AB311" s="21">
        <v>1</v>
      </c>
      <c r="AC311" s="21">
        <f t="shared" si="169"/>
        <v>1</v>
      </c>
      <c r="AD311" s="15"/>
      <c r="AE311" s="21">
        <v>1</v>
      </c>
      <c r="AF311" s="21">
        <v>0</v>
      </c>
      <c r="AG311" s="21">
        <v>0</v>
      </c>
      <c r="AH311" s="21">
        <v>0</v>
      </c>
      <c r="AI311" s="21">
        <f t="shared" si="170"/>
        <v>1</v>
      </c>
      <c r="AK311" s="128">
        <v>1</v>
      </c>
      <c r="AL311">
        <v>0</v>
      </c>
      <c r="AM311">
        <v>0</v>
      </c>
      <c r="AN311">
        <v>0</v>
      </c>
      <c r="AO311" s="21">
        <f t="shared" si="171"/>
        <v>1</v>
      </c>
      <c r="AQ311">
        <v>1</v>
      </c>
      <c r="AR311">
        <v>0</v>
      </c>
      <c r="AS311">
        <v>0</v>
      </c>
      <c r="AT311">
        <v>0</v>
      </c>
      <c r="AU311" s="21">
        <f t="shared" si="166"/>
        <v>1</v>
      </c>
    </row>
    <row r="312" spans="1:48" x14ac:dyDescent="0.2">
      <c r="A312" s="12">
        <v>8</v>
      </c>
      <c r="B312" s="12" t="s">
        <v>474</v>
      </c>
      <c r="C312" s="12" t="s">
        <v>26</v>
      </c>
      <c r="D312" s="12">
        <v>28.6</v>
      </c>
      <c r="E312" s="12">
        <v>1998</v>
      </c>
      <c r="F312" s="15"/>
      <c r="G312" s="15"/>
      <c r="H312" s="15"/>
      <c r="I312" s="15"/>
      <c r="J312" s="15"/>
      <c r="K312" s="15"/>
      <c r="L312" s="15"/>
      <c r="M312" s="21">
        <v>0</v>
      </c>
      <c r="N312" s="21">
        <v>0</v>
      </c>
      <c r="O312" s="21">
        <v>0</v>
      </c>
      <c r="P312" s="21">
        <v>1</v>
      </c>
      <c r="Q312" s="21">
        <f t="shared" si="167"/>
        <v>1</v>
      </c>
      <c r="R312" s="15"/>
      <c r="S312" s="21">
        <v>0</v>
      </c>
      <c r="T312" s="21">
        <v>0</v>
      </c>
      <c r="U312" s="21">
        <v>0</v>
      </c>
      <c r="V312" s="21">
        <v>1</v>
      </c>
      <c r="W312" s="21">
        <f t="shared" si="168"/>
        <v>1</v>
      </c>
      <c r="X312" s="15"/>
      <c r="Y312" s="21">
        <v>1</v>
      </c>
      <c r="Z312" s="21">
        <v>0</v>
      </c>
      <c r="AA312" s="21">
        <v>0</v>
      </c>
      <c r="AB312" s="21">
        <v>1</v>
      </c>
      <c r="AC312" s="21">
        <f t="shared" si="169"/>
        <v>2</v>
      </c>
      <c r="AD312" s="15"/>
      <c r="AE312" s="21">
        <v>1</v>
      </c>
      <c r="AF312" s="21">
        <v>0</v>
      </c>
      <c r="AG312" s="21">
        <v>2</v>
      </c>
      <c r="AH312" s="21">
        <v>0</v>
      </c>
      <c r="AI312" s="21">
        <f t="shared" si="170"/>
        <v>3</v>
      </c>
      <c r="AK312" s="128">
        <v>1</v>
      </c>
      <c r="AL312">
        <v>0</v>
      </c>
      <c r="AM312">
        <v>0</v>
      </c>
      <c r="AN312">
        <v>0</v>
      </c>
      <c r="AO312" s="21">
        <f t="shared" si="171"/>
        <v>1</v>
      </c>
      <c r="AQ312">
        <v>1</v>
      </c>
      <c r="AR312">
        <v>0</v>
      </c>
      <c r="AS312">
        <v>0</v>
      </c>
      <c r="AT312">
        <v>0</v>
      </c>
      <c r="AU312" s="21">
        <f t="shared" si="166"/>
        <v>1</v>
      </c>
    </row>
    <row r="313" spans="1:48" x14ac:dyDescent="0.2">
      <c r="A313" s="12">
        <v>8</v>
      </c>
      <c r="B313" s="12" t="s">
        <v>475</v>
      </c>
      <c r="C313" s="12" t="s">
        <v>26</v>
      </c>
      <c r="D313" s="12">
        <v>29.84</v>
      </c>
      <c r="E313" s="12">
        <v>1998</v>
      </c>
      <c r="F313" s="15"/>
      <c r="G313" s="15"/>
      <c r="H313" s="15"/>
      <c r="I313" s="15"/>
      <c r="J313" s="15"/>
      <c r="K313" s="15"/>
      <c r="L313" s="15"/>
      <c r="M313" s="21">
        <v>0</v>
      </c>
      <c r="N313" s="21">
        <v>0</v>
      </c>
      <c r="O313" s="21">
        <v>0</v>
      </c>
      <c r="P313" s="21">
        <v>1</v>
      </c>
      <c r="Q313" s="21">
        <f t="shared" si="167"/>
        <v>1</v>
      </c>
      <c r="R313" s="15"/>
      <c r="S313" s="21">
        <v>0</v>
      </c>
      <c r="T313" s="21">
        <v>0</v>
      </c>
      <c r="U313" s="21">
        <v>0</v>
      </c>
      <c r="V313" s="21">
        <v>1</v>
      </c>
      <c r="W313" s="21">
        <f t="shared" si="168"/>
        <v>1</v>
      </c>
      <c r="X313" s="15">
        <v>1</v>
      </c>
      <c r="Y313" s="21">
        <v>0</v>
      </c>
      <c r="Z313" s="21">
        <v>0</v>
      </c>
      <c r="AA313" s="21">
        <v>0</v>
      </c>
      <c r="AB313" s="21">
        <v>0</v>
      </c>
      <c r="AC313" s="21">
        <f t="shared" si="169"/>
        <v>0</v>
      </c>
      <c r="AD313" s="15"/>
      <c r="AE313" s="21">
        <v>0</v>
      </c>
      <c r="AF313" s="21">
        <v>0</v>
      </c>
      <c r="AG313" s="21">
        <v>0</v>
      </c>
      <c r="AH313" s="21">
        <v>1</v>
      </c>
      <c r="AI313" s="21">
        <f t="shared" si="170"/>
        <v>1</v>
      </c>
      <c r="AK313" s="128">
        <v>0</v>
      </c>
      <c r="AL313">
        <v>0</v>
      </c>
      <c r="AM313">
        <v>0</v>
      </c>
      <c r="AN313">
        <v>1</v>
      </c>
      <c r="AO313" s="21">
        <f t="shared" si="171"/>
        <v>1</v>
      </c>
      <c r="AQ313">
        <v>1</v>
      </c>
      <c r="AR313">
        <v>0</v>
      </c>
      <c r="AS313">
        <v>0</v>
      </c>
      <c r="AT313">
        <v>0</v>
      </c>
      <c r="AU313" s="21">
        <f t="shared" si="166"/>
        <v>1</v>
      </c>
    </row>
    <row r="314" spans="1:48" x14ac:dyDescent="0.2">
      <c r="A314" s="12">
        <v>8</v>
      </c>
      <c r="B314" s="12" t="s">
        <v>476</v>
      </c>
      <c r="C314" s="12" t="s">
        <v>26</v>
      </c>
      <c r="D314" s="12">
        <v>28.41</v>
      </c>
      <c r="E314" s="12">
        <v>1998</v>
      </c>
      <c r="F314" s="15"/>
      <c r="G314" s="15"/>
      <c r="H314" s="15"/>
      <c r="I314" s="15"/>
      <c r="J314" s="15"/>
      <c r="K314" s="15"/>
      <c r="L314" s="15"/>
      <c r="M314" s="21">
        <v>0</v>
      </c>
      <c r="N314" s="21">
        <v>0</v>
      </c>
      <c r="O314" s="21">
        <v>0</v>
      </c>
      <c r="P314" s="21">
        <v>1</v>
      </c>
      <c r="Q314" s="21">
        <f t="shared" si="167"/>
        <v>1</v>
      </c>
      <c r="R314" s="15"/>
      <c r="S314" s="21">
        <v>0</v>
      </c>
      <c r="T314" s="21">
        <v>0</v>
      </c>
      <c r="U314" s="21">
        <v>0</v>
      </c>
      <c r="V314" s="21">
        <v>1</v>
      </c>
      <c r="W314" s="21">
        <f t="shared" si="168"/>
        <v>1</v>
      </c>
      <c r="X314" s="15"/>
      <c r="Y314" s="21">
        <v>1</v>
      </c>
      <c r="Z314" s="21">
        <v>0</v>
      </c>
      <c r="AA314" s="21">
        <v>0</v>
      </c>
      <c r="AB314" s="21">
        <v>1</v>
      </c>
      <c r="AC314" s="21">
        <f t="shared" si="169"/>
        <v>2</v>
      </c>
      <c r="AD314" s="15"/>
      <c r="AE314" s="21">
        <v>0</v>
      </c>
      <c r="AF314" s="21">
        <v>0</v>
      </c>
      <c r="AG314" s="21">
        <v>0</v>
      </c>
      <c r="AH314" s="21">
        <v>1</v>
      </c>
      <c r="AI314" s="21">
        <f t="shared" si="170"/>
        <v>1</v>
      </c>
      <c r="AK314" s="128">
        <v>1</v>
      </c>
      <c r="AL314">
        <v>0</v>
      </c>
      <c r="AM314">
        <v>0</v>
      </c>
      <c r="AN314">
        <v>0</v>
      </c>
      <c r="AO314" s="21">
        <f t="shared" si="171"/>
        <v>1</v>
      </c>
      <c r="AQ314">
        <v>1</v>
      </c>
      <c r="AR314">
        <v>0</v>
      </c>
      <c r="AS314">
        <v>0</v>
      </c>
      <c r="AT314">
        <v>0</v>
      </c>
      <c r="AU314" s="21">
        <f t="shared" si="166"/>
        <v>1</v>
      </c>
    </row>
    <row r="315" spans="1:48" x14ac:dyDescent="0.2">
      <c r="A315" s="12">
        <v>8</v>
      </c>
      <c r="B315" s="12" t="s">
        <v>477</v>
      </c>
      <c r="C315" s="12" t="s">
        <v>26</v>
      </c>
      <c r="D315" s="12">
        <v>27.74</v>
      </c>
      <c r="E315" s="12">
        <v>1998</v>
      </c>
      <c r="F315" s="15"/>
      <c r="G315" s="15"/>
      <c r="H315" s="15"/>
      <c r="I315" s="15"/>
      <c r="J315" s="15"/>
      <c r="K315" s="15"/>
      <c r="L315" s="15"/>
      <c r="M315" s="21">
        <v>1</v>
      </c>
      <c r="N315" s="21">
        <v>0</v>
      </c>
      <c r="O315" s="21">
        <v>0</v>
      </c>
      <c r="P315" s="21">
        <v>1</v>
      </c>
      <c r="Q315" s="21">
        <f t="shared" si="167"/>
        <v>2</v>
      </c>
      <c r="R315" s="15"/>
      <c r="S315" s="21">
        <v>1</v>
      </c>
      <c r="T315" s="21">
        <v>0</v>
      </c>
      <c r="U315" s="21">
        <v>1</v>
      </c>
      <c r="V315" s="21">
        <v>1</v>
      </c>
      <c r="W315" s="21">
        <f t="shared" si="168"/>
        <v>3</v>
      </c>
      <c r="X315" s="15"/>
      <c r="Y315" s="21">
        <v>0</v>
      </c>
      <c r="Z315" s="21">
        <v>0</v>
      </c>
      <c r="AA315" s="21">
        <v>0</v>
      </c>
      <c r="AB315" s="21">
        <v>1</v>
      </c>
      <c r="AC315" s="21">
        <f t="shared" si="169"/>
        <v>1</v>
      </c>
      <c r="AD315" s="15"/>
      <c r="AE315" s="21">
        <v>0</v>
      </c>
      <c r="AF315" s="21">
        <v>0</v>
      </c>
      <c r="AG315" s="21">
        <v>0</v>
      </c>
      <c r="AH315" s="21">
        <v>1</v>
      </c>
      <c r="AI315" s="21">
        <f t="shared" si="170"/>
        <v>1</v>
      </c>
      <c r="AK315" s="128">
        <v>1</v>
      </c>
      <c r="AL315">
        <v>0</v>
      </c>
      <c r="AM315">
        <v>0</v>
      </c>
      <c r="AN315">
        <v>0</v>
      </c>
      <c r="AO315" s="21">
        <f t="shared" si="171"/>
        <v>1</v>
      </c>
      <c r="AQ315">
        <v>1</v>
      </c>
      <c r="AR315">
        <v>0</v>
      </c>
      <c r="AS315">
        <v>0</v>
      </c>
      <c r="AT315">
        <v>0</v>
      </c>
      <c r="AU315" s="21">
        <f t="shared" si="166"/>
        <v>1</v>
      </c>
    </row>
    <row r="316" spans="1:48" x14ac:dyDescent="0.2">
      <c r="A316" s="12">
        <v>8</v>
      </c>
      <c r="B316" s="12" t="s">
        <v>478</v>
      </c>
      <c r="C316" s="12" t="s">
        <v>26</v>
      </c>
      <c r="D316" s="12">
        <v>28.97</v>
      </c>
      <c r="E316" s="12">
        <v>1999</v>
      </c>
      <c r="F316" s="15"/>
      <c r="G316" s="15"/>
      <c r="H316" s="15"/>
      <c r="I316" s="15"/>
      <c r="J316" s="15"/>
      <c r="K316" s="15"/>
      <c r="L316" s="15"/>
      <c r="M316" s="21">
        <v>1</v>
      </c>
      <c r="N316" s="21">
        <v>0</v>
      </c>
      <c r="O316" s="21">
        <v>0</v>
      </c>
      <c r="P316" s="21">
        <v>1</v>
      </c>
      <c r="Q316" s="21">
        <f t="shared" si="167"/>
        <v>2</v>
      </c>
      <c r="R316" s="15"/>
      <c r="S316" s="21">
        <v>1</v>
      </c>
      <c r="T316" s="21">
        <v>0</v>
      </c>
      <c r="U316" s="21">
        <v>0</v>
      </c>
      <c r="V316" s="21">
        <v>1</v>
      </c>
      <c r="W316" s="21">
        <f t="shared" si="168"/>
        <v>2</v>
      </c>
      <c r="X316" s="15"/>
      <c r="Y316" s="21">
        <v>1</v>
      </c>
      <c r="Z316" s="21">
        <v>0</v>
      </c>
      <c r="AA316" s="21">
        <v>0</v>
      </c>
      <c r="AB316" s="21">
        <v>1</v>
      </c>
      <c r="AC316" s="21">
        <f t="shared" si="169"/>
        <v>2</v>
      </c>
      <c r="AD316" s="15"/>
      <c r="AE316" s="21">
        <v>1</v>
      </c>
      <c r="AF316" s="21">
        <v>0</v>
      </c>
      <c r="AG316" s="21">
        <v>10</v>
      </c>
      <c r="AH316" s="21">
        <v>0</v>
      </c>
      <c r="AI316" s="21">
        <f t="shared" si="170"/>
        <v>11</v>
      </c>
      <c r="AK316" s="128">
        <v>0</v>
      </c>
      <c r="AL316">
        <v>0</v>
      </c>
      <c r="AM316">
        <v>3</v>
      </c>
      <c r="AN316">
        <v>0</v>
      </c>
      <c r="AO316" s="21">
        <f t="shared" si="171"/>
        <v>3</v>
      </c>
      <c r="AQ316">
        <v>1</v>
      </c>
      <c r="AR316">
        <v>0</v>
      </c>
      <c r="AS316">
        <v>5</v>
      </c>
      <c r="AT316">
        <v>0</v>
      </c>
      <c r="AU316" s="21">
        <f t="shared" si="166"/>
        <v>6</v>
      </c>
    </row>
    <row r="317" spans="1:48" x14ac:dyDescent="0.2">
      <c r="A317" s="12">
        <v>8</v>
      </c>
      <c r="B317" s="12" t="s">
        <v>479</v>
      </c>
      <c r="C317" s="12" t="s">
        <v>26</v>
      </c>
      <c r="D317" s="12">
        <v>26.36</v>
      </c>
      <c r="E317" s="12">
        <v>1999</v>
      </c>
      <c r="F317" s="15"/>
      <c r="G317" s="15"/>
      <c r="H317" s="15"/>
      <c r="I317" s="15"/>
      <c r="J317" s="15"/>
      <c r="K317" s="15"/>
      <c r="L317" s="15"/>
      <c r="M317" s="21">
        <v>0</v>
      </c>
      <c r="N317" s="21">
        <v>0</v>
      </c>
      <c r="O317" s="21">
        <v>0</v>
      </c>
      <c r="P317" s="21">
        <v>1</v>
      </c>
      <c r="Q317" s="21">
        <f t="shared" si="167"/>
        <v>1</v>
      </c>
      <c r="R317" s="15">
        <v>1</v>
      </c>
      <c r="S317" s="21">
        <v>0</v>
      </c>
      <c r="T317" s="21">
        <v>0</v>
      </c>
      <c r="U317" s="21">
        <v>0</v>
      </c>
      <c r="V317" s="21">
        <v>0</v>
      </c>
      <c r="W317" s="21">
        <f t="shared" si="168"/>
        <v>0</v>
      </c>
      <c r="X317" s="15"/>
      <c r="Y317" s="21">
        <v>1</v>
      </c>
      <c r="Z317" s="21">
        <v>0</v>
      </c>
      <c r="AA317" s="21">
        <v>0</v>
      </c>
      <c r="AB317" s="21">
        <v>1</v>
      </c>
      <c r="AC317" s="21">
        <f t="shared" si="169"/>
        <v>2</v>
      </c>
      <c r="AD317" s="15"/>
      <c r="AE317" s="21">
        <v>1</v>
      </c>
      <c r="AF317" s="21">
        <v>0</v>
      </c>
      <c r="AG317" s="21">
        <v>0</v>
      </c>
      <c r="AH317" s="21">
        <v>0</v>
      </c>
      <c r="AI317" s="21">
        <f t="shared" si="170"/>
        <v>1</v>
      </c>
      <c r="AK317" s="128">
        <v>0</v>
      </c>
      <c r="AL317">
        <v>0</v>
      </c>
      <c r="AM317">
        <v>0</v>
      </c>
      <c r="AN317">
        <v>1</v>
      </c>
      <c r="AO317" s="21">
        <f t="shared" si="171"/>
        <v>1</v>
      </c>
      <c r="AQ317">
        <v>1</v>
      </c>
      <c r="AR317">
        <v>0</v>
      </c>
      <c r="AS317">
        <v>1</v>
      </c>
      <c r="AT317">
        <v>0</v>
      </c>
      <c r="AU317" s="21">
        <f t="shared" si="166"/>
        <v>2</v>
      </c>
    </row>
    <row r="318" spans="1:48" ht="15" customHeight="1" x14ac:dyDescent="0.2">
      <c r="A318" s="12">
        <v>8</v>
      </c>
      <c r="B318" s="12" t="s">
        <v>480</v>
      </c>
      <c r="C318" s="12" t="s">
        <v>26</v>
      </c>
      <c r="D318" s="12">
        <v>27.39</v>
      </c>
      <c r="E318" s="12">
        <v>1999</v>
      </c>
      <c r="F318" s="15"/>
      <c r="G318" s="15"/>
      <c r="H318" s="15"/>
      <c r="I318" s="15"/>
      <c r="J318" s="15"/>
      <c r="K318" s="15"/>
      <c r="L318" s="15">
        <v>1</v>
      </c>
      <c r="M318" s="21">
        <v>0</v>
      </c>
      <c r="N318" s="21">
        <v>0</v>
      </c>
      <c r="O318" s="21">
        <v>0</v>
      </c>
      <c r="P318" s="21">
        <v>0</v>
      </c>
      <c r="Q318" s="21">
        <f t="shared" si="167"/>
        <v>0</v>
      </c>
      <c r="R318" s="15">
        <v>1</v>
      </c>
      <c r="S318" s="21">
        <v>0</v>
      </c>
      <c r="T318" s="21">
        <v>0</v>
      </c>
      <c r="U318" s="21">
        <v>0</v>
      </c>
      <c r="V318" s="21">
        <v>0</v>
      </c>
      <c r="W318" s="21">
        <f t="shared" si="168"/>
        <v>0</v>
      </c>
      <c r="X318" s="15">
        <v>1</v>
      </c>
      <c r="Y318" s="21">
        <v>0</v>
      </c>
      <c r="Z318" s="21">
        <v>0</v>
      </c>
      <c r="AA318" s="21">
        <v>0</v>
      </c>
      <c r="AB318" s="21">
        <v>0</v>
      </c>
      <c r="AC318" s="21">
        <f t="shared" si="169"/>
        <v>0</v>
      </c>
      <c r="AD318" s="15"/>
      <c r="AE318" s="21">
        <v>1</v>
      </c>
      <c r="AF318" s="21">
        <v>0</v>
      </c>
      <c r="AG318" s="21">
        <v>0</v>
      </c>
      <c r="AH318" s="21">
        <v>0</v>
      </c>
      <c r="AI318" s="21">
        <f t="shared" si="170"/>
        <v>1</v>
      </c>
      <c r="AK318" s="128">
        <v>0</v>
      </c>
      <c r="AL318">
        <v>0</v>
      </c>
      <c r="AM318">
        <v>0</v>
      </c>
      <c r="AN318">
        <v>1</v>
      </c>
      <c r="AO318" s="21">
        <f t="shared" si="171"/>
        <v>1</v>
      </c>
      <c r="AQ318">
        <v>1</v>
      </c>
      <c r="AR318">
        <v>0</v>
      </c>
      <c r="AS318">
        <v>0</v>
      </c>
      <c r="AT318">
        <v>0</v>
      </c>
      <c r="AU318" s="21">
        <f t="shared" si="166"/>
        <v>1</v>
      </c>
    </row>
    <row r="319" spans="1:48" x14ac:dyDescent="0.2">
      <c r="A319" s="12">
        <v>8</v>
      </c>
      <c r="B319" s="12" t="s">
        <v>481</v>
      </c>
      <c r="C319" s="12" t="s">
        <v>26</v>
      </c>
      <c r="D319" s="12">
        <v>29.18</v>
      </c>
      <c r="E319" s="12">
        <v>1999</v>
      </c>
      <c r="F319" s="15"/>
      <c r="G319" s="15"/>
      <c r="H319" s="15"/>
      <c r="I319" s="15"/>
      <c r="J319" s="15"/>
      <c r="K319" s="15"/>
      <c r="L319" s="15"/>
      <c r="M319" s="21">
        <v>0</v>
      </c>
      <c r="N319" s="21">
        <v>0</v>
      </c>
      <c r="O319" s="21">
        <v>0</v>
      </c>
      <c r="P319" s="21">
        <v>1</v>
      </c>
      <c r="Q319" s="21">
        <f t="shared" si="167"/>
        <v>1</v>
      </c>
      <c r="R319" s="15">
        <v>1</v>
      </c>
      <c r="S319" s="21">
        <v>0</v>
      </c>
      <c r="T319" s="21">
        <v>0</v>
      </c>
      <c r="U319" s="21">
        <v>0</v>
      </c>
      <c r="V319" s="21">
        <v>0</v>
      </c>
      <c r="W319" s="21">
        <f t="shared" si="168"/>
        <v>0</v>
      </c>
      <c r="X319" s="15"/>
      <c r="Y319" s="21">
        <v>1</v>
      </c>
      <c r="Z319" s="21">
        <v>0</v>
      </c>
      <c r="AA319" s="21">
        <v>0</v>
      </c>
      <c r="AB319" s="21">
        <v>1</v>
      </c>
      <c r="AC319" s="21">
        <f t="shared" si="169"/>
        <v>2</v>
      </c>
      <c r="AD319" s="15"/>
      <c r="AE319" s="21">
        <v>1</v>
      </c>
      <c r="AF319" s="21">
        <v>0</v>
      </c>
      <c r="AG319" s="21">
        <v>0</v>
      </c>
      <c r="AH319" s="21">
        <v>0</v>
      </c>
      <c r="AI319" s="21">
        <f t="shared" si="170"/>
        <v>1</v>
      </c>
      <c r="AK319" s="128">
        <v>1</v>
      </c>
      <c r="AL319">
        <v>0</v>
      </c>
      <c r="AM319">
        <v>0</v>
      </c>
      <c r="AN319">
        <v>0</v>
      </c>
      <c r="AO319" s="21">
        <f t="shared" si="171"/>
        <v>1</v>
      </c>
      <c r="AQ319">
        <v>1</v>
      </c>
      <c r="AR319">
        <v>0</v>
      </c>
      <c r="AS319">
        <v>0</v>
      </c>
      <c r="AT319">
        <v>0</v>
      </c>
      <c r="AU319" s="21">
        <f t="shared" si="166"/>
        <v>1</v>
      </c>
    </row>
    <row r="320" spans="1:48" x14ac:dyDescent="0.2">
      <c r="A320" s="12">
        <v>8</v>
      </c>
      <c r="B320" s="12" t="s">
        <v>482</v>
      </c>
      <c r="C320" s="12" t="s">
        <v>26</v>
      </c>
      <c r="D320" s="12">
        <v>29.24</v>
      </c>
      <c r="E320" s="12">
        <v>1999</v>
      </c>
      <c r="F320" s="15"/>
      <c r="G320" s="15"/>
      <c r="H320" s="15"/>
      <c r="I320" s="15"/>
      <c r="J320" s="15"/>
      <c r="K320" s="15"/>
      <c r="L320" s="15"/>
      <c r="M320" s="21">
        <v>0</v>
      </c>
      <c r="N320" s="21">
        <v>0</v>
      </c>
      <c r="O320" s="21">
        <v>0</v>
      </c>
      <c r="P320" s="21">
        <v>1</v>
      </c>
      <c r="Q320" s="21">
        <f t="shared" si="167"/>
        <v>1</v>
      </c>
      <c r="R320" s="15">
        <v>1</v>
      </c>
      <c r="S320" s="21">
        <v>0</v>
      </c>
      <c r="T320" s="21">
        <v>0</v>
      </c>
      <c r="U320" s="21">
        <v>0</v>
      </c>
      <c r="V320" s="21">
        <v>0</v>
      </c>
      <c r="W320" s="21">
        <f t="shared" si="168"/>
        <v>0</v>
      </c>
      <c r="X320" s="15"/>
      <c r="Y320" s="21">
        <v>1</v>
      </c>
      <c r="Z320" s="21">
        <v>0</v>
      </c>
      <c r="AA320" s="21">
        <v>0</v>
      </c>
      <c r="AB320" s="21">
        <v>1</v>
      </c>
      <c r="AC320" s="21">
        <f t="shared" si="169"/>
        <v>2</v>
      </c>
      <c r="AD320" s="15"/>
      <c r="AE320" s="21">
        <v>1</v>
      </c>
      <c r="AF320" s="21">
        <v>0</v>
      </c>
      <c r="AG320" s="21">
        <v>0</v>
      </c>
      <c r="AH320" s="21">
        <v>0</v>
      </c>
      <c r="AI320" s="21">
        <f t="shared" si="170"/>
        <v>1</v>
      </c>
      <c r="AK320" s="128">
        <v>0</v>
      </c>
      <c r="AL320">
        <v>0</v>
      </c>
      <c r="AM320">
        <v>0</v>
      </c>
      <c r="AN320">
        <v>1</v>
      </c>
      <c r="AO320" s="21">
        <f t="shared" si="171"/>
        <v>1</v>
      </c>
      <c r="AQ320">
        <v>1</v>
      </c>
      <c r="AR320">
        <v>0</v>
      </c>
      <c r="AS320">
        <v>0</v>
      </c>
      <c r="AT320">
        <v>0</v>
      </c>
      <c r="AU320" s="21">
        <f t="shared" si="166"/>
        <v>1</v>
      </c>
    </row>
    <row r="321" spans="1:47" x14ac:dyDescent="0.2">
      <c r="A321" s="12">
        <v>8</v>
      </c>
      <c r="B321" s="12" t="s">
        <v>483</v>
      </c>
      <c r="C321" s="12" t="s">
        <v>26</v>
      </c>
      <c r="D321" s="12">
        <v>30.31</v>
      </c>
      <c r="E321" s="12">
        <v>1999</v>
      </c>
      <c r="F321" s="15"/>
      <c r="G321" s="15"/>
      <c r="H321" s="15"/>
      <c r="I321" s="15"/>
      <c r="J321" s="15"/>
      <c r="K321" s="15"/>
      <c r="L321" s="15"/>
      <c r="M321" s="21">
        <v>0</v>
      </c>
      <c r="N321" s="21">
        <v>0</v>
      </c>
      <c r="O321" s="21">
        <v>0</v>
      </c>
      <c r="P321" s="21">
        <v>1</v>
      </c>
      <c r="Q321" s="21">
        <f t="shared" si="167"/>
        <v>1</v>
      </c>
      <c r="R321" s="15"/>
      <c r="S321" s="21">
        <v>0</v>
      </c>
      <c r="T321" s="21">
        <v>0</v>
      </c>
      <c r="U321" s="21">
        <v>0</v>
      </c>
      <c r="V321" s="21">
        <v>1</v>
      </c>
      <c r="W321" s="21">
        <f t="shared" si="168"/>
        <v>1</v>
      </c>
      <c r="X321" s="15"/>
      <c r="Y321" s="21">
        <v>0</v>
      </c>
      <c r="Z321" s="21">
        <v>0</v>
      </c>
      <c r="AA321" s="21">
        <v>0</v>
      </c>
      <c r="AB321" s="21">
        <v>1</v>
      </c>
      <c r="AC321" s="21">
        <f t="shared" si="169"/>
        <v>1</v>
      </c>
      <c r="AD321" s="15"/>
      <c r="AE321" s="21">
        <v>1</v>
      </c>
      <c r="AF321" s="21">
        <v>0</v>
      </c>
      <c r="AG321" s="21">
        <v>0</v>
      </c>
      <c r="AH321" s="21">
        <v>0</v>
      </c>
      <c r="AI321" s="21">
        <f t="shared" si="170"/>
        <v>1</v>
      </c>
      <c r="AK321" s="128">
        <v>1</v>
      </c>
      <c r="AL321">
        <v>0</v>
      </c>
      <c r="AM321">
        <v>0</v>
      </c>
      <c r="AN321">
        <v>0</v>
      </c>
      <c r="AO321" s="21">
        <f t="shared" si="171"/>
        <v>1</v>
      </c>
      <c r="AQ321">
        <v>1</v>
      </c>
      <c r="AR321">
        <v>0</v>
      </c>
      <c r="AS321">
        <v>1</v>
      </c>
      <c r="AT321">
        <v>0</v>
      </c>
      <c r="AU321" s="21">
        <f t="shared" si="166"/>
        <v>2</v>
      </c>
    </row>
    <row r="322" spans="1:47" x14ac:dyDescent="0.2">
      <c r="A322" s="12">
        <v>8</v>
      </c>
      <c r="B322" s="12" t="s">
        <v>484</v>
      </c>
      <c r="C322" s="12" t="s">
        <v>26</v>
      </c>
      <c r="D322" s="12">
        <v>31.41</v>
      </c>
      <c r="E322" s="12">
        <v>1999</v>
      </c>
      <c r="F322" s="15"/>
      <c r="G322" s="15"/>
      <c r="H322" s="15"/>
      <c r="I322" s="15"/>
      <c r="J322" s="15"/>
      <c r="K322" s="15"/>
      <c r="L322" s="15"/>
      <c r="M322" s="21">
        <v>0</v>
      </c>
      <c r="N322" s="21">
        <v>0</v>
      </c>
      <c r="O322" s="21">
        <v>0</v>
      </c>
      <c r="P322" s="21">
        <v>1</v>
      </c>
      <c r="Q322" s="21">
        <f t="shared" si="167"/>
        <v>1</v>
      </c>
      <c r="R322" s="15"/>
      <c r="S322" s="21">
        <v>0</v>
      </c>
      <c r="T322" s="21">
        <v>0</v>
      </c>
      <c r="U322" s="21">
        <v>0</v>
      </c>
      <c r="V322" s="21">
        <v>1</v>
      </c>
      <c r="W322" s="21">
        <f t="shared" si="168"/>
        <v>1</v>
      </c>
      <c r="X322" s="15">
        <v>1</v>
      </c>
      <c r="Y322" s="21">
        <v>0</v>
      </c>
      <c r="Z322" s="21">
        <v>0</v>
      </c>
      <c r="AA322" s="21">
        <v>0</v>
      </c>
      <c r="AB322" s="21">
        <v>0</v>
      </c>
      <c r="AC322" s="21">
        <f t="shared" si="169"/>
        <v>0</v>
      </c>
      <c r="AD322" s="15">
        <v>0</v>
      </c>
      <c r="AE322" s="21">
        <v>0</v>
      </c>
      <c r="AF322" s="21">
        <v>0</v>
      </c>
      <c r="AG322" s="21">
        <v>0</v>
      </c>
      <c r="AH322" s="21">
        <v>1</v>
      </c>
      <c r="AI322" s="21">
        <f t="shared" si="170"/>
        <v>1</v>
      </c>
      <c r="AK322" s="128">
        <v>1</v>
      </c>
      <c r="AL322">
        <v>0</v>
      </c>
      <c r="AM322">
        <v>0</v>
      </c>
      <c r="AN322">
        <v>0</v>
      </c>
      <c r="AO322" s="21">
        <f t="shared" si="171"/>
        <v>1</v>
      </c>
      <c r="AQ322">
        <v>1</v>
      </c>
      <c r="AR322">
        <v>0</v>
      </c>
      <c r="AS322">
        <v>6</v>
      </c>
      <c r="AT322">
        <v>0</v>
      </c>
      <c r="AU322" s="21">
        <f t="shared" si="166"/>
        <v>7</v>
      </c>
    </row>
    <row r="323" spans="1:47" x14ac:dyDescent="0.2">
      <c r="A323" s="12">
        <v>8</v>
      </c>
      <c r="B323" s="12" t="s">
        <v>485</v>
      </c>
      <c r="C323" s="12" t="s">
        <v>26</v>
      </c>
      <c r="D323" s="12">
        <v>29.76</v>
      </c>
      <c r="E323" s="12">
        <v>1999</v>
      </c>
      <c r="F323" s="15"/>
      <c r="G323" s="15"/>
      <c r="H323" s="15"/>
      <c r="I323" s="15"/>
      <c r="J323" s="15"/>
      <c r="K323" s="15"/>
      <c r="L323" s="15"/>
      <c r="M323" s="21">
        <v>1</v>
      </c>
      <c r="N323" s="21">
        <v>0</v>
      </c>
      <c r="O323" s="21">
        <v>3</v>
      </c>
      <c r="P323" s="21">
        <v>1</v>
      </c>
      <c r="Q323" s="21">
        <f t="shared" si="167"/>
        <v>5</v>
      </c>
      <c r="R323" s="15"/>
      <c r="S323" s="21">
        <v>0</v>
      </c>
      <c r="T323" s="21">
        <v>0</v>
      </c>
      <c r="U323" s="21">
        <v>0</v>
      </c>
      <c r="V323" s="21">
        <v>1</v>
      </c>
      <c r="W323" s="21">
        <f t="shared" si="168"/>
        <v>1</v>
      </c>
      <c r="X323" s="15"/>
      <c r="Y323" s="21">
        <v>1</v>
      </c>
      <c r="Z323" s="21">
        <v>0</v>
      </c>
      <c r="AA323" s="21">
        <v>3</v>
      </c>
      <c r="AB323" s="21">
        <v>1</v>
      </c>
      <c r="AC323" s="21">
        <f t="shared" si="169"/>
        <v>5</v>
      </c>
      <c r="AD323" s="15"/>
      <c r="AE323" s="21">
        <v>1</v>
      </c>
      <c r="AF323" s="21">
        <v>1</v>
      </c>
      <c r="AG323" s="21">
        <v>2</v>
      </c>
      <c r="AH323" s="21">
        <v>0</v>
      </c>
      <c r="AI323" s="21">
        <f t="shared" si="170"/>
        <v>4</v>
      </c>
      <c r="AK323" s="128">
        <v>1</v>
      </c>
      <c r="AL323">
        <v>3</v>
      </c>
      <c r="AM323">
        <v>0</v>
      </c>
      <c r="AN323">
        <v>0</v>
      </c>
      <c r="AO323" s="21">
        <f t="shared" si="171"/>
        <v>4</v>
      </c>
      <c r="AQ323">
        <v>1</v>
      </c>
      <c r="AR323">
        <v>2</v>
      </c>
      <c r="AS323">
        <v>0</v>
      </c>
      <c r="AT323">
        <v>0</v>
      </c>
      <c r="AU323" s="21">
        <f t="shared" si="166"/>
        <v>3</v>
      </c>
    </row>
    <row r="324" spans="1:47" x14ac:dyDescent="0.2">
      <c r="A324" s="12">
        <v>8</v>
      </c>
      <c r="B324" s="12" t="s">
        <v>486</v>
      </c>
      <c r="C324" s="12" t="s">
        <v>26</v>
      </c>
      <c r="D324" s="12">
        <v>30.4</v>
      </c>
      <c r="E324" s="12">
        <v>1999</v>
      </c>
      <c r="F324" s="15"/>
      <c r="G324" s="15"/>
      <c r="H324" s="15"/>
      <c r="I324" s="15"/>
      <c r="J324" s="15"/>
      <c r="K324" s="15"/>
      <c r="L324" s="15"/>
      <c r="M324" s="21">
        <v>0</v>
      </c>
      <c r="N324" s="21">
        <v>0</v>
      </c>
      <c r="O324" s="21">
        <v>0</v>
      </c>
      <c r="P324" s="21">
        <v>1</v>
      </c>
      <c r="Q324" s="21">
        <f t="shared" si="167"/>
        <v>1</v>
      </c>
      <c r="R324" s="15">
        <v>1</v>
      </c>
      <c r="S324" s="21">
        <v>0</v>
      </c>
      <c r="T324" s="21">
        <v>0</v>
      </c>
      <c r="U324" s="21">
        <v>0</v>
      </c>
      <c r="V324" s="21">
        <v>0</v>
      </c>
      <c r="W324" s="21">
        <f t="shared" si="168"/>
        <v>0</v>
      </c>
      <c r="X324" s="15"/>
      <c r="Y324" s="21">
        <v>0</v>
      </c>
      <c r="Z324" s="21">
        <v>0</v>
      </c>
      <c r="AA324" s="21">
        <v>0</v>
      </c>
      <c r="AB324" s="21">
        <v>0</v>
      </c>
      <c r="AC324" s="21">
        <f t="shared" si="169"/>
        <v>0</v>
      </c>
      <c r="AD324" s="15"/>
      <c r="AE324" s="21">
        <v>1</v>
      </c>
      <c r="AF324" s="21">
        <v>0</v>
      </c>
      <c r="AG324" s="21">
        <v>6</v>
      </c>
      <c r="AH324" s="21">
        <v>0</v>
      </c>
      <c r="AI324" s="21">
        <f t="shared" si="170"/>
        <v>7</v>
      </c>
      <c r="AK324" s="128">
        <v>1</v>
      </c>
      <c r="AL324">
        <v>0</v>
      </c>
      <c r="AM324">
        <v>0</v>
      </c>
      <c r="AN324">
        <v>0</v>
      </c>
      <c r="AO324" s="21">
        <f t="shared" si="171"/>
        <v>1</v>
      </c>
      <c r="AQ324">
        <v>1</v>
      </c>
      <c r="AR324">
        <v>0</v>
      </c>
      <c r="AS324">
        <v>0</v>
      </c>
      <c r="AT324">
        <v>0</v>
      </c>
      <c r="AU324" s="21">
        <f t="shared" si="166"/>
        <v>1</v>
      </c>
    </row>
    <row r="325" spans="1:47" ht="15" customHeight="1" x14ac:dyDescent="0.2">
      <c r="A325" s="12">
        <v>8</v>
      </c>
      <c r="B325" s="12" t="s">
        <v>317</v>
      </c>
      <c r="C325" s="12" t="s">
        <v>26</v>
      </c>
      <c r="D325" s="12">
        <v>29.27</v>
      </c>
      <c r="E325" s="12">
        <v>2002</v>
      </c>
      <c r="F325" s="15"/>
      <c r="G325" s="15"/>
      <c r="H325" s="15"/>
      <c r="I325" s="15"/>
      <c r="J325" s="15"/>
      <c r="K325" s="15"/>
      <c r="L325" s="15">
        <v>1</v>
      </c>
      <c r="M325" s="21">
        <v>0</v>
      </c>
      <c r="N325" s="21">
        <v>0</v>
      </c>
      <c r="O325" s="21">
        <v>0</v>
      </c>
      <c r="P325" s="21">
        <v>0</v>
      </c>
      <c r="Q325" s="21">
        <f t="shared" si="167"/>
        <v>0</v>
      </c>
      <c r="R325" s="15">
        <v>1</v>
      </c>
      <c r="S325" s="21">
        <v>0</v>
      </c>
      <c r="T325" s="21">
        <v>0</v>
      </c>
      <c r="U325" s="21">
        <v>0</v>
      </c>
      <c r="V325" s="21">
        <v>0</v>
      </c>
      <c r="W325" s="21">
        <f t="shared" si="168"/>
        <v>0</v>
      </c>
      <c r="X325" s="15"/>
      <c r="Y325" s="21">
        <v>0</v>
      </c>
      <c r="Z325" s="21">
        <v>0</v>
      </c>
      <c r="AA325" s="21">
        <v>0</v>
      </c>
      <c r="AB325" s="21">
        <v>1</v>
      </c>
      <c r="AC325" s="21">
        <f t="shared" si="169"/>
        <v>1</v>
      </c>
      <c r="AD325" s="15">
        <v>0</v>
      </c>
      <c r="AE325" s="21">
        <v>0</v>
      </c>
      <c r="AF325" s="21">
        <v>0</v>
      </c>
      <c r="AG325" s="21">
        <v>0</v>
      </c>
      <c r="AH325" s="21">
        <v>1</v>
      </c>
      <c r="AI325" s="21">
        <f t="shared" si="170"/>
        <v>1</v>
      </c>
      <c r="AK325" s="128">
        <v>1</v>
      </c>
      <c r="AL325">
        <v>0</v>
      </c>
      <c r="AM325">
        <v>0</v>
      </c>
      <c r="AN325">
        <v>0</v>
      </c>
      <c r="AO325" s="21">
        <f t="shared" si="171"/>
        <v>1</v>
      </c>
      <c r="AQ325">
        <v>1</v>
      </c>
      <c r="AR325">
        <v>1</v>
      </c>
      <c r="AS325">
        <v>0</v>
      </c>
      <c r="AT325">
        <v>0</v>
      </c>
      <c r="AU325" s="21">
        <f t="shared" si="166"/>
        <v>2</v>
      </c>
    </row>
    <row r="326" spans="1:47" x14ac:dyDescent="0.2">
      <c r="A326" s="12">
        <v>8</v>
      </c>
      <c r="B326" s="12" t="s">
        <v>318</v>
      </c>
      <c r="C326" s="12" t="s">
        <v>26</v>
      </c>
      <c r="D326" s="12">
        <v>27.19</v>
      </c>
      <c r="E326" s="12">
        <v>2002</v>
      </c>
      <c r="F326" s="15"/>
      <c r="G326" s="15"/>
      <c r="H326" s="15"/>
      <c r="I326" s="15"/>
      <c r="J326" s="15"/>
      <c r="K326" s="15"/>
      <c r="L326" s="15"/>
      <c r="M326" s="21">
        <v>1</v>
      </c>
      <c r="N326" s="21">
        <v>0</v>
      </c>
      <c r="O326" s="21">
        <v>4</v>
      </c>
      <c r="P326" s="21">
        <v>1</v>
      </c>
      <c r="Q326" s="21">
        <f t="shared" si="167"/>
        <v>6</v>
      </c>
      <c r="R326" s="15"/>
      <c r="S326" s="21">
        <v>1</v>
      </c>
      <c r="T326" s="21">
        <v>0</v>
      </c>
      <c r="U326" s="21">
        <v>4</v>
      </c>
      <c r="V326" s="21">
        <v>1</v>
      </c>
      <c r="W326" s="21">
        <f t="shared" si="168"/>
        <v>6</v>
      </c>
      <c r="X326" s="15">
        <v>1</v>
      </c>
      <c r="Y326" s="21">
        <v>0</v>
      </c>
      <c r="Z326" s="21">
        <v>0</v>
      </c>
      <c r="AA326" s="21">
        <v>0</v>
      </c>
      <c r="AB326" s="21">
        <v>0</v>
      </c>
      <c r="AC326" s="21">
        <f t="shared" si="169"/>
        <v>0</v>
      </c>
      <c r="AD326" s="15">
        <v>0</v>
      </c>
      <c r="AE326" s="21">
        <v>0</v>
      </c>
      <c r="AF326" s="21">
        <v>0</v>
      </c>
      <c r="AG326" s="21">
        <v>0</v>
      </c>
      <c r="AH326" s="21">
        <v>1</v>
      </c>
      <c r="AI326" s="21">
        <f t="shared" si="170"/>
        <v>1</v>
      </c>
      <c r="AK326" s="128">
        <v>1</v>
      </c>
      <c r="AL326">
        <v>1</v>
      </c>
      <c r="AM326">
        <v>0</v>
      </c>
      <c r="AN326">
        <v>0</v>
      </c>
      <c r="AO326" s="21">
        <f t="shared" si="171"/>
        <v>2</v>
      </c>
      <c r="AQ326">
        <v>1</v>
      </c>
      <c r="AR326">
        <v>0</v>
      </c>
      <c r="AS326">
        <v>0</v>
      </c>
      <c r="AT326">
        <v>0</v>
      </c>
      <c r="AU326" s="21">
        <f t="shared" si="166"/>
        <v>1</v>
      </c>
    </row>
    <row r="327" spans="1:47" ht="15" customHeight="1" x14ac:dyDescent="0.2">
      <c r="A327" s="12">
        <v>8</v>
      </c>
      <c r="B327" s="12" t="s">
        <v>319</v>
      </c>
      <c r="C327" s="12" t="s">
        <v>26</v>
      </c>
      <c r="D327" s="12">
        <v>25.47</v>
      </c>
      <c r="E327" s="12">
        <v>2002</v>
      </c>
      <c r="F327" s="15"/>
      <c r="G327" s="15"/>
      <c r="H327" s="15"/>
      <c r="I327" s="15"/>
      <c r="J327" s="15"/>
      <c r="K327" s="15"/>
      <c r="L327" s="15">
        <v>1</v>
      </c>
      <c r="M327" s="21">
        <v>0</v>
      </c>
      <c r="N327" s="21">
        <v>0</v>
      </c>
      <c r="O327" s="21">
        <v>0</v>
      </c>
      <c r="P327" s="21">
        <v>0</v>
      </c>
      <c r="Q327" s="21">
        <f t="shared" si="167"/>
        <v>0</v>
      </c>
      <c r="R327" s="15">
        <v>1</v>
      </c>
      <c r="S327" s="21">
        <v>0</v>
      </c>
      <c r="T327" s="21">
        <v>0</v>
      </c>
      <c r="U327" s="21">
        <v>0</v>
      </c>
      <c r="V327" s="21">
        <v>0</v>
      </c>
      <c r="W327" s="21">
        <f t="shared" si="168"/>
        <v>0</v>
      </c>
      <c r="X327" s="15"/>
      <c r="Y327" s="21">
        <v>0</v>
      </c>
      <c r="Z327" s="21">
        <v>0</v>
      </c>
      <c r="AA327" s="21">
        <v>0</v>
      </c>
      <c r="AB327" s="21">
        <v>1</v>
      </c>
      <c r="AC327" s="21">
        <f t="shared" si="169"/>
        <v>1</v>
      </c>
      <c r="AD327" s="15">
        <v>0</v>
      </c>
      <c r="AE327" s="21">
        <v>0</v>
      </c>
      <c r="AF327" s="21">
        <v>0</v>
      </c>
      <c r="AG327" s="21">
        <v>0</v>
      </c>
      <c r="AH327" s="21">
        <v>1</v>
      </c>
      <c r="AI327" s="21">
        <f t="shared" si="170"/>
        <v>1</v>
      </c>
      <c r="AK327" s="128">
        <v>1</v>
      </c>
      <c r="AL327">
        <v>0</v>
      </c>
      <c r="AM327">
        <v>0</v>
      </c>
      <c r="AN327">
        <v>0</v>
      </c>
      <c r="AO327" s="21">
        <f t="shared" si="171"/>
        <v>1</v>
      </c>
      <c r="AQ327">
        <v>1</v>
      </c>
      <c r="AR327">
        <v>0</v>
      </c>
      <c r="AS327">
        <v>0</v>
      </c>
      <c r="AT327">
        <v>0</v>
      </c>
      <c r="AU327" s="21">
        <f t="shared" si="166"/>
        <v>1</v>
      </c>
    </row>
    <row r="328" spans="1:47" x14ac:dyDescent="0.2">
      <c r="A328" s="12">
        <v>8</v>
      </c>
      <c r="B328" s="12" t="s">
        <v>327</v>
      </c>
      <c r="C328" s="12" t="s">
        <v>26</v>
      </c>
      <c r="D328" s="12">
        <v>27.53</v>
      </c>
      <c r="E328" s="12">
        <v>2002</v>
      </c>
      <c r="F328" s="15"/>
      <c r="G328" s="15"/>
      <c r="H328" s="15"/>
      <c r="I328" s="15"/>
      <c r="J328" s="15"/>
      <c r="K328" s="15"/>
      <c r="L328" s="15"/>
      <c r="M328" s="21">
        <v>0</v>
      </c>
      <c r="N328" s="21">
        <v>0</v>
      </c>
      <c r="O328" s="21">
        <v>0</v>
      </c>
      <c r="P328" s="21">
        <v>1</v>
      </c>
      <c r="Q328" s="21">
        <f t="shared" si="167"/>
        <v>1</v>
      </c>
      <c r="R328" s="15">
        <v>1</v>
      </c>
      <c r="S328" s="21">
        <v>0</v>
      </c>
      <c r="T328" s="21">
        <v>0</v>
      </c>
      <c r="U328" s="21">
        <v>0</v>
      </c>
      <c r="V328" s="21">
        <v>0</v>
      </c>
      <c r="W328" s="21">
        <f t="shared" si="168"/>
        <v>0</v>
      </c>
      <c r="X328" s="15"/>
      <c r="Y328" s="21">
        <v>1</v>
      </c>
      <c r="Z328" s="21">
        <v>0</v>
      </c>
      <c r="AA328" s="21">
        <v>0</v>
      </c>
      <c r="AB328" s="21">
        <v>1</v>
      </c>
      <c r="AC328" s="21">
        <f t="shared" si="169"/>
        <v>2</v>
      </c>
      <c r="AD328" s="15"/>
      <c r="AE328" s="21">
        <v>1</v>
      </c>
      <c r="AF328" s="21">
        <v>0</v>
      </c>
      <c r="AG328" s="21">
        <v>0</v>
      </c>
      <c r="AH328" s="21">
        <v>0</v>
      </c>
      <c r="AI328" s="21">
        <f t="shared" si="170"/>
        <v>1</v>
      </c>
      <c r="AK328" s="128">
        <v>0</v>
      </c>
      <c r="AL328">
        <v>0</v>
      </c>
      <c r="AM328">
        <v>0</v>
      </c>
      <c r="AN328">
        <v>1</v>
      </c>
      <c r="AO328" s="21">
        <f t="shared" si="171"/>
        <v>1</v>
      </c>
      <c r="AQ328">
        <v>0</v>
      </c>
      <c r="AR328">
        <v>0</v>
      </c>
      <c r="AS328">
        <v>0</v>
      </c>
      <c r="AT328">
        <v>1</v>
      </c>
      <c r="AU328" s="21">
        <f t="shared" si="166"/>
        <v>1</v>
      </c>
    </row>
    <row r="329" spans="1:47" ht="15" customHeight="1" x14ac:dyDescent="0.2">
      <c r="A329" s="12">
        <v>8</v>
      </c>
      <c r="B329" s="12" t="s">
        <v>487</v>
      </c>
      <c r="C329" s="12" t="s">
        <v>26</v>
      </c>
      <c r="D329" s="12">
        <v>27.65</v>
      </c>
      <c r="E329" s="12">
        <v>2002</v>
      </c>
      <c r="F329" s="15"/>
      <c r="G329" s="15"/>
      <c r="H329" s="15"/>
      <c r="I329" s="15"/>
      <c r="J329" s="15"/>
      <c r="K329" s="15"/>
      <c r="L329" s="15">
        <v>1</v>
      </c>
      <c r="M329" s="21">
        <v>0</v>
      </c>
      <c r="N329" s="21">
        <v>0</v>
      </c>
      <c r="O329" s="21">
        <v>0</v>
      </c>
      <c r="P329" s="21">
        <v>0</v>
      </c>
      <c r="Q329" s="21">
        <f t="shared" si="167"/>
        <v>0</v>
      </c>
      <c r="R329" s="15">
        <v>1</v>
      </c>
      <c r="S329" s="21">
        <v>0</v>
      </c>
      <c r="T329" s="21">
        <v>0</v>
      </c>
      <c r="U329" s="21">
        <v>0</v>
      </c>
      <c r="V329" s="21">
        <v>0</v>
      </c>
      <c r="W329" s="21">
        <f t="shared" si="168"/>
        <v>0</v>
      </c>
      <c r="X329" s="15"/>
      <c r="Y329" s="21">
        <v>0</v>
      </c>
      <c r="Z329" s="21">
        <v>0</v>
      </c>
      <c r="AA329" s="21">
        <v>0</v>
      </c>
      <c r="AB329" s="21">
        <v>1</v>
      </c>
      <c r="AC329" s="21">
        <f t="shared" si="169"/>
        <v>1</v>
      </c>
      <c r="AD329" s="15"/>
      <c r="AE329" s="21">
        <v>0</v>
      </c>
      <c r="AF329" s="21">
        <v>0</v>
      </c>
      <c r="AG329" s="21">
        <v>0</v>
      </c>
      <c r="AH329" s="21">
        <v>1</v>
      </c>
      <c r="AI329" s="21">
        <f t="shared" si="170"/>
        <v>1</v>
      </c>
      <c r="AK329" s="128">
        <v>1</v>
      </c>
      <c r="AL329">
        <v>1</v>
      </c>
      <c r="AM329">
        <v>0</v>
      </c>
      <c r="AN329">
        <v>0</v>
      </c>
      <c r="AO329" s="21">
        <f t="shared" si="171"/>
        <v>2</v>
      </c>
      <c r="AQ329">
        <v>1</v>
      </c>
      <c r="AR329">
        <v>1</v>
      </c>
      <c r="AS329">
        <v>0</v>
      </c>
      <c r="AT329">
        <v>0</v>
      </c>
      <c r="AU329" s="21">
        <f t="shared" si="166"/>
        <v>2</v>
      </c>
    </row>
    <row r="330" spans="1:47" x14ac:dyDescent="0.2">
      <c r="A330" s="12">
        <v>8</v>
      </c>
      <c r="B330" s="12" t="s">
        <v>488</v>
      </c>
      <c r="C330" s="12" t="s">
        <v>26</v>
      </c>
      <c r="D330" s="12">
        <v>28.36</v>
      </c>
      <c r="E330" s="12">
        <v>2002</v>
      </c>
      <c r="F330" s="15"/>
      <c r="G330" s="15"/>
      <c r="H330" s="15"/>
      <c r="I330" s="15"/>
      <c r="J330" s="15"/>
      <c r="K330" s="15"/>
      <c r="L330" s="15"/>
      <c r="M330" s="21">
        <v>0</v>
      </c>
      <c r="N330" s="21">
        <v>0</v>
      </c>
      <c r="O330" s="21">
        <v>0</v>
      </c>
      <c r="P330" s="21">
        <v>1</v>
      </c>
      <c r="Q330" s="21">
        <f t="shared" si="167"/>
        <v>1</v>
      </c>
      <c r="R330" s="15">
        <v>1</v>
      </c>
      <c r="S330" s="21">
        <v>0</v>
      </c>
      <c r="T330" s="21">
        <v>0</v>
      </c>
      <c r="U330" s="21">
        <v>0</v>
      </c>
      <c r="V330" s="21">
        <v>0</v>
      </c>
      <c r="W330" s="21">
        <f t="shared" si="168"/>
        <v>0</v>
      </c>
      <c r="X330" s="15"/>
      <c r="Y330" s="21">
        <v>0</v>
      </c>
      <c r="Z330" s="21">
        <v>0</v>
      </c>
      <c r="AA330" s="21">
        <v>0</v>
      </c>
      <c r="AB330" s="21">
        <v>1</v>
      </c>
      <c r="AC330" s="21">
        <f t="shared" si="169"/>
        <v>1</v>
      </c>
      <c r="AD330" s="15"/>
      <c r="AE330" s="21">
        <v>0</v>
      </c>
      <c r="AF330" s="21">
        <v>0</v>
      </c>
      <c r="AG330" s="21">
        <v>0</v>
      </c>
      <c r="AH330" s="21">
        <v>1</v>
      </c>
      <c r="AI330" s="21">
        <f t="shared" si="170"/>
        <v>1</v>
      </c>
      <c r="AJ330">
        <v>1</v>
      </c>
      <c r="AK330" s="128">
        <v>0</v>
      </c>
      <c r="AL330">
        <v>0</v>
      </c>
      <c r="AM330">
        <v>0</v>
      </c>
      <c r="AN330">
        <v>0</v>
      </c>
      <c r="AO330" s="21">
        <f t="shared" si="171"/>
        <v>0</v>
      </c>
      <c r="AQ330">
        <v>1</v>
      </c>
      <c r="AR330">
        <v>1</v>
      </c>
      <c r="AS330">
        <v>0</v>
      </c>
      <c r="AT330">
        <v>0</v>
      </c>
      <c r="AU330" s="21">
        <f t="shared" ref="AU330:AU393" si="173">SUM(AQ330:AT330)</f>
        <v>2</v>
      </c>
    </row>
    <row r="331" spans="1:47" ht="15" customHeight="1" x14ac:dyDescent="0.2">
      <c r="A331" s="12">
        <v>8</v>
      </c>
      <c r="B331" s="12" t="s">
        <v>489</v>
      </c>
      <c r="C331" s="12" t="s">
        <v>26</v>
      </c>
      <c r="D331" s="12">
        <v>27.02</v>
      </c>
      <c r="E331" s="12">
        <v>2002</v>
      </c>
      <c r="F331" s="15"/>
      <c r="G331" s="15"/>
      <c r="H331" s="15"/>
      <c r="I331" s="15"/>
      <c r="J331" s="15"/>
      <c r="K331" s="15"/>
      <c r="L331" s="15">
        <v>1</v>
      </c>
      <c r="M331" s="21">
        <v>0</v>
      </c>
      <c r="N331" s="21">
        <v>0</v>
      </c>
      <c r="O331" s="21">
        <v>0</v>
      </c>
      <c r="P331" s="21">
        <v>0</v>
      </c>
      <c r="Q331" s="21">
        <f t="shared" ref="Q331:Q394" si="174">SUM(M331:P331)</f>
        <v>0</v>
      </c>
      <c r="R331" s="15">
        <v>1</v>
      </c>
      <c r="S331" s="21">
        <v>0</v>
      </c>
      <c r="T331" s="21">
        <v>0</v>
      </c>
      <c r="U331" s="21">
        <v>0</v>
      </c>
      <c r="V331" s="21">
        <v>0</v>
      </c>
      <c r="W331" s="21">
        <f t="shared" ref="W331:W394" si="175">SUM(S331:V331)</f>
        <v>0</v>
      </c>
      <c r="X331" s="15"/>
      <c r="Y331" s="21">
        <v>0</v>
      </c>
      <c r="Z331" s="21">
        <v>0</v>
      </c>
      <c r="AA331" s="21">
        <v>0</v>
      </c>
      <c r="AB331" s="21">
        <v>1</v>
      </c>
      <c r="AC331" s="21">
        <f t="shared" ref="AC331:AC394" si="176">SUM(Y331:AB331)</f>
        <v>1</v>
      </c>
      <c r="AD331" s="15"/>
      <c r="AE331" s="21">
        <v>0</v>
      </c>
      <c r="AF331" s="21">
        <v>0</v>
      </c>
      <c r="AG331" s="21">
        <v>0</v>
      </c>
      <c r="AH331" s="21">
        <v>1</v>
      </c>
      <c r="AI331" s="21">
        <f t="shared" ref="AI331:AI394" si="177">SUM(AE331:AH331)</f>
        <v>1</v>
      </c>
      <c r="AK331" s="128">
        <v>1</v>
      </c>
      <c r="AL331">
        <v>1</v>
      </c>
      <c r="AM331">
        <v>0</v>
      </c>
      <c r="AN331">
        <v>0</v>
      </c>
      <c r="AO331" s="21">
        <f t="shared" ref="AO331:AO394" si="178">SUM(AK331:AN331)</f>
        <v>2</v>
      </c>
      <c r="AQ331">
        <v>1</v>
      </c>
      <c r="AR331">
        <v>1</v>
      </c>
      <c r="AS331">
        <v>0</v>
      </c>
      <c r="AT331">
        <v>0</v>
      </c>
      <c r="AU331" s="21">
        <f t="shared" si="173"/>
        <v>2</v>
      </c>
    </row>
    <row r="332" spans="1:47" x14ac:dyDescent="0.2">
      <c r="A332" s="12">
        <v>8</v>
      </c>
      <c r="B332" s="12" t="s">
        <v>490</v>
      </c>
      <c r="C332" s="12" t="s">
        <v>26</v>
      </c>
      <c r="D332" s="12">
        <v>26.78</v>
      </c>
      <c r="E332" s="12">
        <v>2002</v>
      </c>
      <c r="F332" s="15"/>
      <c r="G332" s="15"/>
      <c r="H332" s="15"/>
      <c r="I332" s="15"/>
      <c r="J332" s="15"/>
      <c r="K332" s="15"/>
      <c r="L332" s="15"/>
      <c r="M332" s="21">
        <v>0</v>
      </c>
      <c r="N332" s="21">
        <v>0</v>
      </c>
      <c r="O332" s="21">
        <v>0</v>
      </c>
      <c r="P332" s="21">
        <v>1</v>
      </c>
      <c r="Q332" s="21">
        <f t="shared" si="174"/>
        <v>1</v>
      </c>
      <c r="R332" s="15"/>
      <c r="S332" s="21">
        <v>1</v>
      </c>
      <c r="T332" s="21">
        <v>0</v>
      </c>
      <c r="U332" s="21">
        <v>1</v>
      </c>
      <c r="V332" s="21">
        <v>1</v>
      </c>
      <c r="W332" s="21">
        <f t="shared" si="175"/>
        <v>3</v>
      </c>
      <c r="X332" s="15"/>
      <c r="Y332" s="21">
        <v>1</v>
      </c>
      <c r="Z332" s="21">
        <v>0</v>
      </c>
      <c r="AA332" s="21">
        <v>8</v>
      </c>
      <c r="AB332" s="21">
        <v>1</v>
      </c>
      <c r="AC332" s="21">
        <f t="shared" si="176"/>
        <v>10</v>
      </c>
      <c r="AD332" s="15">
        <v>1</v>
      </c>
      <c r="AE332" s="21">
        <v>0</v>
      </c>
      <c r="AF332" s="21">
        <v>0</v>
      </c>
      <c r="AG332" s="21">
        <v>0</v>
      </c>
      <c r="AH332" s="21">
        <v>0</v>
      </c>
      <c r="AI332" s="21">
        <f t="shared" si="177"/>
        <v>0</v>
      </c>
      <c r="AK332" s="128">
        <v>0</v>
      </c>
      <c r="AL332">
        <v>0</v>
      </c>
      <c r="AM332">
        <v>0</v>
      </c>
      <c r="AN332">
        <v>1</v>
      </c>
      <c r="AO332" s="21">
        <f t="shared" si="178"/>
        <v>1</v>
      </c>
      <c r="AQ332">
        <v>1</v>
      </c>
      <c r="AR332">
        <v>0</v>
      </c>
      <c r="AS332">
        <v>0</v>
      </c>
      <c r="AT332">
        <v>0</v>
      </c>
      <c r="AU332" s="21">
        <f t="shared" si="173"/>
        <v>1</v>
      </c>
    </row>
    <row r="333" spans="1:47" x14ac:dyDescent="0.2">
      <c r="A333" s="12">
        <v>8</v>
      </c>
      <c r="B333" s="12" t="s">
        <v>491</v>
      </c>
      <c r="C333" s="12" t="s">
        <v>26</v>
      </c>
      <c r="D333" s="12">
        <v>28.01</v>
      </c>
      <c r="E333" s="12">
        <v>2003</v>
      </c>
      <c r="F333" s="15"/>
      <c r="G333" s="15"/>
      <c r="H333" s="15"/>
      <c r="I333" s="15"/>
      <c r="J333" s="15"/>
      <c r="K333" s="15"/>
      <c r="L333" s="15"/>
      <c r="M333" s="21">
        <v>0</v>
      </c>
      <c r="N333" s="21">
        <v>0</v>
      </c>
      <c r="O333" s="21">
        <v>0</v>
      </c>
      <c r="P333" s="21">
        <v>1</v>
      </c>
      <c r="Q333" s="21">
        <f t="shared" si="174"/>
        <v>1</v>
      </c>
      <c r="R333" s="15">
        <v>1</v>
      </c>
      <c r="S333" s="21">
        <v>0</v>
      </c>
      <c r="T333" s="21">
        <v>0</v>
      </c>
      <c r="U333" s="21">
        <v>0</v>
      </c>
      <c r="V333" s="21">
        <v>0</v>
      </c>
      <c r="W333" s="21">
        <f t="shared" si="175"/>
        <v>0</v>
      </c>
      <c r="X333" s="15"/>
      <c r="Y333" s="21">
        <v>0</v>
      </c>
      <c r="Z333" s="21">
        <v>0</v>
      </c>
      <c r="AA333" s="21">
        <v>0</v>
      </c>
      <c r="AB333" s="21">
        <v>1</v>
      </c>
      <c r="AC333" s="21">
        <f t="shared" si="176"/>
        <v>1</v>
      </c>
      <c r="AD333" s="15"/>
      <c r="AE333" s="21">
        <v>0</v>
      </c>
      <c r="AF333" s="21">
        <v>0</v>
      </c>
      <c r="AG333" s="21">
        <v>0</v>
      </c>
      <c r="AH333" s="21">
        <v>1</v>
      </c>
      <c r="AI333" s="21">
        <f t="shared" si="177"/>
        <v>1</v>
      </c>
      <c r="AK333" s="128">
        <v>1</v>
      </c>
      <c r="AL333">
        <v>2</v>
      </c>
      <c r="AM333">
        <v>0</v>
      </c>
      <c r="AN333">
        <v>0</v>
      </c>
      <c r="AO333" s="21">
        <f t="shared" si="178"/>
        <v>3</v>
      </c>
      <c r="AQ333">
        <v>1</v>
      </c>
      <c r="AR333">
        <v>1</v>
      </c>
      <c r="AS333">
        <v>0</v>
      </c>
      <c r="AT333">
        <v>0</v>
      </c>
      <c r="AU333" s="21">
        <f t="shared" si="173"/>
        <v>2</v>
      </c>
    </row>
    <row r="334" spans="1:47" x14ac:dyDescent="0.2">
      <c r="A334" s="12">
        <v>8</v>
      </c>
      <c r="B334" s="12" t="s">
        <v>492</v>
      </c>
      <c r="C334" s="12" t="s">
        <v>26</v>
      </c>
      <c r="D334" s="12">
        <v>30.16</v>
      </c>
      <c r="E334" s="12">
        <v>2003</v>
      </c>
      <c r="F334" s="15"/>
      <c r="G334" s="15"/>
      <c r="H334" s="15"/>
      <c r="I334" s="15"/>
      <c r="J334" s="15"/>
      <c r="K334" s="15"/>
      <c r="L334" s="15"/>
      <c r="M334" s="21">
        <v>1</v>
      </c>
      <c r="N334" s="21">
        <v>4</v>
      </c>
      <c r="O334" s="21">
        <v>0</v>
      </c>
      <c r="P334" s="21">
        <v>1</v>
      </c>
      <c r="Q334" s="21">
        <f t="shared" si="174"/>
        <v>6</v>
      </c>
      <c r="R334" s="15"/>
      <c r="S334" s="21">
        <v>1</v>
      </c>
      <c r="T334" s="21">
        <v>4</v>
      </c>
      <c r="U334" s="21">
        <v>0</v>
      </c>
      <c r="V334" s="21">
        <v>1</v>
      </c>
      <c r="W334" s="21">
        <f t="shared" si="175"/>
        <v>6</v>
      </c>
      <c r="X334" s="15"/>
      <c r="Y334" s="21">
        <v>1</v>
      </c>
      <c r="Z334" s="21">
        <v>3</v>
      </c>
      <c r="AA334" s="21">
        <v>0</v>
      </c>
      <c r="AB334" s="21">
        <v>1</v>
      </c>
      <c r="AC334" s="21">
        <f t="shared" si="176"/>
        <v>5</v>
      </c>
      <c r="AD334" s="15"/>
      <c r="AE334" s="21">
        <v>1</v>
      </c>
      <c r="AF334" s="21">
        <v>0</v>
      </c>
      <c r="AG334" s="21">
        <v>0</v>
      </c>
      <c r="AH334" s="21">
        <v>0</v>
      </c>
      <c r="AI334" s="21">
        <f t="shared" si="177"/>
        <v>1</v>
      </c>
      <c r="AK334" s="128">
        <v>1</v>
      </c>
      <c r="AL334">
        <v>0</v>
      </c>
      <c r="AM334">
        <v>0</v>
      </c>
      <c r="AN334">
        <v>0</v>
      </c>
      <c r="AO334" s="21">
        <f t="shared" si="178"/>
        <v>1</v>
      </c>
      <c r="AQ334">
        <v>1</v>
      </c>
      <c r="AR334">
        <v>0</v>
      </c>
      <c r="AS334">
        <v>0</v>
      </c>
      <c r="AT334">
        <v>0</v>
      </c>
      <c r="AU334" s="21">
        <f t="shared" si="173"/>
        <v>1</v>
      </c>
    </row>
    <row r="335" spans="1:47" x14ac:dyDescent="0.2">
      <c r="A335" s="12">
        <v>8</v>
      </c>
      <c r="B335" s="12" t="s">
        <v>345</v>
      </c>
      <c r="C335" s="12" t="s">
        <v>26</v>
      </c>
      <c r="D335" s="12">
        <v>29.89</v>
      </c>
      <c r="E335" s="12">
        <v>2003</v>
      </c>
      <c r="F335" s="15"/>
      <c r="G335" s="15"/>
      <c r="H335" s="15"/>
      <c r="I335" s="15"/>
      <c r="J335" s="15"/>
      <c r="K335" s="15"/>
      <c r="L335" s="15"/>
      <c r="M335" s="21">
        <v>0</v>
      </c>
      <c r="N335" s="21">
        <v>0</v>
      </c>
      <c r="O335" s="21">
        <v>0</v>
      </c>
      <c r="P335" s="21">
        <v>1</v>
      </c>
      <c r="Q335" s="21">
        <f t="shared" si="174"/>
        <v>1</v>
      </c>
      <c r="R335" s="15"/>
      <c r="S335" s="21">
        <v>0</v>
      </c>
      <c r="T335" s="21">
        <v>0</v>
      </c>
      <c r="U335" s="21">
        <v>0</v>
      </c>
      <c r="V335" s="21">
        <v>1</v>
      </c>
      <c r="W335" s="21">
        <f t="shared" si="175"/>
        <v>1</v>
      </c>
      <c r="X335" s="15"/>
      <c r="Y335" s="21">
        <v>1</v>
      </c>
      <c r="Z335" s="21">
        <v>0</v>
      </c>
      <c r="AA335" s="21">
        <v>0</v>
      </c>
      <c r="AB335" s="21">
        <v>1</v>
      </c>
      <c r="AC335" s="21">
        <f t="shared" si="176"/>
        <v>2</v>
      </c>
      <c r="AD335" s="15">
        <v>0</v>
      </c>
      <c r="AE335" s="21">
        <v>0</v>
      </c>
      <c r="AF335" s="21">
        <v>0</v>
      </c>
      <c r="AG335" s="21">
        <v>0</v>
      </c>
      <c r="AH335" s="21">
        <v>1</v>
      </c>
      <c r="AI335" s="21">
        <f t="shared" si="177"/>
        <v>1</v>
      </c>
      <c r="AK335" s="128">
        <v>1</v>
      </c>
      <c r="AL335">
        <v>0</v>
      </c>
      <c r="AM335">
        <v>0</v>
      </c>
      <c r="AN335">
        <v>0</v>
      </c>
      <c r="AO335" s="21">
        <f t="shared" si="178"/>
        <v>1</v>
      </c>
      <c r="AQ335">
        <v>1</v>
      </c>
      <c r="AR335">
        <v>0</v>
      </c>
      <c r="AS335">
        <v>0</v>
      </c>
      <c r="AT335">
        <v>0</v>
      </c>
      <c r="AU335" s="21">
        <f t="shared" si="173"/>
        <v>1</v>
      </c>
    </row>
    <row r="336" spans="1:47" x14ac:dyDescent="0.2">
      <c r="A336" s="12">
        <v>8</v>
      </c>
      <c r="B336" s="12" t="s">
        <v>337</v>
      </c>
      <c r="C336" s="12" t="s">
        <v>26</v>
      </c>
      <c r="D336" s="12">
        <v>28.03</v>
      </c>
      <c r="E336" s="12">
        <v>2003</v>
      </c>
      <c r="F336" s="15"/>
      <c r="G336" s="15"/>
      <c r="H336" s="15"/>
      <c r="I336" s="15"/>
      <c r="J336" s="15"/>
      <c r="K336" s="15"/>
      <c r="L336" s="15"/>
      <c r="M336" s="21">
        <v>0</v>
      </c>
      <c r="N336" s="21">
        <v>0</v>
      </c>
      <c r="O336" s="21">
        <v>0</v>
      </c>
      <c r="P336" s="21">
        <v>1</v>
      </c>
      <c r="Q336" s="21">
        <f t="shared" si="174"/>
        <v>1</v>
      </c>
      <c r="R336" s="15"/>
      <c r="S336" s="21">
        <v>0</v>
      </c>
      <c r="T336" s="21">
        <v>0</v>
      </c>
      <c r="U336" s="21">
        <v>0</v>
      </c>
      <c r="V336" s="21">
        <v>1</v>
      </c>
      <c r="W336" s="21">
        <f t="shared" si="175"/>
        <v>1</v>
      </c>
      <c r="X336" s="15"/>
      <c r="Y336" s="21">
        <v>0</v>
      </c>
      <c r="Z336" s="21">
        <v>0</v>
      </c>
      <c r="AA336" s="21">
        <v>0</v>
      </c>
      <c r="AB336" s="21">
        <v>1</v>
      </c>
      <c r="AC336" s="21">
        <f t="shared" si="176"/>
        <v>1</v>
      </c>
      <c r="AD336" s="15">
        <v>1</v>
      </c>
      <c r="AE336" s="21">
        <v>0</v>
      </c>
      <c r="AF336" s="21">
        <v>0</v>
      </c>
      <c r="AG336" s="21">
        <v>0</v>
      </c>
      <c r="AH336" s="21">
        <v>0</v>
      </c>
      <c r="AI336" s="21">
        <f t="shared" si="177"/>
        <v>0</v>
      </c>
      <c r="AJ336">
        <v>1</v>
      </c>
      <c r="AK336" s="128">
        <v>0</v>
      </c>
      <c r="AL336">
        <v>0</v>
      </c>
      <c r="AM336">
        <v>0</v>
      </c>
      <c r="AN336">
        <v>0</v>
      </c>
      <c r="AO336" s="21">
        <f t="shared" si="178"/>
        <v>0</v>
      </c>
      <c r="AP336">
        <v>1</v>
      </c>
      <c r="AQ336">
        <v>0</v>
      </c>
      <c r="AR336">
        <v>0</v>
      </c>
      <c r="AS336">
        <v>0</v>
      </c>
      <c r="AT336" t="s">
        <v>468</v>
      </c>
      <c r="AU336" s="21">
        <f t="shared" si="173"/>
        <v>0</v>
      </c>
    </row>
    <row r="337" spans="1:48" ht="15" customHeight="1" x14ac:dyDescent="0.2">
      <c r="A337" s="12">
        <v>8</v>
      </c>
      <c r="B337" s="12" t="s">
        <v>493</v>
      </c>
      <c r="C337" s="12" t="s">
        <v>26</v>
      </c>
      <c r="D337" s="12">
        <v>27</v>
      </c>
      <c r="E337" s="12">
        <v>2003</v>
      </c>
      <c r="F337" s="15"/>
      <c r="G337" s="15"/>
      <c r="H337" s="15"/>
      <c r="I337" s="15"/>
      <c r="J337" s="15"/>
      <c r="K337" s="15"/>
      <c r="L337" s="15">
        <v>1</v>
      </c>
      <c r="M337" s="21">
        <v>0</v>
      </c>
      <c r="N337" s="21">
        <v>0</v>
      </c>
      <c r="O337" s="21">
        <v>0</v>
      </c>
      <c r="P337" s="21">
        <v>0</v>
      </c>
      <c r="Q337" s="21">
        <f t="shared" si="174"/>
        <v>0</v>
      </c>
      <c r="R337" s="15">
        <v>1</v>
      </c>
      <c r="S337" s="21">
        <v>0</v>
      </c>
      <c r="T337" s="21">
        <v>0</v>
      </c>
      <c r="U337" s="21">
        <v>0</v>
      </c>
      <c r="V337" s="21">
        <v>0</v>
      </c>
      <c r="W337" s="21">
        <f t="shared" si="175"/>
        <v>0</v>
      </c>
      <c r="X337" s="15"/>
      <c r="Y337" s="21">
        <v>0</v>
      </c>
      <c r="Z337" s="21">
        <v>0</v>
      </c>
      <c r="AA337" s="21">
        <v>0</v>
      </c>
      <c r="AB337" s="21">
        <v>1</v>
      </c>
      <c r="AC337" s="21">
        <f t="shared" si="176"/>
        <v>1</v>
      </c>
      <c r="AD337" s="15">
        <v>1</v>
      </c>
      <c r="AE337" s="21">
        <v>0</v>
      </c>
      <c r="AF337" s="21">
        <v>0</v>
      </c>
      <c r="AG337" s="21">
        <v>0</v>
      </c>
      <c r="AH337" s="21">
        <v>0</v>
      </c>
      <c r="AI337" s="21">
        <f t="shared" si="177"/>
        <v>0</v>
      </c>
      <c r="AJ337">
        <v>1</v>
      </c>
      <c r="AK337" s="128">
        <v>0</v>
      </c>
      <c r="AL337">
        <v>0</v>
      </c>
      <c r="AM337">
        <v>0</v>
      </c>
      <c r="AN337">
        <v>0</v>
      </c>
      <c r="AO337" s="21">
        <f t="shared" si="178"/>
        <v>0</v>
      </c>
      <c r="AQ337">
        <v>1</v>
      </c>
      <c r="AR337">
        <v>0</v>
      </c>
      <c r="AS337">
        <v>0</v>
      </c>
      <c r="AT337">
        <v>0</v>
      </c>
      <c r="AU337" s="21">
        <f t="shared" si="173"/>
        <v>1</v>
      </c>
    </row>
    <row r="338" spans="1:48" ht="15" customHeight="1" x14ac:dyDescent="0.2">
      <c r="A338" s="12">
        <v>8</v>
      </c>
      <c r="B338" s="12" t="s">
        <v>494</v>
      </c>
      <c r="C338" s="12" t="s">
        <v>26</v>
      </c>
      <c r="D338" s="12">
        <v>33.6</v>
      </c>
      <c r="E338" s="12">
        <v>2003</v>
      </c>
      <c r="F338" s="15"/>
      <c r="G338" s="15"/>
      <c r="H338" s="15"/>
      <c r="I338" s="15"/>
      <c r="J338" s="15"/>
      <c r="K338" s="15"/>
      <c r="L338" s="15">
        <v>1</v>
      </c>
      <c r="M338" s="21">
        <v>0</v>
      </c>
      <c r="N338" s="21">
        <v>0</v>
      </c>
      <c r="O338" s="21">
        <v>0</v>
      </c>
      <c r="P338" s="21">
        <v>0</v>
      </c>
      <c r="Q338" s="21">
        <f t="shared" si="174"/>
        <v>0</v>
      </c>
      <c r="R338" s="15">
        <v>1</v>
      </c>
      <c r="S338" s="21">
        <v>0</v>
      </c>
      <c r="T338" s="21">
        <v>0</v>
      </c>
      <c r="U338" s="21">
        <v>0</v>
      </c>
      <c r="V338" s="21">
        <v>0</v>
      </c>
      <c r="W338" s="21">
        <f t="shared" si="175"/>
        <v>0</v>
      </c>
      <c r="X338" s="15"/>
      <c r="Y338" s="21">
        <v>0</v>
      </c>
      <c r="Z338" s="21">
        <v>0</v>
      </c>
      <c r="AA338" s="21">
        <v>0</v>
      </c>
      <c r="AB338" s="21">
        <v>1</v>
      </c>
      <c r="AC338" s="21">
        <f t="shared" si="176"/>
        <v>1</v>
      </c>
      <c r="AD338" s="15"/>
      <c r="AE338" s="21">
        <v>0</v>
      </c>
      <c r="AF338" s="21">
        <v>0</v>
      </c>
      <c r="AG338" s="21">
        <v>0</v>
      </c>
      <c r="AH338" s="21">
        <v>1</v>
      </c>
      <c r="AI338" s="21">
        <f t="shared" si="177"/>
        <v>1</v>
      </c>
      <c r="AK338" s="128">
        <v>1</v>
      </c>
      <c r="AL338">
        <v>3</v>
      </c>
      <c r="AM338">
        <v>0</v>
      </c>
      <c r="AN338">
        <v>0</v>
      </c>
      <c r="AO338" s="21">
        <f t="shared" si="178"/>
        <v>4</v>
      </c>
      <c r="AQ338">
        <v>1</v>
      </c>
      <c r="AR338">
        <v>3</v>
      </c>
      <c r="AS338">
        <v>0</v>
      </c>
      <c r="AT338">
        <v>0</v>
      </c>
      <c r="AU338" s="21">
        <f t="shared" si="173"/>
        <v>4</v>
      </c>
    </row>
    <row r="339" spans="1:48" x14ac:dyDescent="0.2">
      <c r="A339" s="12">
        <v>8</v>
      </c>
      <c r="B339" s="12" t="s">
        <v>495</v>
      </c>
      <c r="C339" s="12" t="s">
        <v>26</v>
      </c>
      <c r="D339" s="12">
        <v>28.32</v>
      </c>
      <c r="E339" s="12">
        <v>2004</v>
      </c>
      <c r="F339" s="15"/>
      <c r="G339" s="15"/>
      <c r="H339" s="15"/>
      <c r="I339" s="15"/>
      <c r="J339" s="15"/>
      <c r="K339" s="15"/>
      <c r="L339" s="15"/>
      <c r="M339" s="21">
        <v>0</v>
      </c>
      <c r="N339" s="21">
        <v>0</v>
      </c>
      <c r="O339" s="21">
        <v>0</v>
      </c>
      <c r="P339" s="21">
        <v>1</v>
      </c>
      <c r="Q339" s="21">
        <f t="shared" si="174"/>
        <v>1</v>
      </c>
      <c r="R339" s="15">
        <v>1</v>
      </c>
      <c r="S339" s="21">
        <v>0</v>
      </c>
      <c r="T339" s="21">
        <v>0</v>
      </c>
      <c r="U339" s="21">
        <v>0</v>
      </c>
      <c r="V339" s="21">
        <v>0</v>
      </c>
      <c r="W339" s="21">
        <f t="shared" si="175"/>
        <v>0</v>
      </c>
      <c r="X339" s="15"/>
      <c r="Y339" s="21">
        <v>0</v>
      </c>
      <c r="Z339" s="21">
        <v>0</v>
      </c>
      <c r="AA339" s="21">
        <v>0</v>
      </c>
      <c r="AB339" s="21">
        <v>1</v>
      </c>
      <c r="AC339" s="21">
        <f t="shared" si="176"/>
        <v>1</v>
      </c>
      <c r="AD339" s="15">
        <v>1</v>
      </c>
      <c r="AE339" s="21">
        <v>0</v>
      </c>
      <c r="AF339" s="21">
        <v>0</v>
      </c>
      <c r="AG339" s="21">
        <v>0</v>
      </c>
      <c r="AH339" s="21">
        <v>0</v>
      </c>
      <c r="AI339" s="21">
        <f t="shared" si="177"/>
        <v>0</v>
      </c>
      <c r="AK339" s="128">
        <v>1</v>
      </c>
      <c r="AL339">
        <v>0</v>
      </c>
      <c r="AM339">
        <v>0</v>
      </c>
      <c r="AN339">
        <v>0</v>
      </c>
      <c r="AO339" s="21">
        <f t="shared" si="178"/>
        <v>1</v>
      </c>
      <c r="AQ339">
        <v>1</v>
      </c>
      <c r="AR339">
        <v>1</v>
      </c>
      <c r="AS339">
        <v>3</v>
      </c>
      <c r="AT339">
        <v>0</v>
      </c>
      <c r="AU339" s="21">
        <f t="shared" si="173"/>
        <v>5</v>
      </c>
    </row>
    <row r="340" spans="1:48" x14ac:dyDescent="0.2">
      <c r="A340" s="12">
        <v>8</v>
      </c>
      <c r="B340" s="12" t="s">
        <v>496</v>
      </c>
      <c r="C340" s="12" t="s">
        <v>26</v>
      </c>
      <c r="D340" s="12">
        <v>30.13</v>
      </c>
      <c r="E340" s="12">
        <v>2004</v>
      </c>
      <c r="F340" s="15"/>
      <c r="G340" s="15"/>
      <c r="H340" s="15"/>
      <c r="I340" s="15"/>
      <c r="J340" s="15"/>
      <c r="K340" s="15"/>
      <c r="L340" s="15"/>
      <c r="M340" s="21">
        <v>0</v>
      </c>
      <c r="N340" s="21">
        <v>0</v>
      </c>
      <c r="O340" s="21">
        <v>0</v>
      </c>
      <c r="P340" s="21">
        <v>1</v>
      </c>
      <c r="Q340" s="21">
        <f t="shared" si="174"/>
        <v>1</v>
      </c>
      <c r="R340" s="15">
        <v>1</v>
      </c>
      <c r="S340" s="21">
        <v>0</v>
      </c>
      <c r="T340" s="21">
        <v>0</v>
      </c>
      <c r="U340" s="21">
        <v>0</v>
      </c>
      <c r="V340" s="21">
        <v>0</v>
      </c>
      <c r="W340" s="21">
        <f t="shared" si="175"/>
        <v>0</v>
      </c>
      <c r="X340" s="15">
        <v>1</v>
      </c>
      <c r="Y340" s="21">
        <v>0</v>
      </c>
      <c r="Z340" s="21">
        <v>0</v>
      </c>
      <c r="AA340" s="21">
        <v>0</v>
      </c>
      <c r="AB340" s="21">
        <v>0</v>
      </c>
      <c r="AC340" s="21">
        <f t="shared" si="176"/>
        <v>0</v>
      </c>
      <c r="AD340" s="15"/>
      <c r="AE340" s="21">
        <v>0</v>
      </c>
      <c r="AF340" s="21">
        <v>0</v>
      </c>
      <c r="AG340" s="21">
        <v>0</v>
      </c>
      <c r="AH340" s="21">
        <v>1</v>
      </c>
      <c r="AI340" s="21">
        <f t="shared" si="177"/>
        <v>1</v>
      </c>
      <c r="AK340" s="128">
        <v>1</v>
      </c>
      <c r="AL340">
        <v>0</v>
      </c>
      <c r="AM340">
        <v>0</v>
      </c>
      <c r="AN340">
        <v>0</v>
      </c>
      <c r="AO340" s="21">
        <f t="shared" si="178"/>
        <v>1</v>
      </c>
      <c r="AQ340">
        <v>1</v>
      </c>
      <c r="AR340">
        <v>0</v>
      </c>
      <c r="AS340">
        <v>0</v>
      </c>
      <c r="AT340">
        <v>0</v>
      </c>
      <c r="AU340" s="21">
        <f t="shared" si="173"/>
        <v>1</v>
      </c>
    </row>
    <row r="341" spans="1:48" x14ac:dyDescent="0.2">
      <c r="A341" s="12">
        <v>8</v>
      </c>
      <c r="B341" s="12" t="s">
        <v>497</v>
      </c>
      <c r="C341" s="12" t="s">
        <v>26</v>
      </c>
      <c r="D341" s="12">
        <v>28.25</v>
      </c>
      <c r="E341" s="12">
        <v>2004</v>
      </c>
      <c r="F341" s="15"/>
      <c r="G341" s="15"/>
      <c r="H341" s="15"/>
      <c r="I341" s="15"/>
      <c r="J341" s="15"/>
      <c r="K341" s="15"/>
      <c r="L341" s="15"/>
      <c r="M341" s="21">
        <v>0</v>
      </c>
      <c r="N341" s="21">
        <v>0</v>
      </c>
      <c r="O341" s="21">
        <v>0</v>
      </c>
      <c r="P341" s="21">
        <v>1</v>
      </c>
      <c r="Q341" s="21">
        <f t="shared" si="174"/>
        <v>1</v>
      </c>
      <c r="R341" s="15">
        <v>1</v>
      </c>
      <c r="S341" s="21">
        <v>0</v>
      </c>
      <c r="T341" s="21">
        <v>0</v>
      </c>
      <c r="U341" s="21">
        <v>0</v>
      </c>
      <c r="V341" s="21">
        <v>0</v>
      </c>
      <c r="W341" s="21">
        <f t="shared" si="175"/>
        <v>0</v>
      </c>
      <c r="X341" s="15">
        <v>1</v>
      </c>
      <c r="Y341" s="21">
        <v>0</v>
      </c>
      <c r="Z341" s="21">
        <v>0</v>
      </c>
      <c r="AA341" s="21">
        <v>0</v>
      </c>
      <c r="AB341" s="21">
        <v>0</v>
      </c>
      <c r="AC341" s="21">
        <f t="shared" si="176"/>
        <v>0</v>
      </c>
      <c r="AD341" s="15">
        <v>0</v>
      </c>
      <c r="AE341" s="21">
        <v>0</v>
      </c>
      <c r="AF341" s="21">
        <v>0</v>
      </c>
      <c r="AG341" s="21">
        <v>0</v>
      </c>
      <c r="AH341" s="21">
        <v>1</v>
      </c>
      <c r="AI341" s="21">
        <f t="shared" si="177"/>
        <v>1</v>
      </c>
      <c r="AK341" s="128">
        <v>1</v>
      </c>
      <c r="AL341">
        <v>0</v>
      </c>
      <c r="AM341">
        <v>0</v>
      </c>
      <c r="AN341">
        <v>0</v>
      </c>
      <c r="AO341" s="21">
        <f t="shared" si="178"/>
        <v>1</v>
      </c>
      <c r="AQ341">
        <v>1</v>
      </c>
      <c r="AR341">
        <v>0</v>
      </c>
      <c r="AS341">
        <v>0</v>
      </c>
      <c r="AT341">
        <v>0</v>
      </c>
      <c r="AU341" s="21">
        <f t="shared" si="173"/>
        <v>1</v>
      </c>
    </row>
    <row r="342" spans="1:48" ht="15" customHeight="1" x14ac:dyDescent="0.2">
      <c r="A342" s="12">
        <v>8</v>
      </c>
      <c r="B342" s="12" t="s">
        <v>498</v>
      </c>
      <c r="C342" s="12" t="s">
        <v>26</v>
      </c>
      <c r="D342" s="12">
        <v>25.95</v>
      </c>
      <c r="E342" s="12">
        <v>2005</v>
      </c>
      <c r="F342" s="15"/>
      <c r="G342" s="15"/>
      <c r="H342" s="15"/>
      <c r="I342" s="15"/>
      <c r="J342" s="15"/>
      <c r="K342" s="15"/>
      <c r="L342" s="15">
        <v>1</v>
      </c>
      <c r="M342" s="21">
        <v>0</v>
      </c>
      <c r="N342" s="21">
        <v>0</v>
      </c>
      <c r="O342" s="21">
        <v>0</v>
      </c>
      <c r="P342" s="21">
        <v>0</v>
      </c>
      <c r="Q342" s="21">
        <f t="shared" si="174"/>
        <v>0</v>
      </c>
      <c r="R342" s="15"/>
      <c r="S342" s="21">
        <v>0</v>
      </c>
      <c r="T342" s="21">
        <v>0</v>
      </c>
      <c r="U342" s="21">
        <v>0</v>
      </c>
      <c r="V342" s="21">
        <v>1</v>
      </c>
      <c r="W342" s="21">
        <f t="shared" si="175"/>
        <v>1</v>
      </c>
      <c r="X342" s="15"/>
      <c r="Y342" s="21">
        <v>1</v>
      </c>
      <c r="Z342" s="21">
        <v>0</v>
      </c>
      <c r="AA342" s="21">
        <v>0</v>
      </c>
      <c r="AB342" s="21">
        <v>1</v>
      </c>
      <c r="AC342" s="21">
        <f t="shared" si="176"/>
        <v>2</v>
      </c>
      <c r="AD342" s="15"/>
      <c r="AE342" s="21">
        <v>0</v>
      </c>
      <c r="AF342" s="21">
        <v>0</v>
      </c>
      <c r="AG342" s="21">
        <v>0</v>
      </c>
      <c r="AH342" s="21">
        <v>1</v>
      </c>
      <c r="AI342" s="21">
        <f t="shared" si="177"/>
        <v>1</v>
      </c>
      <c r="AJ342">
        <v>1</v>
      </c>
      <c r="AK342" s="128">
        <v>0</v>
      </c>
      <c r="AL342">
        <v>0</v>
      </c>
      <c r="AM342">
        <v>0</v>
      </c>
      <c r="AN342">
        <v>0</v>
      </c>
      <c r="AO342" s="21">
        <f t="shared" si="178"/>
        <v>0</v>
      </c>
      <c r="AQ342">
        <v>1</v>
      </c>
      <c r="AR342">
        <v>0</v>
      </c>
      <c r="AS342">
        <v>0</v>
      </c>
      <c r="AT342">
        <v>0</v>
      </c>
      <c r="AU342" s="21">
        <f t="shared" si="173"/>
        <v>1</v>
      </c>
    </row>
    <row r="343" spans="1:48" ht="15" customHeight="1" x14ac:dyDescent="0.2">
      <c r="A343" s="12">
        <v>8</v>
      </c>
      <c r="B343" s="12" t="s">
        <v>499</v>
      </c>
      <c r="C343" s="12" t="s">
        <v>26</v>
      </c>
      <c r="D343" s="12">
        <v>32.39</v>
      </c>
      <c r="E343" s="12">
        <v>2005</v>
      </c>
      <c r="F343" s="15"/>
      <c r="G343" s="15"/>
      <c r="H343" s="15"/>
      <c r="I343" s="15"/>
      <c r="J343" s="15"/>
      <c r="K343" s="15"/>
      <c r="L343" s="15">
        <v>1</v>
      </c>
      <c r="M343" s="21">
        <v>0</v>
      </c>
      <c r="N343" s="21">
        <v>0</v>
      </c>
      <c r="O343" s="21">
        <v>0</v>
      </c>
      <c r="P343" s="21">
        <v>0</v>
      </c>
      <c r="Q343" s="21">
        <f t="shared" si="174"/>
        <v>0</v>
      </c>
      <c r="R343" s="15">
        <v>1</v>
      </c>
      <c r="S343" s="21">
        <v>0</v>
      </c>
      <c r="T343" s="21">
        <v>0</v>
      </c>
      <c r="U343" s="21">
        <v>0</v>
      </c>
      <c r="V343" s="21">
        <v>0</v>
      </c>
      <c r="W343" s="21">
        <f t="shared" si="175"/>
        <v>0</v>
      </c>
      <c r="X343" s="15"/>
      <c r="Y343" s="21">
        <v>1</v>
      </c>
      <c r="Z343" s="21">
        <v>0</v>
      </c>
      <c r="AA343" s="21">
        <v>0</v>
      </c>
      <c r="AB343" s="21">
        <v>1</v>
      </c>
      <c r="AC343" s="21">
        <f t="shared" si="176"/>
        <v>2</v>
      </c>
      <c r="AD343" s="15">
        <v>0</v>
      </c>
      <c r="AE343" s="21">
        <v>0</v>
      </c>
      <c r="AF343" s="21">
        <v>0</v>
      </c>
      <c r="AG343" s="21">
        <v>0</v>
      </c>
      <c r="AH343" s="21">
        <v>1</v>
      </c>
      <c r="AI343" s="21">
        <f t="shared" si="177"/>
        <v>1</v>
      </c>
      <c r="AK343" s="128">
        <v>1</v>
      </c>
      <c r="AL343">
        <v>1</v>
      </c>
      <c r="AM343">
        <v>0</v>
      </c>
      <c r="AN343">
        <v>0</v>
      </c>
      <c r="AO343" s="21">
        <f t="shared" si="178"/>
        <v>2</v>
      </c>
      <c r="AQ343">
        <v>1</v>
      </c>
      <c r="AR343">
        <v>2</v>
      </c>
      <c r="AS343">
        <v>0</v>
      </c>
      <c r="AT343">
        <v>0</v>
      </c>
      <c r="AU343" s="21">
        <f t="shared" si="173"/>
        <v>3</v>
      </c>
    </row>
    <row r="344" spans="1:48" ht="15" customHeight="1" x14ac:dyDescent="0.2">
      <c r="A344" s="12">
        <v>8</v>
      </c>
      <c r="B344" s="12" t="s">
        <v>500</v>
      </c>
      <c r="C344" s="12" t="s">
        <v>26</v>
      </c>
      <c r="D344" s="12">
        <v>10.1</v>
      </c>
      <c r="E344" s="12">
        <v>2005</v>
      </c>
      <c r="F344" s="15"/>
      <c r="G344" s="15"/>
      <c r="H344" s="15"/>
      <c r="I344" s="15"/>
      <c r="J344" s="15"/>
      <c r="K344" s="15"/>
      <c r="L344" s="15">
        <v>1</v>
      </c>
      <c r="M344" s="21">
        <v>0</v>
      </c>
      <c r="N344" s="21">
        <v>0</v>
      </c>
      <c r="O344" s="21">
        <v>0</v>
      </c>
      <c r="P344" s="21">
        <v>0</v>
      </c>
      <c r="Q344" s="21">
        <f t="shared" si="174"/>
        <v>0</v>
      </c>
      <c r="R344" s="15">
        <v>1</v>
      </c>
      <c r="S344" s="21">
        <v>0</v>
      </c>
      <c r="T344" s="21">
        <v>0</v>
      </c>
      <c r="U344" s="21">
        <v>0</v>
      </c>
      <c r="V344" s="21">
        <v>0</v>
      </c>
      <c r="W344" s="21">
        <f t="shared" si="175"/>
        <v>0</v>
      </c>
      <c r="X344" s="15">
        <v>1</v>
      </c>
      <c r="Y344" s="21">
        <v>0</v>
      </c>
      <c r="Z344" s="21">
        <v>0</v>
      </c>
      <c r="AA344" s="21">
        <v>0</v>
      </c>
      <c r="AB344" s="21">
        <v>0</v>
      </c>
      <c r="AC344" s="21">
        <f t="shared" si="176"/>
        <v>0</v>
      </c>
      <c r="AD344" s="15">
        <v>1</v>
      </c>
      <c r="AE344" s="21">
        <v>0</v>
      </c>
      <c r="AF344" s="21">
        <v>0</v>
      </c>
      <c r="AG344" s="21">
        <v>0</v>
      </c>
      <c r="AH344" s="21">
        <v>0</v>
      </c>
      <c r="AI344" s="21">
        <f t="shared" si="177"/>
        <v>0</v>
      </c>
      <c r="AJ344">
        <v>1</v>
      </c>
      <c r="AK344" s="128">
        <v>0</v>
      </c>
      <c r="AL344">
        <v>0</v>
      </c>
      <c r="AM344">
        <v>0</v>
      </c>
      <c r="AN344">
        <v>0</v>
      </c>
      <c r="AO344" s="21">
        <f t="shared" si="178"/>
        <v>0</v>
      </c>
      <c r="AQ344">
        <v>0</v>
      </c>
      <c r="AR344">
        <v>0</v>
      </c>
      <c r="AS344">
        <v>0</v>
      </c>
      <c r="AT344">
        <v>0</v>
      </c>
      <c r="AU344" s="21">
        <f t="shared" si="173"/>
        <v>0</v>
      </c>
    </row>
    <row r="345" spans="1:48" x14ac:dyDescent="0.2">
      <c r="A345" s="12">
        <v>8</v>
      </c>
      <c r="B345" s="12" t="s">
        <v>501</v>
      </c>
      <c r="C345" s="12" t="s">
        <v>26</v>
      </c>
      <c r="D345" s="12">
        <v>25.14</v>
      </c>
      <c r="E345" s="12">
        <v>2005</v>
      </c>
      <c r="F345" s="15"/>
      <c r="G345" s="15"/>
      <c r="H345" s="15"/>
      <c r="I345" s="15"/>
      <c r="J345" s="15"/>
      <c r="K345" s="15"/>
      <c r="L345" s="15"/>
      <c r="M345" s="21">
        <v>0</v>
      </c>
      <c r="N345" s="21">
        <v>0</v>
      </c>
      <c r="O345" s="21">
        <v>0</v>
      </c>
      <c r="P345" s="21">
        <v>1</v>
      </c>
      <c r="Q345" s="21">
        <f t="shared" si="174"/>
        <v>1</v>
      </c>
      <c r="R345" s="15"/>
      <c r="S345" s="21">
        <v>0</v>
      </c>
      <c r="T345" s="21">
        <v>0</v>
      </c>
      <c r="U345" s="21">
        <v>0</v>
      </c>
      <c r="V345" s="21">
        <v>1</v>
      </c>
      <c r="W345" s="21">
        <f t="shared" si="175"/>
        <v>1</v>
      </c>
      <c r="X345" s="15">
        <v>1</v>
      </c>
      <c r="Y345" s="21">
        <v>0</v>
      </c>
      <c r="Z345" s="21">
        <v>0</v>
      </c>
      <c r="AA345" s="21">
        <v>0</v>
      </c>
      <c r="AB345" s="21">
        <v>0</v>
      </c>
      <c r="AC345" s="21">
        <f t="shared" si="176"/>
        <v>0</v>
      </c>
      <c r="AD345" s="15">
        <v>1</v>
      </c>
      <c r="AE345" s="21">
        <v>0</v>
      </c>
      <c r="AF345" s="21">
        <v>0</v>
      </c>
      <c r="AG345" s="21">
        <v>0</v>
      </c>
      <c r="AH345" s="21">
        <v>0</v>
      </c>
      <c r="AI345" s="21">
        <f t="shared" si="177"/>
        <v>0</v>
      </c>
      <c r="AJ345">
        <v>1</v>
      </c>
      <c r="AK345" s="128">
        <v>0</v>
      </c>
      <c r="AL345">
        <v>0</v>
      </c>
      <c r="AM345">
        <v>0</v>
      </c>
      <c r="AN345">
        <v>0</v>
      </c>
      <c r="AO345" s="21">
        <f t="shared" si="178"/>
        <v>0</v>
      </c>
      <c r="AQ345">
        <v>1</v>
      </c>
      <c r="AR345">
        <v>0</v>
      </c>
      <c r="AS345">
        <v>0</v>
      </c>
      <c r="AT345">
        <v>0</v>
      </c>
      <c r="AU345" s="21">
        <f t="shared" si="173"/>
        <v>1</v>
      </c>
    </row>
    <row r="346" spans="1:48" x14ac:dyDescent="0.2">
      <c r="A346" s="12">
        <v>8</v>
      </c>
      <c r="B346" s="12" t="s">
        <v>502</v>
      </c>
      <c r="C346" s="12" t="s">
        <v>26</v>
      </c>
      <c r="D346" s="12">
        <v>28.21</v>
      </c>
      <c r="E346" s="12">
        <v>2005</v>
      </c>
      <c r="F346" s="15"/>
      <c r="G346" s="15"/>
      <c r="H346" s="15"/>
      <c r="I346" s="15"/>
      <c r="J346" s="15"/>
      <c r="K346" s="15"/>
      <c r="L346" s="15"/>
      <c r="M346" s="21">
        <v>0</v>
      </c>
      <c r="N346" s="21">
        <v>0</v>
      </c>
      <c r="O346" s="21">
        <v>0</v>
      </c>
      <c r="P346" s="21">
        <v>1</v>
      </c>
      <c r="Q346" s="21">
        <f t="shared" si="174"/>
        <v>1</v>
      </c>
      <c r="R346" s="15">
        <v>1</v>
      </c>
      <c r="S346" s="21">
        <v>0</v>
      </c>
      <c r="T346" s="21">
        <v>0</v>
      </c>
      <c r="U346" s="21">
        <v>0</v>
      </c>
      <c r="V346" s="21">
        <v>0</v>
      </c>
      <c r="W346" s="21">
        <f t="shared" si="175"/>
        <v>0</v>
      </c>
      <c r="X346" s="15"/>
      <c r="Y346" s="21">
        <v>0</v>
      </c>
      <c r="Z346" s="21">
        <v>0</v>
      </c>
      <c r="AA346" s="21">
        <v>0</v>
      </c>
      <c r="AB346" s="21">
        <v>1</v>
      </c>
      <c r="AC346" s="21">
        <f t="shared" si="176"/>
        <v>1</v>
      </c>
      <c r="AD346" s="15">
        <v>1</v>
      </c>
      <c r="AE346" s="21">
        <v>0</v>
      </c>
      <c r="AF346" s="21">
        <v>0</v>
      </c>
      <c r="AG346" s="21">
        <v>0</v>
      </c>
      <c r="AH346" s="21">
        <v>0</v>
      </c>
      <c r="AI346" s="21">
        <f t="shared" si="177"/>
        <v>0</v>
      </c>
      <c r="AJ346">
        <v>1</v>
      </c>
      <c r="AK346" s="128">
        <v>0</v>
      </c>
      <c r="AL346">
        <v>0</v>
      </c>
      <c r="AM346">
        <v>0</v>
      </c>
      <c r="AN346">
        <v>0</v>
      </c>
      <c r="AO346" s="21">
        <f t="shared" si="178"/>
        <v>0</v>
      </c>
      <c r="AP346">
        <v>1</v>
      </c>
      <c r="AQ346">
        <v>0</v>
      </c>
      <c r="AR346">
        <v>0</v>
      </c>
      <c r="AS346">
        <v>0</v>
      </c>
      <c r="AT346" t="s">
        <v>468</v>
      </c>
      <c r="AU346" s="21">
        <f t="shared" si="173"/>
        <v>0</v>
      </c>
    </row>
    <row r="347" spans="1:48" x14ac:dyDescent="0.2">
      <c r="A347" s="131" t="s">
        <v>71</v>
      </c>
      <c r="B347" s="131"/>
      <c r="C347" s="131"/>
      <c r="D347" s="13">
        <f>SUM(D307:D346)</f>
        <v>1129.0500000000002</v>
      </c>
      <c r="E347" s="13">
        <f t="shared" ref="E347:AV347" si="179">SUM(E307:E346)</f>
        <v>80044</v>
      </c>
      <c r="F347" s="13">
        <f t="shared" si="179"/>
        <v>0</v>
      </c>
      <c r="G347" s="13">
        <f t="shared" si="179"/>
        <v>0</v>
      </c>
      <c r="H347" s="13">
        <f t="shared" si="179"/>
        <v>0</v>
      </c>
      <c r="I347" s="13">
        <f t="shared" si="179"/>
        <v>0</v>
      </c>
      <c r="J347" s="13">
        <f t="shared" si="179"/>
        <v>0</v>
      </c>
      <c r="K347" s="13">
        <f t="shared" si="179"/>
        <v>0</v>
      </c>
      <c r="L347" s="13">
        <f t="shared" si="179"/>
        <v>10</v>
      </c>
      <c r="M347" s="13">
        <f t="shared" si="179"/>
        <v>5</v>
      </c>
      <c r="N347" s="13">
        <f t="shared" si="179"/>
        <v>4</v>
      </c>
      <c r="O347" s="13">
        <f t="shared" si="179"/>
        <v>7</v>
      </c>
      <c r="P347" s="13">
        <f t="shared" si="179"/>
        <v>30</v>
      </c>
      <c r="Q347" s="13">
        <f t="shared" si="179"/>
        <v>46</v>
      </c>
      <c r="R347" s="13">
        <f t="shared" si="179"/>
        <v>23</v>
      </c>
      <c r="S347" s="13">
        <f t="shared" si="179"/>
        <v>5</v>
      </c>
      <c r="T347" s="13">
        <f t="shared" si="179"/>
        <v>4</v>
      </c>
      <c r="U347" s="13">
        <f t="shared" si="179"/>
        <v>6</v>
      </c>
      <c r="V347" s="13">
        <f t="shared" si="179"/>
        <v>17</v>
      </c>
      <c r="W347" s="13">
        <f t="shared" si="179"/>
        <v>32</v>
      </c>
      <c r="X347" s="13">
        <f t="shared" si="179"/>
        <v>9</v>
      </c>
      <c r="Y347" s="13">
        <f t="shared" si="179"/>
        <v>14</v>
      </c>
      <c r="Z347" s="13">
        <f t="shared" si="179"/>
        <v>3</v>
      </c>
      <c r="AA347" s="13">
        <f t="shared" si="179"/>
        <v>11</v>
      </c>
      <c r="AB347" s="13">
        <f t="shared" si="179"/>
        <v>30</v>
      </c>
      <c r="AC347" s="13">
        <f t="shared" si="179"/>
        <v>58</v>
      </c>
      <c r="AD347" s="13">
        <f t="shared" si="179"/>
        <v>8</v>
      </c>
      <c r="AE347" s="13">
        <f t="shared" si="179"/>
        <v>15</v>
      </c>
      <c r="AF347" s="13">
        <f t="shared" si="179"/>
        <v>3</v>
      </c>
      <c r="AG347" s="13">
        <f t="shared" si="179"/>
        <v>22</v>
      </c>
      <c r="AH347" s="13">
        <f t="shared" si="179"/>
        <v>17</v>
      </c>
      <c r="AI347" s="13">
        <f t="shared" si="179"/>
        <v>57</v>
      </c>
      <c r="AJ347" s="13">
        <f t="shared" si="179"/>
        <v>7</v>
      </c>
      <c r="AK347" s="13">
        <f t="shared" si="179"/>
        <v>26</v>
      </c>
      <c r="AL347" s="13">
        <f t="shared" si="179"/>
        <v>12</v>
      </c>
      <c r="AM347" s="13">
        <f t="shared" si="179"/>
        <v>5</v>
      </c>
      <c r="AN347" s="13">
        <f t="shared" si="179"/>
        <v>6</v>
      </c>
      <c r="AO347" s="13">
        <f t="shared" si="179"/>
        <v>49</v>
      </c>
      <c r="AP347" s="13">
        <f t="shared" si="179"/>
        <v>2</v>
      </c>
      <c r="AQ347" s="13">
        <f t="shared" si="179"/>
        <v>36</v>
      </c>
      <c r="AR347" s="13">
        <f t="shared" si="179"/>
        <v>16</v>
      </c>
      <c r="AS347" s="13">
        <f t="shared" si="179"/>
        <v>18</v>
      </c>
      <c r="AT347" s="13">
        <f t="shared" si="179"/>
        <v>1</v>
      </c>
      <c r="AU347" s="13">
        <f t="shared" si="179"/>
        <v>71</v>
      </c>
      <c r="AV347" s="13">
        <f t="shared" si="179"/>
        <v>0</v>
      </c>
    </row>
    <row r="348" spans="1:48" x14ac:dyDescent="0.2">
      <c r="A348" s="12">
        <v>9</v>
      </c>
      <c r="B348" s="12" t="s">
        <v>378</v>
      </c>
      <c r="C348" s="12" t="s">
        <v>26</v>
      </c>
      <c r="D348" s="12">
        <v>30.13</v>
      </c>
      <c r="E348" s="12">
        <v>1997</v>
      </c>
      <c r="F348" s="15"/>
      <c r="G348" s="15"/>
      <c r="H348" s="15"/>
      <c r="I348" s="15"/>
      <c r="J348" s="15"/>
      <c r="K348" s="15"/>
      <c r="L348" s="15"/>
      <c r="M348" s="21">
        <v>0</v>
      </c>
      <c r="N348" s="21">
        <v>0</v>
      </c>
      <c r="O348" s="21">
        <v>0</v>
      </c>
      <c r="P348" s="21">
        <v>1</v>
      </c>
      <c r="Q348" s="21">
        <f t="shared" si="174"/>
        <v>1</v>
      </c>
      <c r="R348" s="21"/>
      <c r="S348" s="21">
        <v>1</v>
      </c>
      <c r="T348" s="21">
        <v>0</v>
      </c>
      <c r="U348" s="21">
        <v>0</v>
      </c>
      <c r="V348" s="21">
        <v>1</v>
      </c>
      <c r="W348" s="21">
        <f t="shared" si="175"/>
        <v>2</v>
      </c>
      <c r="X348" s="21"/>
      <c r="Y348" s="21">
        <v>1</v>
      </c>
      <c r="Z348" s="21">
        <v>0</v>
      </c>
      <c r="AA348" s="21">
        <v>0</v>
      </c>
      <c r="AB348" s="21">
        <v>1</v>
      </c>
      <c r="AC348" s="21">
        <f t="shared" si="176"/>
        <v>2</v>
      </c>
      <c r="AD348" s="21"/>
      <c r="AE348" s="21">
        <v>1</v>
      </c>
      <c r="AF348" s="21">
        <v>0</v>
      </c>
      <c r="AG348" s="21">
        <v>0</v>
      </c>
      <c r="AH348" s="21">
        <v>0</v>
      </c>
      <c r="AI348" s="21">
        <f t="shared" si="177"/>
        <v>1</v>
      </c>
      <c r="AK348" s="128">
        <v>1</v>
      </c>
      <c r="AL348">
        <v>0</v>
      </c>
      <c r="AM348">
        <v>0</v>
      </c>
      <c r="AN348">
        <v>0</v>
      </c>
      <c r="AO348" s="21">
        <f t="shared" si="178"/>
        <v>1</v>
      </c>
      <c r="AQ348">
        <v>1</v>
      </c>
      <c r="AR348">
        <v>0</v>
      </c>
      <c r="AS348">
        <v>0</v>
      </c>
      <c r="AT348">
        <v>0</v>
      </c>
      <c r="AU348" s="21">
        <f t="shared" si="173"/>
        <v>1</v>
      </c>
    </row>
    <row r="349" spans="1:48" x14ac:dyDescent="0.2">
      <c r="A349" s="12">
        <v>9</v>
      </c>
      <c r="B349" s="12" t="s">
        <v>379</v>
      </c>
      <c r="C349" s="12" t="s">
        <v>26</v>
      </c>
      <c r="D349" s="12">
        <v>30.48</v>
      </c>
      <c r="E349" s="12">
        <v>1997</v>
      </c>
      <c r="F349" s="15"/>
      <c r="G349" s="15"/>
      <c r="H349" s="15"/>
      <c r="I349" s="15"/>
      <c r="J349" s="15"/>
      <c r="K349" s="15"/>
      <c r="L349" s="15"/>
      <c r="M349" s="21">
        <v>0</v>
      </c>
      <c r="N349" s="21">
        <v>0</v>
      </c>
      <c r="O349" s="21">
        <v>0</v>
      </c>
      <c r="P349" s="21">
        <v>1</v>
      </c>
      <c r="Q349" s="21">
        <f t="shared" si="174"/>
        <v>1</v>
      </c>
      <c r="R349" s="21">
        <v>1</v>
      </c>
      <c r="S349" s="21">
        <v>0</v>
      </c>
      <c r="T349" s="21">
        <v>0</v>
      </c>
      <c r="U349" s="21">
        <v>0</v>
      </c>
      <c r="V349" s="21">
        <v>0</v>
      </c>
      <c r="W349" s="21">
        <f t="shared" si="175"/>
        <v>0</v>
      </c>
      <c r="X349" s="21">
        <v>1</v>
      </c>
      <c r="Y349" s="21">
        <v>0</v>
      </c>
      <c r="Z349" s="21">
        <v>0</v>
      </c>
      <c r="AA349" s="21">
        <v>0</v>
      </c>
      <c r="AB349" s="21">
        <v>0</v>
      </c>
      <c r="AC349" s="21">
        <f t="shared" si="176"/>
        <v>0</v>
      </c>
      <c r="AD349" s="21"/>
      <c r="AE349" s="21">
        <v>0</v>
      </c>
      <c r="AF349" s="21">
        <v>0</v>
      </c>
      <c r="AG349" s="21">
        <v>0</v>
      </c>
      <c r="AH349" s="21">
        <v>1</v>
      </c>
      <c r="AI349" s="21">
        <f t="shared" si="177"/>
        <v>1</v>
      </c>
      <c r="AK349" s="128">
        <v>0</v>
      </c>
      <c r="AL349">
        <v>0</v>
      </c>
      <c r="AM349">
        <v>0</v>
      </c>
      <c r="AN349">
        <v>1</v>
      </c>
      <c r="AO349" s="21">
        <f t="shared" si="178"/>
        <v>1</v>
      </c>
      <c r="AQ349">
        <v>0</v>
      </c>
      <c r="AR349">
        <v>0</v>
      </c>
      <c r="AS349">
        <v>0</v>
      </c>
      <c r="AT349">
        <v>1</v>
      </c>
      <c r="AU349" s="21">
        <f t="shared" si="173"/>
        <v>1</v>
      </c>
    </row>
    <row r="350" spans="1:48" x14ac:dyDescent="0.2">
      <c r="A350" s="12">
        <v>9</v>
      </c>
      <c r="B350" s="12" t="s">
        <v>381</v>
      </c>
      <c r="C350" s="12" t="s">
        <v>26</v>
      </c>
      <c r="D350" s="12">
        <v>29.49</v>
      </c>
      <c r="E350" s="12">
        <v>1997</v>
      </c>
      <c r="F350" s="15"/>
      <c r="G350" s="15"/>
      <c r="H350" s="15"/>
      <c r="I350" s="15"/>
      <c r="J350" s="15"/>
      <c r="K350" s="15"/>
      <c r="L350" s="15"/>
      <c r="M350" s="21">
        <v>0</v>
      </c>
      <c r="N350" s="21">
        <v>0</v>
      </c>
      <c r="O350" s="21">
        <v>0</v>
      </c>
      <c r="P350" s="21">
        <v>1</v>
      </c>
      <c r="Q350" s="21">
        <f t="shared" si="174"/>
        <v>1</v>
      </c>
      <c r="R350" s="21">
        <v>1</v>
      </c>
      <c r="S350" s="21">
        <v>0</v>
      </c>
      <c r="T350" s="21">
        <v>0</v>
      </c>
      <c r="U350" s="21">
        <v>0</v>
      </c>
      <c r="V350" s="21">
        <v>0</v>
      </c>
      <c r="W350" s="21">
        <f t="shared" si="175"/>
        <v>0</v>
      </c>
      <c r="X350" s="21">
        <v>1</v>
      </c>
      <c r="Y350" s="21">
        <v>0</v>
      </c>
      <c r="Z350" s="21">
        <v>0</v>
      </c>
      <c r="AA350" s="21">
        <v>0</v>
      </c>
      <c r="AB350" s="21">
        <v>0</v>
      </c>
      <c r="AC350" s="21">
        <f t="shared" si="176"/>
        <v>0</v>
      </c>
      <c r="AD350" s="21"/>
      <c r="AE350" s="21">
        <v>0</v>
      </c>
      <c r="AF350" s="21">
        <v>0</v>
      </c>
      <c r="AG350" s="21">
        <v>0</v>
      </c>
      <c r="AH350" s="21">
        <v>1</v>
      </c>
      <c r="AI350" s="21">
        <f t="shared" si="177"/>
        <v>1</v>
      </c>
      <c r="AK350" s="128">
        <v>0</v>
      </c>
      <c r="AL350">
        <v>0</v>
      </c>
      <c r="AM350">
        <v>0</v>
      </c>
      <c r="AN350">
        <v>1</v>
      </c>
      <c r="AO350" s="21">
        <f t="shared" si="178"/>
        <v>1</v>
      </c>
      <c r="AQ350">
        <v>0</v>
      </c>
      <c r="AR350">
        <v>0</v>
      </c>
      <c r="AS350">
        <v>0</v>
      </c>
      <c r="AT350">
        <v>1</v>
      </c>
      <c r="AU350" s="21">
        <f t="shared" si="173"/>
        <v>1</v>
      </c>
    </row>
    <row r="351" spans="1:48" x14ac:dyDescent="0.2">
      <c r="A351" s="12">
        <v>9</v>
      </c>
      <c r="B351" s="12" t="s">
        <v>382</v>
      </c>
      <c r="C351" s="12" t="s">
        <v>26</v>
      </c>
      <c r="D351" s="12">
        <v>30.05</v>
      </c>
      <c r="E351" s="12">
        <v>1997</v>
      </c>
      <c r="F351" s="15"/>
      <c r="G351" s="15"/>
      <c r="H351" s="15"/>
      <c r="I351" s="15"/>
      <c r="J351" s="15"/>
      <c r="K351" s="15"/>
      <c r="L351" s="15"/>
      <c r="M351" s="21">
        <v>0</v>
      </c>
      <c r="N351" s="21">
        <v>0</v>
      </c>
      <c r="O351" s="21">
        <v>0</v>
      </c>
      <c r="P351" s="21">
        <v>1</v>
      </c>
      <c r="Q351" s="21">
        <f t="shared" si="174"/>
        <v>1</v>
      </c>
      <c r="R351" s="21">
        <v>1</v>
      </c>
      <c r="S351" s="21">
        <v>0</v>
      </c>
      <c r="T351" s="21">
        <v>0</v>
      </c>
      <c r="U351" s="21">
        <v>0</v>
      </c>
      <c r="V351" s="21">
        <v>0</v>
      </c>
      <c r="W351" s="21">
        <f t="shared" si="175"/>
        <v>0</v>
      </c>
      <c r="X351" s="21">
        <v>1</v>
      </c>
      <c r="Y351" s="21">
        <v>0</v>
      </c>
      <c r="Z351" s="21">
        <v>0</v>
      </c>
      <c r="AA351" s="21">
        <v>0</v>
      </c>
      <c r="AB351" s="21">
        <v>0</v>
      </c>
      <c r="AC351" s="21">
        <f t="shared" si="176"/>
        <v>0</v>
      </c>
      <c r="AD351" s="21"/>
      <c r="AE351" s="21">
        <v>0</v>
      </c>
      <c r="AF351" s="21">
        <v>0</v>
      </c>
      <c r="AG351" s="21">
        <v>0</v>
      </c>
      <c r="AH351" s="21">
        <v>1</v>
      </c>
      <c r="AI351" s="21">
        <f t="shared" si="177"/>
        <v>1</v>
      </c>
      <c r="AK351" s="128">
        <v>0</v>
      </c>
      <c r="AL351">
        <v>0</v>
      </c>
      <c r="AM351">
        <v>0</v>
      </c>
      <c r="AN351">
        <v>1</v>
      </c>
      <c r="AO351" s="21">
        <f t="shared" si="178"/>
        <v>1</v>
      </c>
      <c r="AQ351">
        <v>0</v>
      </c>
      <c r="AR351">
        <v>0</v>
      </c>
      <c r="AS351">
        <v>0</v>
      </c>
      <c r="AT351">
        <v>1</v>
      </c>
      <c r="AU351" s="21">
        <f t="shared" si="173"/>
        <v>1</v>
      </c>
    </row>
    <row r="352" spans="1:48" x14ac:dyDescent="0.2">
      <c r="A352" s="12">
        <v>9</v>
      </c>
      <c r="B352" s="12" t="s">
        <v>386</v>
      </c>
      <c r="C352" s="12" t="s">
        <v>26</v>
      </c>
      <c r="D352" s="12">
        <v>28.62</v>
      </c>
      <c r="E352" s="12">
        <v>1997</v>
      </c>
      <c r="F352" s="15"/>
      <c r="G352" s="15"/>
      <c r="H352" s="15"/>
      <c r="I352" s="15"/>
      <c r="J352" s="15"/>
      <c r="K352" s="15"/>
      <c r="L352" s="15"/>
      <c r="M352" s="21">
        <v>0</v>
      </c>
      <c r="N352" s="21">
        <v>0</v>
      </c>
      <c r="O352" s="21">
        <v>0</v>
      </c>
      <c r="P352" s="21">
        <v>1</v>
      </c>
      <c r="Q352" s="21">
        <f t="shared" si="174"/>
        <v>1</v>
      </c>
      <c r="R352" s="21"/>
      <c r="S352" s="21">
        <v>1</v>
      </c>
      <c r="T352" s="21">
        <v>0</v>
      </c>
      <c r="U352" s="21">
        <v>0</v>
      </c>
      <c r="V352" s="21">
        <v>1</v>
      </c>
      <c r="W352" s="21">
        <f t="shared" si="175"/>
        <v>2</v>
      </c>
      <c r="X352" s="21"/>
      <c r="Y352" s="21">
        <v>1</v>
      </c>
      <c r="Z352" s="21">
        <v>0</v>
      </c>
      <c r="AA352" s="21">
        <v>0</v>
      </c>
      <c r="AB352" s="21">
        <v>1</v>
      </c>
      <c r="AC352" s="21">
        <f t="shared" si="176"/>
        <v>2</v>
      </c>
      <c r="AD352" s="21"/>
      <c r="AE352" s="21">
        <v>1</v>
      </c>
      <c r="AF352" s="21">
        <v>0</v>
      </c>
      <c r="AG352" s="21">
        <v>0</v>
      </c>
      <c r="AH352" s="21">
        <v>0</v>
      </c>
      <c r="AI352" s="21">
        <f t="shared" si="177"/>
        <v>1</v>
      </c>
      <c r="AK352" s="128">
        <v>1</v>
      </c>
      <c r="AL352">
        <v>0</v>
      </c>
      <c r="AM352">
        <v>0</v>
      </c>
      <c r="AN352">
        <v>0</v>
      </c>
      <c r="AO352" s="21">
        <f t="shared" si="178"/>
        <v>1</v>
      </c>
      <c r="AQ352">
        <v>1</v>
      </c>
      <c r="AR352">
        <v>0</v>
      </c>
      <c r="AS352">
        <v>0</v>
      </c>
      <c r="AT352">
        <v>0</v>
      </c>
      <c r="AU352" s="21">
        <f t="shared" si="173"/>
        <v>1</v>
      </c>
    </row>
    <row r="353" spans="1:47" x14ac:dyDescent="0.2">
      <c r="A353" s="12">
        <v>9</v>
      </c>
      <c r="B353" s="12" t="s">
        <v>387</v>
      </c>
      <c r="C353" s="12" t="s">
        <v>26</v>
      </c>
      <c r="D353" s="12">
        <v>29.79</v>
      </c>
      <c r="E353" s="12">
        <v>1997</v>
      </c>
      <c r="F353" s="15"/>
      <c r="G353" s="15"/>
      <c r="H353" s="15"/>
      <c r="I353" s="15"/>
      <c r="J353" s="15"/>
      <c r="K353" s="15"/>
      <c r="L353" s="15"/>
      <c r="M353" s="21">
        <v>0</v>
      </c>
      <c r="N353" s="21">
        <v>0</v>
      </c>
      <c r="O353" s="21">
        <v>0</v>
      </c>
      <c r="P353" s="21">
        <v>1</v>
      </c>
      <c r="Q353" s="21">
        <f t="shared" si="174"/>
        <v>1</v>
      </c>
      <c r="R353" s="21"/>
      <c r="S353" s="21">
        <v>1</v>
      </c>
      <c r="T353" s="21">
        <v>0</v>
      </c>
      <c r="U353" s="21">
        <v>0</v>
      </c>
      <c r="V353" s="21">
        <v>1</v>
      </c>
      <c r="W353" s="21">
        <f t="shared" si="175"/>
        <v>2</v>
      </c>
      <c r="X353" s="21"/>
      <c r="Y353" s="21">
        <v>1</v>
      </c>
      <c r="Z353" s="21">
        <v>0</v>
      </c>
      <c r="AA353" s="21">
        <v>0</v>
      </c>
      <c r="AB353" s="21">
        <v>1</v>
      </c>
      <c r="AC353" s="21">
        <f t="shared" si="176"/>
        <v>2</v>
      </c>
      <c r="AD353" s="21"/>
      <c r="AE353" s="21">
        <v>1</v>
      </c>
      <c r="AF353" s="21">
        <v>0</v>
      </c>
      <c r="AG353" s="21">
        <v>0</v>
      </c>
      <c r="AH353" s="21">
        <v>0</v>
      </c>
      <c r="AI353" s="21">
        <f t="shared" si="177"/>
        <v>1</v>
      </c>
      <c r="AK353" s="128">
        <v>0</v>
      </c>
      <c r="AL353">
        <v>0</v>
      </c>
      <c r="AM353">
        <v>0</v>
      </c>
      <c r="AN353">
        <v>1</v>
      </c>
      <c r="AO353" s="21">
        <f t="shared" si="178"/>
        <v>1</v>
      </c>
      <c r="AQ353">
        <v>0</v>
      </c>
      <c r="AR353">
        <v>0</v>
      </c>
      <c r="AS353">
        <v>0</v>
      </c>
      <c r="AT353">
        <v>1</v>
      </c>
      <c r="AU353" s="21">
        <f t="shared" si="173"/>
        <v>1</v>
      </c>
    </row>
    <row r="354" spans="1:47" x14ac:dyDescent="0.2">
      <c r="A354" s="12">
        <v>9</v>
      </c>
      <c r="B354" s="12" t="s">
        <v>389</v>
      </c>
      <c r="C354" s="12" t="s">
        <v>26</v>
      </c>
      <c r="D354" s="12">
        <v>28.55</v>
      </c>
      <c r="E354" s="12">
        <v>1997</v>
      </c>
      <c r="F354" s="15"/>
      <c r="G354" s="15"/>
      <c r="H354" s="15"/>
      <c r="I354" s="15"/>
      <c r="J354" s="15"/>
      <c r="K354" s="15"/>
      <c r="L354" s="15"/>
      <c r="M354" s="21">
        <v>0</v>
      </c>
      <c r="N354" s="21">
        <v>0</v>
      </c>
      <c r="O354" s="21">
        <v>0</v>
      </c>
      <c r="P354" s="21">
        <v>1</v>
      </c>
      <c r="Q354" s="21">
        <f t="shared" si="174"/>
        <v>1</v>
      </c>
      <c r="R354" s="21">
        <v>1</v>
      </c>
      <c r="S354" s="21">
        <v>0</v>
      </c>
      <c r="T354" s="21">
        <v>0</v>
      </c>
      <c r="U354" s="21">
        <v>0</v>
      </c>
      <c r="V354" s="21">
        <v>0</v>
      </c>
      <c r="W354" s="21">
        <f t="shared" si="175"/>
        <v>0</v>
      </c>
      <c r="X354" s="21">
        <v>1</v>
      </c>
      <c r="Y354" s="21">
        <v>0</v>
      </c>
      <c r="Z354" s="21">
        <v>0</v>
      </c>
      <c r="AA354" s="21">
        <v>0</v>
      </c>
      <c r="AB354" s="21">
        <v>0</v>
      </c>
      <c r="AC354" s="21">
        <f t="shared" si="176"/>
        <v>0</v>
      </c>
      <c r="AD354" s="21"/>
      <c r="AE354" s="21">
        <v>0</v>
      </c>
      <c r="AF354" s="21">
        <v>0</v>
      </c>
      <c r="AG354" s="21">
        <v>0</v>
      </c>
      <c r="AH354" s="21">
        <v>1</v>
      </c>
      <c r="AI354" s="21">
        <f t="shared" si="177"/>
        <v>1</v>
      </c>
      <c r="AK354" s="128">
        <v>0</v>
      </c>
      <c r="AL354">
        <v>0</v>
      </c>
      <c r="AM354">
        <v>0</v>
      </c>
      <c r="AN354">
        <v>1</v>
      </c>
      <c r="AO354" s="21">
        <f t="shared" si="178"/>
        <v>1</v>
      </c>
      <c r="AQ354">
        <v>0</v>
      </c>
      <c r="AR354">
        <v>0</v>
      </c>
      <c r="AS354">
        <v>0</v>
      </c>
      <c r="AT354">
        <v>1</v>
      </c>
      <c r="AU354" s="21">
        <f t="shared" si="173"/>
        <v>1</v>
      </c>
    </row>
    <row r="355" spans="1:47" x14ac:dyDescent="0.2">
      <c r="A355" s="12">
        <v>9</v>
      </c>
      <c r="B355" s="12" t="s">
        <v>503</v>
      </c>
      <c r="C355" s="12" t="s">
        <v>26</v>
      </c>
      <c r="D355" s="12">
        <v>29.76</v>
      </c>
      <c r="E355" s="12">
        <v>1998</v>
      </c>
      <c r="F355" s="15"/>
      <c r="G355" s="15"/>
      <c r="H355" s="15"/>
      <c r="I355" s="15"/>
      <c r="J355" s="15"/>
      <c r="K355" s="15"/>
      <c r="L355" s="15"/>
      <c r="M355" s="21">
        <v>0</v>
      </c>
      <c r="N355" s="21">
        <v>0</v>
      </c>
      <c r="O355" s="21">
        <v>0</v>
      </c>
      <c r="P355" s="21">
        <v>1</v>
      </c>
      <c r="Q355" s="21">
        <f t="shared" si="174"/>
        <v>1</v>
      </c>
      <c r="R355" s="21">
        <v>1</v>
      </c>
      <c r="S355" s="21">
        <v>0</v>
      </c>
      <c r="T355" s="21">
        <v>0</v>
      </c>
      <c r="U355" s="21">
        <v>0</v>
      </c>
      <c r="V355" s="21">
        <v>0</v>
      </c>
      <c r="W355" s="21">
        <f t="shared" si="175"/>
        <v>0</v>
      </c>
      <c r="X355" s="21">
        <v>1</v>
      </c>
      <c r="Y355" s="21">
        <v>0</v>
      </c>
      <c r="Z355" s="21">
        <v>0</v>
      </c>
      <c r="AA355" s="21">
        <v>0</v>
      </c>
      <c r="AB355" s="21">
        <v>0</v>
      </c>
      <c r="AC355" s="21">
        <f t="shared" si="176"/>
        <v>0</v>
      </c>
      <c r="AD355" s="21"/>
      <c r="AE355" s="21">
        <v>0</v>
      </c>
      <c r="AF355" s="21">
        <v>0</v>
      </c>
      <c r="AG355" s="21">
        <v>0</v>
      </c>
      <c r="AH355" s="21">
        <v>1</v>
      </c>
      <c r="AI355" s="21">
        <f t="shared" si="177"/>
        <v>1</v>
      </c>
      <c r="AK355" s="128">
        <v>0</v>
      </c>
      <c r="AL355">
        <v>0</v>
      </c>
      <c r="AM355">
        <v>0</v>
      </c>
      <c r="AN355">
        <v>1</v>
      </c>
      <c r="AO355" s="21">
        <f t="shared" si="178"/>
        <v>1</v>
      </c>
      <c r="AQ355">
        <v>0</v>
      </c>
      <c r="AR355">
        <v>0</v>
      </c>
      <c r="AS355">
        <v>0</v>
      </c>
      <c r="AT355">
        <v>1</v>
      </c>
      <c r="AU355" s="21">
        <f t="shared" si="173"/>
        <v>1</v>
      </c>
    </row>
    <row r="356" spans="1:47" x14ac:dyDescent="0.2">
      <c r="A356" s="12">
        <v>9</v>
      </c>
      <c r="B356" s="12" t="s">
        <v>504</v>
      </c>
      <c r="C356" s="12" t="s">
        <v>26</v>
      </c>
      <c r="D356" s="12">
        <v>27.96</v>
      </c>
      <c r="E356" s="12">
        <v>1998</v>
      </c>
      <c r="F356" s="15"/>
      <c r="G356" s="15"/>
      <c r="H356" s="15"/>
      <c r="I356" s="15"/>
      <c r="J356" s="15"/>
      <c r="K356" s="15"/>
      <c r="L356" s="15"/>
      <c r="M356" s="21">
        <v>0</v>
      </c>
      <c r="N356" s="21">
        <v>0</v>
      </c>
      <c r="O356" s="21">
        <v>0</v>
      </c>
      <c r="P356" s="21">
        <v>1</v>
      </c>
      <c r="Q356" s="21">
        <f t="shared" si="174"/>
        <v>1</v>
      </c>
      <c r="R356" s="21">
        <v>1</v>
      </c>
      <c r="S356" s="21">
        <v>0</v>
      </c>
      <c r="T356" s="21">
        <v>0</v>
      </c>
      <c r="U356" s="21">
        <v>0</v>
      </c>
      <c r="V356" s="21">
        <v>0</v>
      </c>
      <c r="W356" s="21">
        <f t="shared" si="175"/>
        <v>0</v>
      </c>
      <c r="X356" s="21">
        <v>1</v>
      </c>
      <c r="Y356" s="21">
        <v>0</v>
      </c>
      <c r="Z356" s="21">
        <v>0</v>
      </c>
      <c r="AA356" s="21">
        <v>0</v>
      </c>
      <c r="AB356" s="21">
        <v>0</v>
      </c>
      <c r="AC356" s="21">
        <f t="shared" si="176"/>
        <v>0</v>
      </c>
      <c r="AD356" s="21"/>
      <c r="AE356" s="21">
        <v>0</v>
      </c>
      <c r="AF356" s="21">
        <v>0</v>
      </c>
      <c r="AG356" s="21">
        <v>0</v>
      </c>
      <c r="AH356" s="21">
        <v>1</v>
      </c>
      <c r="AI356" s="21">
        <f t="shared" si="177"/>
        <v>1</v>
      </c>
      <c r="AK356" s="128">
        <v>0</v>
      </c>
      <c r="AL356">
        <v>0</v>
      </c>
      <c r="AM356">
        <v>0</v>
      </c>
      <c r="AN356">
        <v>1</v>
      </c>
      <c r="AO356" s="21">
        <f t="shared" si="178"/>
        <v>1</v>
      </c>
      <c r="AQ356">
        <v>0</v>
      </c>
      <c r="AR356">
        <v>0</v>
      </c>
      <c r="AS356">
        <v>0</v>
      </c>
      <c r="AT356">
        <v>1</v>
      </c>
      <c r="AU356" s="21">
        <f t="shared" si="173"/>
        <v>1</v>
      </c>
    </row>
    <row r="357" spans="1:47" x14ac:dyDescent="0.2">
      <c r="A357" s="12">
        <v>9</v>
      </c>
      <c r="B357" s="12" t="s">
        <v>505</v>
      </c>
      <c r="C357" s="12" t="s">
        <v>26</v>
      </c>
      <c r="D357" s="12">
        <v>29.05</v>
      </c>
      <c r="E357" s="12">
        <v>1998</v>
      </c>
      <c r="F357" s="15"/>
      <c r="G357" s="15"/>
      <c r="H357" s="15"/>
      <c r="I357" s="15"/>
      <c r="J357" s="15"/>
      <c r="K357" s="15"/>
      <c r="L357" s="15"/>
      <c r="M357" s="21">
        <v>0</v>
      </c>
      <c r="N357" s="21">
        <v>0</v>
      </c>
      <c r="O357" s="21">
        <v>0</v>
      </c>
      <c r="P357" s="21">
        <v>1</v>
      </c>
      <c r="Q357" s="21">
        <f t="shared" si="174"/>
        <v>1</v>
      </c>
      <c r="R357" s="21">
        <v>1</v>
      </c>
      <c r="S357" s="21">
        <v>0</v>
      </c>
      <c r="T357" s="21">
        <v>0</v>
      </c>
      <c r="U357" s="21">
        <v>0</v>
      </c>
      <c r="V357" s="21">
        <v>0</v>
      </c>
      <c r="W357" s="21">
        <f t="shared" si="175"/>
        <v>0</v>
      </c>
      <c r="X357" s="21">
        <v>1</v>
      </c>
      <c r="Y357" s="21">
        <v>0</v>
      </c>
      <c r="Z357" s="21">
        <v>0</v>
      </c>
      <c r="AA357" s="21">
        <v>0</v>
      </c>
      <c r="AB357" s="21">
        <v>0</v>
      </c>
      <c r="AC357" s="21">
        <f t="shared" si="176"/>
        <v>0</v>
      </c>
      <c r="AD357" s="21">
        <v>1</v>
      </c>
      <c r="AE357" s="21">
        <v>0</v>
      </c>
      <c r="AF357" s="21">
        <v>0</v>
      </c>
      <c r="AG357" s="21">
        <v>0</v>
      </c>
      <c r="AH357" s="21">
        <v>0</v>
      </c>
      <c r="AI357" s="21">
        <f t="shared" si="177"/>
        <v>0</v>
      </c>
      <c r="AK357" s="128">
        <v>0</v>
      </c>
      <c r="AL357">
        <v>0</v>
      </c>
      <c r="AM357">
        <v>0</v>
      </c>
      <c r="AN357">
        <v>1</v>
      </c>
      <c r="AO357" s="21">
        <f t="shared" si="178"/>
        <v>1</v>
      </c>
      <c r="AQ357">
        <v>0</v>
      </c>
      <c r="AR357">
        <v>0</v>
      </c>
      <c r="AS357">
        <v>0</v>
      </c>
      <c r="AT357">
        <v>1</v>
      </c>
      <c r="AU357" s="21">
        <f t="shared" si="173"/>
        <v>1</v>
      </c>
    </row>
    <row r="358" spans="1:47" x14ac:dyDescent="0.2">
      <c r="A358" s="12">
        <v>9</v>
      </c>
      <c r="B358" s="12" t="s">
        <v>506</v>
      </c>
      <c r="C358" s="12" t="s">
        <v>26</v>
      </c>
      <c r="D358" s="12">
        <v>28.92</v>
      </c>
      <c r="E358" s="12">
        <v>1998</v>
      </c>
      <c r="F358" s="15"/>
      <c r="G358" s="15"/>
      <c r="H358" s="15"/>
      <c r="I358" s="15"/>
      <c r="J358" s="15"/>
      <c r="K358" s="15"/>
      <c r="L358" s="15"/>
      <c r="M358" s="21">
        <v>0</v>
      </c>
      <c r="N358" s="21">
        <v>0</v>
      </c>
      <c r="O358" s="21">
        <v>2</v>
      </c>
      <c r="P358" s="21">
        <v>1</v>
      </c>
      <c r="Q358" s="21">
        <f t="shared" si="174"/>
        <v>3</v>
      </c>
      <c r="R358" s="21">
        <v>1</v>
      </c>
      <c r="S358" s="21">
        <v>0</v>
      </c>
      <c r="T358" s="21">
        <v>0</v>
      </c>
      <c r="U358" s="21">
        <v>0</v>
      </c>
      <c r="V358" s="21">
        <v>0</v>
      </c>
      <c r="W358" s="21">
        <f t="shared" si="175"/>
        <v>0</v>
      </c>
      <c r="X358" s="21">
        <v>1</v>
      </c>
      <c r="Y358" s="21">
        <v>0</v>
      </c>
      <c r="Z358" s="21">
        <v>0</v>
      </c>
      <c r="AA358" s="21">
        <v>0</v>
      </c>
      <c r="AB358" s="21">
        <v>0</v>
      </c>
      <c r="AC358" s="21">
        <f t="shared" si="176"/>
        <v>0</v>
      </c>
      <c r="AD358" s="21">
        <v>0</v>
      </c>
      <c r="AE358" s="21">
        <v>1</v>
      </c>
      <c r="AF358" s="21">
        <v>0</v>
      </c>
      <c r="AG358" s="21">
        <v>0</v>
      </c>
      <c r="AH358" s="21">
        <v>0</v>
      </c>
      <c r="AI358" s="21">
        <f t="shared" si="177"/>
        <v>1</v>
      </c>
      <c r="AK358" s="128">
        <v>1</v>
      </c>
      <c r="AL358">
        <v>0</v>
      </c>
      <c r="AM358">
        <v>0</v>
      </c>
      <c r="AN358">
        <v>0</v>
      </c>
      <c r="AO358" s="21">
        <f t="shared" si="178"/>
        <v>1</v>
      </c>
      <c r="AQ358">
        <v>1</v>
      </c>
      <c r="AR358">
        <v>0</v>
      </c>
      <c r="AS358">
        <v>0</v>
      </c>
      <c r="AT358">
        <v>0</v>
      </c>
      <c r="AU358" s="21">
        <f t="shared" si="173"/>
        <v>1</v>
      </c>
    </row>
    <row r="359" spans="1:47" x14ac:dyDescent="0.2">
      <c r="A359" s="12">
        <v>9</v>
      </c>
      <c r="B359" s="12" t="s">
        <v>507</v>
      </c>
      <c r="C359" s="12" t="s">
        <v>26</v>
      </c>
      <c r="D359" s="12">
        <v>27.74</v>
      </c>
      <c r="E359" s="12">
        <v>1998</v>
      </c>
      <c r="F359" s="15"/>
      <c r="G359" s="15"/>
      <c r="H359" s="15"/>
      <c r="I359" s="15"/>
      <c r="J359" s="15"/>
      <c r="K359" s="15"/>
      <c r="L359" s="15"/>
      <c r="M359" s="21">
        <v>0</v>
      </c>
      <c r="N359" s="21">
        <v>0</v>
      </c>
      <c r="O359" s="21">
        <v>0</v>
      </c>
      <c r="P359" s="21">
        <v>1</v>
      </c>
      <c r="Q359" s="21">
        <f t="shared" si="174"/>
        <v>1</v>
      </c>
      <c r="R359" s="21"/>
      <c r="S359" s="21">
        <v>1</v>
      </c>
      <c r="T359" s="21">
        <v>0</v>
      </c>
      <c r="U359" s="21">
        <v>7</v>
      </c>
      <c r="V359" s="21">
        <v>1</v>
      </c>
      <c r="W359" s="21">
        <f t="shared" si="175"/>
        <v>9</v>
      </c>
      <c r="X359" s="21"/>
      <c r="Y359" s="21">
        <v>1</v>
      </c>
      <c r="Z359" s="21">
        <v>0</v>
      </c>
      <c r="AA359" s="21">
        <v>7</v>
      </c>
      <c r="AB359" s="21">
        <v>1</v>
      </c>
      <c r="AC359" s="21">
        <f t="shared" si="176"/>
        <v>9</v>
      </c>
      <c r="AD359" s="21">
        <v>0</v>
      </c>
      <c r="AE359" s="21">
        <v>1</v>
      </c>
      <c r="AF359" s="21">
        <v>0</v>
      </c>
      <c r="AG359" s="21">
        <v>0</v>
      </c>
      <c r="AH359" s="21">
        <v>0</v>
      </c>
      <c r="AI359" s="21">
        <f t="shared" si="177"/>
        <v>1</v>
      </c>
      <c r="AK359" s="128">
        <v>1</v>
      </c>
      <c r="AL359">
        <v>0</v>
      </c>
      <c r="AM359">
        <v>0</v>
      </c>
      <c r="AN359">
        <v>0</v>
      </c>
      <c r="AO359" s="21">
        <f t="shared" si="178"/>
        <v>1</v>
      </c>
      <c r="AQ359">
        <v>1</v>
      </c>
      <c r="AR359">
        <v>0</v>
      </c>
      <c r="AS359">
        <v>0</v>
      </c>
      <c r="AT359">
        <v>0</v>
      </c>
      <c r="AU359" s="21">
        <f t="shared" si="173"/>
        <v>1</v>
      </c>
    </row>
    <row r="360" spans="1:47" x14ac:dyDescent="0.2">
      <c r="A360" s="12">
        <v>9</v>
      </c>
      <c r="B360" s="12" t="s">
        <v>508</v>
      </c>
      <c r="C360" s="12" t="s">
        <v>26</v>
      </c>
      <c r="D360" s="12">
        <v>29.7</v>
      </c>
      <c r="E360" s="12">
        <v>1998</v>
      </c>
      <c r="F360" s="15"/>
      <c r="G360" s="15"/>
      <c r="H360" s="15"/>
      <c r="I360" s="15"/>
      <c r="J360" s="15"/>
      <c r="K360" s="15"/>
      <c r="L360" s="15"/>
      <c r="M360" s="21">
        <v>0</v>
      </c>
      <c r="N360" s="21">
        <v>0</v>
      </c>
      <c r="O360" s="21">
        <v>0</v>
      </c>
      <c r="P360" s="21">
        <v>1</v>
      </c>
      <c r="Q360" s="21">
        <f t="shared" si="174"/>
        <v>1</v>
      </c>
      <c r="R360" s="21"/>
      <c r="S360" s="21">
        <v>1</v>
      </c>
      <c r="T360" s="21">
        <v>0</v>
      </c>
      <c r="U360" s="21">
        <v>0</v>
      </c>
      <c r="V360" s="21">
        <v>1</v>
      </c>
      <c r="W360" s="21">
        <f t="shared" si="175"/>
        <v>2</v>
      </c>
      <c r="X360" s="21"/>
      <c r="Y360" s="21">
        <v>1</v>
      </c>
      <c r="Z360" s="21">
        <v>0</v>
      </c>
      <c r="AA360" s="21">
        <v>0</v>
      </c>
      <c r="AB360" s="21">
        <v>1</v>
      </c>
      <c r="AC360" s="21">
        <f t="shared" si="176"/>
        <v>2</v>
      </c>
      <c r="AD360" s="21"/>
      <c r="AE360" s="21">
        <v>1</v>
      </c>
      <c r="AF360" s="21">
        <v>0</v>
      </c>
      <c r="AG360" s="21">
        <v>0</v>
      </c>
      <c r="AH360" s="21">
        <v>0</v>
      </c>
      <c r="AI360" s="21">
        <f t="shared" si="177"/>
        <v>1</v>
      </c>
      <c r="AK360" s="128">
        <v>1</v>
      </c>
      <c r="AL360">
        <v>0</v>
      </c>
      <c r="AM360">
        <v>0</v>
      </c>
      <c r="AN360">
        <v>0</v>
      </c>
      <c r="AO360" s="21">
        <f t="shared" si="178"/>
        <v>1</v>
      </c>
      <c r="AQ360">
        <v>1</v>
      </c>
      <c r="AR360">
        <v>0</v>
      </c>
      <c r="AS360">
        <v>0</v>
      </c>
      <c r="AT360">
        <v>0</v>
      </c>
      <c r="AU360" s="21">
        <f t="shared" si="173"/>
        <v>1</v>
      </c>
    </row>
    <row r="361" spans="1:47" x14ac:dyDescent="0.2">
      <c r="A361" s="12">
        <v>9</v>
      </c>
      <c r="B361" s="12" t="s">
        <v>509</v>
      </c>
      <c r="C361" s="12" t="s">
        <v>26</v>
      </c>
      <c r="D361" s="12">
        <v>29.57</v>
      </c>
      <c r="E361" s="12">
        <v>1998</v>
      </c>
      <c r="F361" s="15"/>
      <c r="G361" s="15"/>
      <c r="H361" s="15"/>
      <c r="I361" s="15"/>
      <c r="J361" s="15"/>
      <c r="K361" s="15"/>
      <c r="L361" s="15"/>
      <c r="M361" s="21">
        <v>0</v>
      </c>
      <c r="N361" s="21">
        <v>0</v>
      </c>
      <c r="O361" s="21">
        <v>0</v>
      </c>
      <c r="P361" s="21">
        <v>1</v>
      </c>
      <c r="Q361" s="21">
        <f t="shared" si="174"/>
        <v>1</v>
      </c>
      <c r="R361" s="21">
        <v>1</v>
      </c>
      <c r="S361" s="21">
        <v>0</v>
      </c>
      <c r="T361" s="21">
        <v>0</v>
      </c>
      <c r="U361" s="21">
        <v>0</v>
      </c>
      <c r="V361" s="21">
        <v>0</v>
      </c>
      <c r="W361" s="21">
        <f t="shared" si="175"/>
        <v>0</v>
      </c>
      <c r="X361" s="21">
        <v>1</v>
      </c>
      <c r="Y361" s="21">
        <v>0</v>
      </c>
      <c r="Z361" s="21">
        <v>0</v>
      </c>
      <c r="AA361" s="21">
        <v>0</v>
      </c>
      <c r="AB361" s="21">
        <v>0</v>
      </c>
      <c r="AC361" s="21">
        <f t="shared" si="176"/>
        <v>0</v>
      </c>
      <c r="AD361" s="21"/>
      <c r="AE361" s="21">
        <v>0</v>
      </c>
      <c r="AF361" s="21">
        <v>0</v>
      </c>
      <c r="AG361" s="21">
        <v>0</v>
      </c>
      <c r="AH361" s="21">
        <v>1</v>
      </c>
      <c r="AI361" s="21">
        <f t="shared" si="177"/>
        <v>1</v>
      </c>
      <c r="AK361" s="128">
        <v>0</v>
      </c>
      <c r="AL361">
        <v>0</v>
      </c>
      <c r="AM361">
        <v>0</v>
      </c>
      <c r="AN361">
        <v>1</v>
      </c>
      <c r="AO361" s="21">
        <f t="shared" si="178"/>
        <v>1</v>
      </c>
      <c r="AQ361">
        <v>0</v>
      </c>
      <c r="AR361">
        <v>0</v>
      </c>
      <c r="AS361">
        <v>0</v>
      </c>
      <c r="AT361">
        <v>1</v>
      </c>
      <c r="AU361" s="21">
        <f t="shared" si="173"/>
        <v>1</v>
      </c>
    </row>
    <row r="362" spans="1:47" x14ac:dyDescent="0.2">
      <c r="A362" s="12">
        <v>9</v>
      </c>
      <c r="B362" s="12" t="s">
        <v>510</v>
      </c>
      <c r="C362" s="12" t="s">
        <v>26</v>
      </c>
      <c r="D362" s="12">
        <v>39.89</v>
      </c>
      <c r="E362" s="12">
        <v>1998</v>
      </c>
      <c r="F362" s="15"/>
      <c r="G362" s="15"/>
      <c r="H362" s="15"/>
      <c r="I362" s="15"/>
      <c r="J362" s="15"/>
      <c r="K362" s="15"/>
      <c r="L362" s="15"/>
      <c r="M362" s="21">
        <v>0</v>
      </c>
      <c r="N362" s="21">
        <v>0</v>
      </c>
      <c r="O362" s="21">
        <v>0</v>
      </c>
      <c r="P362" s="21">
        <v>1</v>
      </c>
      <c r="Q362" s="21">
        <f t="shared" si="174"/>
        <v>1</v>
      </c>
      <c r="R362" s="21">
        <v>1</v>
      </c>
      <c r="S362" s="21">
        <v>0</v>
      </c>
      <c r="T362" s="21">
        <v>0</v>
      </c>
      <c r="U362" s="21">
        <v>0</v>
      </c>
      <c r="V362" s="21">
        <v>0</v>
      </c>
      <c r="W362" s="21">
        <f t="shared" si="175"/>
        <v>0</v>
      </c>
      <c r="X362" s="21">
        <v>1</v>
      </c>
      <c r="Y362" s="21">
        <v>0</v>
      </c>
      <c r="Z362" s="21">
        <v>0</v>
      </c>
      <c r="AA362" s="21">
        <v>0</v>
      </c>
      <c r="AB362" s="21">
        <v>0</v>
      </c>
      <c r="AC362" s="21">
        <f t="shared" si="176"/>
        <v>0</v>
      </c>
      <c r="AD362" s="21"/>
      <c r="AE362" s="21">
        <v>0</v>
      </c>
      <c r="AF362" s="21">
        <v>0</v>
      </c>
      <c r="AG362" s="21">
        <v>0</v>
      </c>
      <c r="AH362" s="21">
        <v>1</v>
      </c>
      <c r="AI362" s="21">
        <f t="shared" si="177"/>
        <v>1</v>
      </c>
      <c r="AK362" s="128">
        <v>0</v>
      </c>
      <c r="AL362">
        <v>0</v>
      </c>
      <c r="AM362">
        <v>0</v>
      </c>
      <c r="AN362">
        <v>1</v>
      </c>
      <c r="AO362" s="21">
        <f t="shared" si="178"/>
        <v>1</v>
      </c>
      <c r="AQ362">
        <v>0</v>
      </c>
      <c r="AR362">
        <v>0</v>
      </c>
      <c r="AS362">
        <v>0</v>
      </c>
      <c r="AT362">
        <v>1</v>
      </c>
      <c r="AU362" s="21">
        <f t="shared" si="173"/>
        <v>1</v>
      </c>
    </row>
    <row r="363" spans="1:47" x14ac:dyDescent="0.2">
      <c r="A363" s="12">
        <v>9</v>
      </c>
      <c r="B363" s="12" t="s">
        <v>511</v>
      </c>
      <c r="C363" s="12" t="s">
        <v>26</v>
      </c>
      <c r="D363" s="12">
        <v>27.1</v>
      </c>
      <c r="E363" s="12">
        <v>1998</v>
      </c>
      <c r="F363" s="15"/>
      <c r="G363" s="15"/>
      <c r="H363" s="15"/>
      <c r="I363" s="15"/>
      <c r="J363" s="15"/>
      <c r="K363" s="15"/>
      <c r="L363" s="15"/>
      <c r="M363" s="21">
        <v>0</v>
      </c>
      <c r="N363" s="21">
        <v>0</v>
      </c>
      <c r="O363" s="21">
        <v>0</v>
      </c>
      <c r="P363" s="21">
        <v>1</v>
      </c>
      <c r="Q363" s="21">
        <f t="shared" si="174"/>
        <v>1</v>
      </c>
      <c r="R363" s="21"/>
      <c r="S363" s="21">
        <v>2</v>
      </c>
      <c r="T363" s="21">
        <v>0</v>
      </c>
      <c r="U363" s="21">
        <v>0</v>
      </c>
      <c r="V363" s="21">
        <v>1</v>
      </c>
      <c r="W363" s="21">
        <f t="shared" si="175"/>
        <v>3</v>
      </c>
      <c r="X363" s="21"/>
      <c r="Y363" s="21">
        <v>2</v>
      </c>
      <c r="Z363" s="21">
        <v>0</v>
      </c>
      <c r="AA363" s="21">
        <v>0</v>
      </c>
      <c r="AB363" s="21">
        <v>1</v>
      </c>
      <c r="AC363" s="21">
        <f t="shared" si="176"/>
        <v>3</v>
      </c>
      <c r="AD363" s="21"/>
      <c r="AE363" s="21">
        <v>1</v>
      </c>
      <c r="AF363" s="21">
        <v>5</v>
      </c>
      <c r="AG363" s="21">
        <v>2</v>
      </c>
      <c r="AH363" s="21">
        <v>0</v>
      </c>
      <c r="AI363" s="21">
        <f t="shared" si="177"/>
        <v>8</v>
      </c>
      <c r="AK363" s="128">
        <v>2</v>
      </c>
      <c r="AL363">
        <v>0</v>
      </c>
      <c r="AM363">
        <v>0</v>
      </c>
      <c r="AN363">
        <v>0</v>
      </c>
      <c r="AO363" s="21">
        <f t="shared" si="178"/>
        <v>2</v>
      </c>
      <c r="AQ363">
        <v>2</v>
      </c>
      <c r="AR363">
        <v>0</v>
      </c>
      <c r="AS363">
        <v>0</v>
      </c>
      <c r="AT363">
        <v>0</v>
      </c>
      <c r="AU363" s="21">
        <f t="shared" si="173"/>
        <v>2</v>
      </c>
    </row>
    <row r="364" spans="1:47" x14ac:dyDescent="0.2">
      <c r="A364" s="12">
        <v>9</v>
      </c>
      <c r="B364" s="12" t="s">
        <v>512</v>
      </c>
      <c r="C364" s="12" t="s">
        <v>26</v>
      </c>
      <c r="D364" s="12">
        <v>25.07</v>
      </c>
      <c r="E364" s="12">
        <v>1998</v>
      </c>
      <c r="F364" s="15"/>
      <c r="G364" s="15"/>
      <c r="H364" s="15"/>
      <c r="I364" s="15"/>
      <c r="J364" s="15"/>
      <c r="K364" s="15"/>
      <c r="L364" s="15"/>
      <c r="M364" s="21">
        <v>0</v>
      </c>
      <c r="N364" s="21">
        <v>0</v>
      </c>
      <c r="O364" s="21">
        <v>0</v>
      </c>
      <c r="P364" s="21">
        <v>1</v>
      </c>
      <c r="Q364" s="21">
        <f t="shared" si="174"/>
        <v>1</v>
      </c>
      <c r="R364" s="21">
        <v>1</v>
      </c>
      <c r="S364" s="21">
        <v>0</v>
      </c>
      <c r="T364" s="21">
        <v>0</v>
      </c>
      <c r="U364" s="21">
        <v>0</v>
      </c>
      <c r="V364" s="21">
        <v>0</v>
      </c>
      <c r="W364" s="21">
        <f t="shared" si="175"/>
        <v>0</v>
      </c>
      <c r="X364" s="21">
        <v>1</v>
      </c>
      <c r="Y364" s="21">
        <v>0</v>
      </c>
      <c r="Z364" s="21">
        <v>0</v>
      </c>
      <c r="AA364" s="21">
        <v>0</v>
      </c>
      <c r="AB364" s="21">
        <v>0</v>
      </c>
      <c r="AC364" s="21">
        <f t="shared" si="176"/>
        <v>0</v>
      </c>
      <c r="AD364" s="21"/>
      <c r="AE364" s="21">
        <v>0</v>
      </c>
      <c r="AF364" s="21">
        <v>0</v>
      </c>
      <c r="AG364" s="21">
        <v>0</v>
      </c>
      <c r="AH364" s="21">
        <v>1</v>
      </c>
      <c r="AI364" s="21">
        <f t="shared" si="177"/>
        <v>1</v>
      </c>
      <c r="AK364" s="128">
        <v>1</v>
      </c>
      <c r="AL364">
        <v>0</v>
      </c>
      <c r="AM364">
        <v>0</v>
      </c>
      <c r="AN364">
        <v>0</v>
      </c>
      <c r="AO364" s="21">
        <f t="shared" si="178"/>
        <v>1</v>
      </c>
      <c r="AQ364">
        <v>1</v>
      </c>
      <c r="AR364">
        <v>0</v>
      </c>
      <c r="AS364">
        <v>2</v>
      </c>
      <c r="AT364">
        <v>0</v>
      </c>
      <c r="AU364" s="21">
        <f t="shared" si="173"/>
        <v>3</v>
      </c>
    </row>
    <row r="365" spans="1:47" x14ac:dyDescent="0.2">
      <c r="A365" s="12">
        <v>9</v>
      </c>
      <c r="B365" s="12" t="s">
        <v>513</v>
      </c>
      <c r="C365" s="12" t="s">
        <v>26</v>
      </c>
      <c r="D365" s="12">
        <v>30.32</v>
      </c>
      <c r="E365" s="12">
        <v>1998</v>
      </c>
      <c r="F365" s="15"/>
      <c r="G365" s="15"/>
      <c r="H365" s="15"/>
      <c r="I365" s="15"/>
      <c r="J365" s="15"/>
      <c r="K365" s="15"/>
      <c r="L365" s="15"/>
      <c r="M365" s="21">
        <v>0</v>
      </c>
      <c r="N365" s="21">
        <v>0</v>
      </c>
      <c r="O365" s="21">
        <v>0</v>
      </c>
      <c r="P365" s="21">
        <v>1</v>
      </c>
      <c r="Q365" s="21">
        <f t="shared" si="174"/>
        <v>1</v>
      </c>
      <c r="R365" s="21">
        <v>1</v>
      </c>
      <c r="S365" s="21">
        <v>0</v>
      </c>
      <c r="T365" s="21">
        <v>0</v>
      </c>
      <c r="U365" s="21">
        <v>0</v>
      </c>
      <c r="V365" s="21">
        <v>0</v>
      </c>
      <c r="W365" s="21">
        <f t="shared" si="175"/>
        <v>0</v>
      </c>
      <c r="X365" s="21"/>
      <c r="Y365" s="21">
        <v>1</v>
      </c>
      <c r="Z365" s="21">
        <v>0</v>
      </c>
      <c r="AA365" s="21">
        <v>0</v>
      </c>
      <c r="AB365" s="21">
        <v>1</v>
      </c>
      <c r="AC365" s="21">
        <f t="shared" si="176"/>
        <v>2</v>
      </c>
      <c r="AD365" s="21"/>
      <c r="AE365" s="21">
        <v>1</v>
      </c>
      <c r="AF365" s="21">
        <v>0</v>
      </c>
      <c r="AG365" s="21">
        <v>0</v>
      </c>
      <c r="AH365" s="21">
        <v>0</v>
      </c>
      <c r="AI365" s="21">
        <f t="shared" si="177"/>
        <v>1</v>
      </c>
      <c r="AK365" s="128">
        <v>1</v>
      </c>
      <c r="AL365">
        <v>0</v>
      </c>
      <c r="AM365">
        <v>0</v>
      </c>
      <c r="AN365">
        <v>0</v>
      </c>
      <c r="AO365" s="21">
        <f t="shared" si="178"/>
        <v>1</v>
      </c>
      <c r="AQ365">
        <v>1</v>
      </c>
      <c r="AR365">
        <v>0</v>
      </c>
      <c r="AS365">
        <v>0</v>
      </c>
      <c r="AT365">
        <v>0</v>
      </c>
      <c r="AU365" s="21">
        <f t="shared" si="173"/>
        <v>1</v>
      </c>
    </row>
    <row r="366" spans="1:47" x14ac:dyDescent="0.2">
      <c r="A366" s="12">
        <v>9</v>
      </c>
      <c r="B366" s="12" t="s">
        <v>514</v>
      </c>
      <c r="C366" s="12" t="s">
        <v>26</v>
      </c>
      <c r="D366" s="12">
        <v>28.32</v>
      </c>
      <c r="E366" s="12">
        <v>1998</v>
      </c>
      <c r="F366" s="15"/>
      <c r="G366" s="15"/>
      <c r="H366" s="15"/>
      <c r="I366" s="15"/>
      <c r="J366" s="15"/>
      <c r="K366" s="15"/>
      <c r="L366" s="15"/>
      <c r="M366" s="21">
        <v>0</v>
      </c>
      <c r="N366" s="21">
        <v>0</v>
      </c>
      <c r="O366" s="21">
        <v>0</v>
      </c>
      <c r="P366" s="21">
        <v>1</v>
      </c>
      <c r="Q366" s="21">
        <f t="shared" si="174"/>
        <v>1</v>
      </c>
      <c r="R366" s="21"/>
      <c r="S366" s="21">
        <v>1</v>
      </c>
      <c r="T366" s="21">
        <v>0</v>
      </c>
      <c r="U366" s="21">
        <v>0</v>
      </c>
      <c r="V366" s="21">
        <v>1</v>
      </c>
      <c r="W366" s="21">
        <f t="shared" si="175"/>
        <v>2</v>
      </c>
      <c r="X366" s="21">
        <v>1</v>
      </c>
      <c r="Y366" s="21">
        <v>0</v>
      </c>
      <c r="Z366" s="21">
        <v>0</v>
      </c>
      <c r="AA366" s="21">
        <v>0</v>
      </c>
      <c r="AB366" s="21">
        <v>0</v>
      </c>
      <c r="AC366" s="21">
        <f t="shared" si="176"/>
        <v>0</v>
      </c>
      <c r="AD366" s="21"/>
      <c r="AE366" s="21">
        <v>0</v>
      </c>
      <c r="AF366" s="21">
        <v>0</v>
      </c>
      <c r="AG366" s="21">
        <v>0</v>
      </c>
      <c r="AH366" s="21">
        <v>1</v>
      </c>
      <c r="AI366" s="21">
        <f t="shared" si="177"/>
        <v>1</v>
      </c>
      <c r="AK366" s="128">
        <v>0</v>
      </c>
      <c r="AL366">
        <v>0</v>
      </c>
      <c r="AM366">
        <v>0</v>
      </c>
      <c r="AN366">
        <v>1</v>
      </c>
      <c r="AO366" s="21">
        <f t="shared" si="178"/>
        <v>1</v>
      </c>
      <c r="AQ366">
        <v>0</v>
      </c>
      <c r="AR366">
        <v>0</v>
      </c>
      <c r="AS366">
        <v>0</v>
      </c>
      <c r="AT366">
        <v>1</v>
      </c>
      <c r="AU366" s="21">
        <f t="shared" si="173"/>
        <v>1</v>
      </c>
    </row>
    <row r="367" spans="1:47" x14ac:dyDescent="0.2">
      <c r="A367" s="12">
        <v>9</v>
      </c>
      <c r="B367" s="12" t="s">
        <v>515</v>
      </c>
      <c r="C367" s="12" t="s">
        <v>26</v>
      </c>
      <c r="D367" s="12">
        <v>29.59</v>
      </c>
      <c r="E367" s="12">
        <v>1998</v>
      </c>
      <c r="F367" s="15"/>
      <c r="G367" s="15"/>
      <c r="H367" s="15"/>
      <c r="I367" s="15"/>
      <c r="J367" s="15"/>
      <c r="K367" s="15"/>
      <c r="L367" s="15"/>
      <c r="M367" s="21">
        <v>0</v>
      </c>
      <c r="N367" s="21">
        <v>0</v>
      </c>
      <c r="O367" s="21">
        <v>0</v>
      </c>
      <c r="P367" s="21">
        <v>1</v>
      </c>
      <c r="Q367" s="21">
        <f t="shared" si="174"/>
        <v>1</v>
      </c>
      <c r="R367" s="21">
        <v>1</v>
      </c>
      <c r="S367" s="21">
        <v>0</v>
      </c>
      <c r="T367" s="21">
        <v>0</v>
      </c>
      <c r="U367" s="21">
        <v>0</v>
      </c>
      <c r="V367" s="21">
        <v>0</v>
      </c>
      <c r="W367" s="21">
        <f t="shared" si="175"/>
        <v>0</v>
      </c>
      <c r="X367" s="21">
        <v>1</v>
      </c>
      <c r="Y367" s="21">
        <v>0</v>
      </c>
      <c r="Z367" s="21">
        <v>0</v>
      </c>
      <c r="AA367" s="21">
        <v>0</v>
      </c>
      <c r="AB367" s="21">
        <v>0</v>
      </c>
      <c r="AC367" s="21">
        <f t="shared" si="176"/>
        <v>0</v>
      </c>
      <c r="AD367" s="21"/>
      <c r="AE367" s="21">
        <v>0</v>
      </c>
      <c r="AF367" s="21">
        <v>0</v>
      </c>
      <c r="AG367" s="21">
        <v>0</v>
      </c>
      <c r="AH367" s="21">
        <v>1</v>
      </c>
      <c r="AI367" s="21">
        <f t="shared" si="177"/>
        <v>1</v>
      </c>
      <c r="AK367" s="128">
        <v>0</v>
      </c>
      <c r="AL367">
        <v>0</v>
      </c>
      <c r="AM367">
        <v>0</v>
      </c>
      <c r="AN367">
        <v>1</v>
      </c>
      <c r="AO367" s="21">
        <f t="shared" si="178"/>
        <v>1</v>
      </c>
      <c r="AQ367">
        <v>0</v>
      </c>
      <c r="AR367">
        <v>0</v>
      </c>
      <c r="AS367">
        <v>0</v>
      </c>
      <c r="AT367">
        <v>1</v>
      </c>
      <c r="AU367" s="21">
        <f t="shared" si="173"/>
        <v>1</v>
      </c>
    </row>
    <row r="368" spans="1:47" x14ac:dyDescent="0.2">
      <c r="A368" s="12">
        <v>9</v>
      </c>
      <c r="B368" s="12" t="s">
        <v>516</v>
      </c>
      <c r="C368" s="12" t="s">
        <v>26</v>
      </c>
      <c r="D368" s="12">
        <v>29.85</v>
      </c>
      <c r="E368" s="12">
        <v>1998</v>
      </c>
      <c r="F368" s="15"/>
      <c r="G368" s="15"/>
      <c r="H368" s="15"/>
      <c r="I368" s="15"/>
      <c r="J368" s="15"/>
      <c r="K368" s="15"/>
      <c r="L368" s="15"/>
      <c r="M368" s="21">
        <v>0</v>
      </c>
      <c r="N368" s="21">
        <v>0</v>
      </c>
      <c r="O368" s="21">
        <v>0</v>
      </c>
      <c r="P368" s="21">
        <v>1</v>
      </c>
      <c r="Q368" s="21">
        <f t="shared" si="174"/>
        <v>1</v>
      </c>
      <c r="R368" s="21">
        <v>1</v>
      </c>
      <c r="S368" s="21">
        <v>0</v>
      </c>
      <c r="T368" s="21">
        <v>0</v>
      </c>
      <c r="U368" s="21">
        <v>0</v>
      </c>
      <c r="V368" s="21">
        <v>0</v>
      </c>
      <c r="W368" s="21">
        <f t="shared" si="175"/>
        <v>0</v>
      </c>
      <c r="X368" s="21">
        <v>1</v>
      </c>
      <c r="Y368" s="21">
        <v>0</v>
      </c>
      <c r="Z368" s="21">
        <v>0</v>
      </c>
      <c r="AA368" s="21">
        <v>0</v>
      </c>
      <c r="AB368" s="21">
        <v>0</v>
      </c>
      <c r="AC368" s="21">
        <f t="shared" si="176"/>
        <v>0</v>
      </c>
      <c r="AD368" s="21"/>
      <c r="AE368" s="21">
        <v>0</v>
      </c>
      <c r="AF368" s="21">
        <v>0</v>
      </c>
      <c r="AG368" s="21">
        <v>0</v>
      </c>
      <c r="AH368" s="21">
        <v>1</v>
      </c>
      <c r="AI368" s="21">
        <f t="shared" si="177"/>
        <v>1</v>
      </c>
      <c r="AK368" s="128">
        <v>0</v>
      </c>
      <c r="AL368">
        <v>0</v>
      </c>
      <c r="AM368">
        <v>0</v>
      </c>
      <c r="AN368">
        <v>1</v>
      </c>
      <c r="AO368" s="21">
        <f t="shared" si="178"/>
        <v>1</v>
      </c>
      <c r="AQ368">
        <v>0</v>
      </c>
      <c r="AR368">
        <v>0</v>
      </c>
      <c r="AS368">
        <v>0</v>
      </c>
      <c r="AT368">
        <v>1</v>
      </c>
      <c r="AU368" s="21">
        <f t="shared" si="173"/>
        <v>1</v>
      </c>
    </row>
    <row r="369" spans="1:47" x14ac:dyDescent="0.2">
      <c r="A369" s="12">
        <v>9</v>
      </c>
      <c r="B369" s="12" t="s">
        <v>380</v>
      </c>
      <c r="C369" s="12" t="s">
        <v>26</v>
      </c>
      <c r="D369" s="12">
        <v>29.14</v>
      </c>
      <c r="E369" s="12">
        <v>1998</v>
      </c>
      <c r="F369" s="15"/>
      <c r="G369" s="15"/>
      <c r="H369" s="15"/>
      <c r="I369" s="15"/>
      <c r="J369" s="15"/>
      <c r="K369" s="15"/>
      <c r="L369" s="15"/>
      <c r="M369" s="21">
        <v>0</v>
      </c>
      <c r="N369" s="21">
        <v>0</v>
      </c>
      <c r="O369" s="21">
        <v>0</v>
      </c>
      <c r="P369" s="21">
        <v>1</v>
      </c>
      <c r="Q369" s="21">
        <f t="shared" si="174"/>
        <v>1</v>
      </c>
      <c r="R369" s="21">
        <v>1</v>
      </c>
      <c r="S369" s="21">
        <v>0</v>
      </c>
      <c r="T369" s="21">
        <v>0</v>
      </c>
      <c r="U369" s="21">
        <v>0</v>
      </c>
      <c r="V369" s="21">
        <v>0</v>
      </c>
      <c r="W369" s="21">
        <f t="shared" si="175"/>
        <v>0</v>
      </c>
      <c r="X369" s="21"/>
      <c r="Y369" s="21">
        <v>1</v>
      </c>
      <c r="Z369" s="21">
        <v>0</v>
      </c>
      <c r="AA369" s="21">
        <v>0</v>
      </c>
      <c r="AB369" s="21">
        <v>1</v>
      </c>
      <c r="AC369" s="21">
        <f t="shared" si="176"/>
        <v>2</v>
      </c>
      <c r="AD369" s="21"/>
      <c r="AE369" s="21">
        <v>0</v>
      </c>
      <c r="AF369" s="21">
        <v>0</v>
      </c>
      <c r="AG369" s="21">
        <v>0</v>
      </c>
      <c r="AH369" s="21">
        <v>1</v>
      </c>
      <c r="AI369" s="21">
        <f t="shared" si="177"/>
        <v>1</v>
      </c>
      <c r="AK369" s="128">
        <v>1</v>
      </c>
      <c r="AL369">
        <v>0</v>
      </c>
      <c r="AM369">
        <v>0</v>
      </c>
      <c r="AN369">
        <v>0</v>
      </c>
      <c r="AO369" s="21">
        <f t="shared" si="178"/>
        <v>1</v>
      </c>
      <c r="AQ369">
        <v>1</v>
      </c>
      <c r="AR369">
        <v>0</v>
      </c>
      <c r="AS369">
        <v>0</v>
      </c>
      <c r="AT369">
        <v>0</v>
      </c>
      <c r="AU369" s="21">
        <f t="shared" si="173"/>
        <v>1</v>
      </c>
    </row>
    <row r="370" spans="1:47" x14ac:dyDescent="0.2">
      <c r="A370" s="12">
        <v>9</v>
      </c>
      <c r="B370" s="12" t="s">
        <v>391</v>
      </c>
      <c r="C370" s="12" t="s">
        <v>26</v>
      </c>
      <c r="D370" s="12">
        <v>29.84</v>
      </c>
      <c r="E370" s="12">
        <v>1998</v>
      </c>
      <c r="F370" s="15"/>
      <c r="G370" s="15"/>
      <c r="H370" s="15"/>
      <c r="I370" s="15"/>
      <c r="J370" s="15"/>
      <c r="K370" s="15"/>
      <c r="L370" s="15"/>
      <c r="M370" s="21">
        <v>0</v>
      </c>
      <c r="N370" s="21">
        <v>0</v>
      </c>
      <c r="O370" s="21">
        <v>0</v>
      </c>
      <c r="P370" s="21">
        <v>1</v>
      </c>
      <c r="Q370" s="21">
        <f t="shared" si="174"/>
        <v>1</v>
      </c>
      <c r="R370" s="21">
        <v>1</v>
      </c>
      <c r="S370" s="21">
        <v>0</v>
      </c>
      <c r="T370" s="21">
        <v>0</v>
      </c>
      <c r="U370" s="21">
        <v>0</v>
      </c>
      <c r="V370" s="21">
        <v>0</v>
      </c>
      <c r="W370" s="21">
        <f t="shared" si="175"/>
        <v>0</v>
      </c>
      <c r="X370" s="21">
        <v>1</v>
      </c>
      <c r="Y370" s="21">
        <v>0</v>
      </c>
      <c r="Z370" s="21">
        <v>0</v>
      </c>
      <c r="AA370" s="21">
        <v>0</v>
      </c>
      <c r="AB370" s="21">
        <v>0</v>
      </c>
      <c r="AC370" s="21">
        <f t="shared" si="176"/>
        <v>0</v>
      </c>
      <c r="AD370" s="21"/>
      <c r="AE370" s="21">
        <v>0</v>
      </c>
      <c r="AF370" s="21">
        <v>0</v>
      </c>
      <c r="AG370" s="21">
        <v>0</v>
      </c>
      <c r="AH370" s="21">
        <v>1</v>
      </c>
      <c r="AI370" s="21">
        <f t="shared" si="177"/>
        <v>1</v>
      </c>
      <c r="AK370" s="128">
        <v>0</v>
      </c>
      <c r="AL370">
        <v>0</v>
      </c>
      <c r="AM370">
        <v>0</v>
      </c>
      <c r="AN370">
        <v>1</v>
      </c>
      <c r="AO370" s="21">
        <f t="shared" si="178"/>
        <v>1</v>
      </c>
      <c r="AQ370">
        <v>0</v>
      </c>
      <c r="AR370">
        <v>0</v>
      </c>
      <c r="AS370">
        <v>0</v>
      </c>
      <c r="AT370">
        <v>1</v>
      </c>
      <c r="AU370" s="21">
        <f t="shared" si="173"/>
        <v>1</v>
      </c>
    </row>
    <row r="371" spans="1:47" x14ac:dyDescent="0.2">
      <c r="A371" s="12">
        <v>9</v>
      </c>
      <c r="B371" s="12" t="s">
        <v>392</v>
      </c>
      <c r="C371" s="12" t="s">
        <v>26</v>
      </c>
      <c r="D371" s="12">
        <v>28.03</v>
      </c>
      <c r="E371" s="12">
        <v>1998</v>
      </c>
      <c r="F371" s="15"/>
      <c r="G371" s="15"/>
      <c r="H371" s="15"/>
      <c r="I371" s="15"/>
      <c r="J371" s="15"/>
      <c r="K371" s="15"/>
      <c r="L371" s="15"/>
      <c r="M371" s="21">
        <v>0</v>
      </c>
      <c r="N371" s="21">
        <v>0</v>
      </c>
      <c r="O371" s="21">
        <v>0</v>
      </c>
      <c r="P371" s="21">
        <v>1</v>
      </c>
      <c r="Q371" s="21">
        <f t="shared" si="174"/>
        <v>1</v>
      </c>
      <c r="R371" s="21">
        <v>1</v>
      </c>
      <c r="S371" s="21">
        <v>0</v>
      </c>
      <c r="T371" s="21">
        <v>0</v>
      </c>
      <c r="U371" s="21">
        <v>0</v>
      </c>
      <c r="V371" s="21">
        <v>0</v>
      </c>
      <c r="W371" s="21">
        <f t="shared" si="175"/>
        <v>0</v>
      </c>
      <c r="X371" s="21">
        <v>1</v>
      </c>
      <c r="Y371" s="21">
        <v>0</v>
      </c>
      <c r="Z371" s="21">
        <v>0</v>
      </c>
      <c r="AA371" s="21">
        <v>0</v>
      </c>
      <c r="AB371" s="21">
        <v>0</v>
      </c>
      <c r="AC371" s="21">
        <f t="shared" si="176"/>
        <v>0</v>
      </c>
      <c r="AD371" s="21"/>
      <c r="AE371" s="21">
        <v>0</v>
      </c>
      <c r="AF371" s="21">
        <v>0</v>
      </c>
      <c r="AG371" s="21">
        <v>0</v>
      </c>
      <c r="AH371" s="21">
        <v>1</v>
      </c>
      <c r="AI371" s="21">
        <f t="shared" si="177"/>
        <v>1</v>
      </c>
      <c r="AK371" s="128">
        <v>0</v>
      </c>
      <c r="AL371">
        <v>0</v>
      </c>
      <c r="AM371">
        <v>0</v>
      </c>
      <c r="AN371">
        <v>1</v>
      </c>
      <c r="AO371" s="21">
        <f t="shared" si="178"/>
        <v>1</v>
      </c>
      <c r="AQ371">
        <v>0</v>
      </c>
      <c r="AR371">
        <v>0</v>
      </c>
      <c r="AS371">
        <v>0</v>
      </c>
      <c r="AT371">
        <v>1</v>
      </c>
      <c r="AU371" s="21">
        <f t="shared" si="173"/>
        <v>1</v>
      </c>
    </row>
    <row r="372" spans="1:47" ht="15" customHeight="1" x14ac:dyDescent="0.2">
      <c r="A372" s="12">
        <v>9</v>
      </c>
      <c r="B372" s="12" t="s">
        <v>394</v>
      </c>
      <c r="C372" s="12" t="s">
        <v>26</v>
      </c>
      <c r="D372" s="12">
        <v>16.489999999999998</v>
      </c>
      <c r="E372" s="12">
        <v>1998</v>
      </c>
      <c r="F372" s="15"/>
      <c r="G372" s="15"/>
      <c r="H372" s="15"/>
      <c r="I372" s="15"/>
      <c r="J372" s="15"/>
      <c r="K372" s="15"/>
      <c r="L372" s="15">
        <v>1</v>
      </c>
      <c r="M372" s="21">
        <v>0</v>
      </c>
      <c r="N372" s="21">
        <v>0</v>
      </c>
      <c r="O372" s="21">
        <v>0</v>
      </c>
      <c r="P372" s="21">
        <v>0</v>
      </c>
      <c r="Q372" s="21">
        <f t="shared" si="174"/>
        <v>0</v>
      </c>
      <c r="R372" s="21">
        <v>1</v>
      </c>
      <c r="S372" s="21">
        <v>0</v>
      </c>
      <c r="T372" s="21">
        <v>0</v>
      </c>
      <c r="U372" s="21">
        <v>0</v>
      </c>
      <c r="V372" s="21">
        <v>0</v>
      </c>
      <c r="W372" s="21">
        <f t="shared" si="175"/>
        <v>0</v>
      </c>
      <c r="X372" s="21">
        <v>1</v>
      </c>
      <c r="Y372" s="21">
        <v>0</v>
      </c>
      <c r="Z372" s="21">
        <v>0</v>
      </c>
      <c r="AA372" s="21">
        <v>0</v>
      </c>
      <c r="AB372" s="21">
        <v>0</v>
      </c>
      <c r="AC372" s="21">
        <f t="shared" si="176"/>
        <v>0</v>
      </c>
      <c r="AD372" s="21">
        <v>1</v>
      </c>
      <c r="AE372" s="21">
        <v>0</v>
      </c>
      <c r="AF372" s="21">
        <v>0</v>
      </c>
      <c r="AG372" s="21">
        <v>0</v>
      </c>
      <c r="AH372" s="21">
        <v>0</v>
      </c>
      <c r="AI372" s="21">
        <f t="shared" si="177"/>
        <v>0</v>
      </c>
      <c r="AJ372">
        <v>0</v>
      </c>
      <c r="AK372" s="128">
        <v>0</v>
      </c>
      <c r="AL372">
        <v>0</v>
      </c>
      <c r="AM372">
        <v>0</v>
      </c>
      <c r="AN372">
        <v>0</v>
      </c>
      <c r="AO372" s="21">
        <f t="shared" si="178"/>
        <v>0</v>
      </c>
      <c r="AQ372">
        <v>0</v>
      </c>
      <c r="AR372">
        <v>0</v>
      </c>
      <c r="AS372">
        <v>0</v>
      </c>
      <c r="AT372">
        <v>0</v>
      </c>
      <c r="AU372" s="21">
        <f t="shared" si="173"/>
        <v>0</v>
      </c>
    </row>
    <row r="373" spans="1:47" x14ac:dyDescent="0.2">
      <c r="A373" s="12">
        <v>9</v>
      </c>
      <c r="B373" s="12" t="s">
        <v>384</v>
      </c>
      <c r="C373" s="12" t="s">
        <v>26</v>
      </c>
      <c r="D373" s="12">
        <v>30.17</v>
      </c>
      <c r="E373" s="12">
        <v>1998</v>
      </c>
      <c r="F373" s="15"/>
      <c r="G373" s="15"/>
      <c r="H373" s="15"/>
      <c r="I373" s="15"/>
      <c r="J373" s="15"/>
      <c r="K373" s="15"/>
      <c r="L373" s="15"/>
      <c r="M373" s="21">
        <v>0</v>
      </c>
      <c r="N373" s="21">
        <v>0</v>
      </c>
      <c r="O373" s="21">
        <v>0</v>
      </c>
      <c r="P373" s="21">
        <v>1</v>
      </c>
      <c r="Q373" s="21">
        <f t="shared" si="174"/>
        <v>1</v>
      </c>
      <c r="R373" s="21">
        <v>1</v>
      </c>
      <c r="S373" s="21">
        <v>0</v>
      </c>
      <c r="T373" s="21">
        <v>0</v>
      </c>
      <c r="U373" s="21">
        <v>0</v>
      </c>
      <c r="V373" s="21">
        <v>0</v>
      </c>
      <c r="W373" s="21">
        <f t="shared" si="175"/>
        <v>0</v>
      </c>
      <c r="X373" s="21">
        <v>1</v>
      </c>
      <c r="Y373" s="21">
        <v>0</v>
      </c>
      <c r="Z373" s="21">
        <v>0</v>
      </c>
      <c r="AA373" s="21">
        <v>0</v>
      </c>
      <c r="AB373" s="21">
        <v>0</v>
      </c>
      <c r="AC373" s="21">
        <f t="shared" si="176"/>
        <v>0</v>
      </c>
      <c r="AD373" s="21"/>
      <c r="AE373" s="21">
        <v>0</v>
      </c>
      <c r="AF373" s="21">
        <v>0</v>
      </c>
      <c r="AG373" s="21">
        <v>0</v>
      </c>
      <c r="AH373" s="21">
        <v>1</v>
      </c>
      <c r="AI373" s="21">
        <f t="shared" si="177"/>
        <v>1</v>
      </c>
      <c r="AK373" s="128">
        <v>0</v>
      </c>
      <c r="AL373">
        <v>0</v>
      </c>
      <c r="AM373">
        <v>0</v>
      </c>
      <c r="AN373">
        <v>1</v>
      </c>
      <c r="AO373" s="21">
        <f t="shared" si="178"/>
        <v>1</v>
      </c>
      <c r="AQ373">
        <v>1</v>
      </c>
      <c r="AR373">
        <v>0</v>
      </c>
      <c r="AS373">
        <v>0</v>
      </c>
      <c r="AT373">
        <v>0</v>
      </c>
      <c r="AU373" s="21">
        <f t="shared" si="173"/>
        <v>1</v>
      </c>
    </row>
    <row r="374" spans="1:47" x14ac:dyDescent="0.2">
      <c r="A374" s="12">
        <v>9</v>
      </c>
      <c r="B374" s="12" t="s">
        <v>385</v>
      </c>
      <c r="C374" s="12" t="s">
        <v>26</v>
      </c>
      <c r="D374" s="12">
        <v>28.29</v>
      </c>
      <c r="E374" s="12">
        <v>1998</v>
      </c>
      <c r="F374" s="15"/>
      <c r="G374" s="15"/>
      <c r="H374" s="15"/>
      <c r="I374" s="15"/>
      <c r="J374" s="15"/>
      <c r="K374" s="15"/>
      <c r="L374" s="15"/>
      <c r="M374" s="21">
        <v>0</v>
      </c>
      <c r="N374" s="21">
        <v>0</v>
      </c>
      <c r="O374" s="21">
        <v>0</v>
      </c>
      <c r="P374" s="21">
        <v>1</v>
      </c>
      <c r="Q374" s="21">
        <f t="shared" si="174"/>
        <v>1</v>
      </c>
      <c r="R374" s="21">
        <v>1</v>
      </c>
      <c r="S374" s="21">
        <v>0</v>
      </c>
      <c r="T374" s="21">
        <v>0</v>
      </c>
      <c r="U374" s="21">
        <v>0</v>
      </c>
      <c r="V374" s="21">
        <v>0</v>
      </c>
      <c r="W374" s="21">
        <f t="shared" si="175"/>
        <v>0</v>
      </c>
      <c r="X374" s="21">
        <v>1</v>
      </c>
      <c r="Y374" s="21">
        <v>0</v>
      </c>
      <c r="Z374" s="21">
        <v>0</v>
      </c>
      <c r="AA374" s="21">
        <v>0</v>
      </c>
      <c r="AB374" s="21">
        <v>0</v>
      </c>
      <c r="AC374" s="21">
        <f t="shared" si="176"/>
        <v>0</v>
      </c>
      <c r="AD374" s="21"/>
      <c r="AE374" s="21">
        <v>0</v>
      </c>
      <c r="AF374" s="21">
        <v>0</v>
      </c>
      <c r="AG374" s="21">
        <v>0</v>
      </c>
      <c r="AH374" s="21">
        <v>1</v>
      </c>
      <c r="AI374" s="21">
        <f t="shared" si="177"/>
        <v>1</v>
      </c>
      <c r="AK374" s="128">
        <v>0</v>
      </c>
      <c r="AL374">
        <v>0</v>
      </c>
      <c r="AM374">
        <v>0</v>
      </c>
      <c r="AN374">
        <v>1</v>
      </c>
      <c r="AO374" s="21">
        <f t="shared" si="178"/>
        <v>1</v>
      </c>
      <c r="AQ374">
        <v>0</v>
      </c>
      <c r="AR374">
        <v>0</v>
      </c>
      <c r="AS374">
        <v>0</v>
      </c>
      <c r="AT374">
        <v>1</v>
      </c>
      <c r="AU374" s="21">
        <f t="shared" si="173"/>
        <v>1</v>
      </c>
    </row>
    <row r="375" spans="1:47" x14ac:dyDescent="0.2">
      <c r="A375" s="12">
        <v>9</v>
      </c>
      <c r="B375" s="12" t="s">
        <v>517</v>
      </c>
      <c r="C375" s="12" t="s">
        <v>26</v>
      </c>
      <c r="D375" s="12">
        <v>28.25</v>
      </c>
      <c r="E375" s="12">
        <v>2004</v>
      </c>
      <c r="F375" s="15"/>
      <c r="G375" s="15"/>
      <c r="H375" s="15"/>
      <c r="I375" s="15"/>
      <c r="J375" s="15"/>
      <c r="K375" s="15"/>
      <c r="L375" s="15"/>
      <c r="M375" s="21">
        <v>0</v>
      </c>
      <c r="N375" s="21">
        <v>0</v>
      </c>
      <c r="O375" s="21">
        <v>0</v>
      </c>
      <c r="P375" s="21">
        <v>1</v>
      </c>
      <c r="Q375" s="21">
        <f t="shared" si="174"/>
        <v>1</v>
      </c>
      <c r="R375" s="21">
        <v>1</v>
      </c>
      <c r="S375" s="21">
        <v>0</v>
      </c>
      <c r="T375" s="21">
        <v>0</v>
      </c>
      <c r="U375" s="21">
        <v>0</v>
      </c>
      <c r="V375" s="21">
        <v>0</v>
      </c>
      <c r="W375" s="21">
        <f t="shared" si="175"/>
        <v>0</v>
      </c>
      <c r="X375" s="21">
        <v>1</v>
      </c>
      <c r="Y375" s="21">
        <v>0</v>
      </c>
      <c r="Z375" s="21">
        <v>0</v>
      </c>
      <c r="AA375" s="21">
        <v>0</v>
      </c>
      <c r="AB375" s="21">
        <v>0</v>
      </c>
      <c r="AC375" s="21">
        <f t="shared" si="176"/>
        <v>0</v>
      </c>
      <c r="AD375" s="21"/>
      <c r="AE375" s="21">
        <v>0</v>
      </c>
      <c r="AF375" s="21">
        <v>0</v>
      </c>
      <c r="AG375" s="21">
        <v>0</v>
      </c>
      <c r="AH375" s="21">
        <v>1</v>
      </c>
      <c r="AI375" s="21">
        <f t="shared" si="177"/>
        <v>1</v>
      </c>
      <c r="AK375" s="128">
        <v>0</v>
      </c>
      <c r="AL375">
        <v>0</v>
      </c>
      <c r="AM375">
        <v>0</v>
      </c>
      <c r="AN375">
        <v>1</v>
      </c>
      <c r="AO375" s="21">
        <f t="shared" si="178"/>
        <v>1</v>
      </c>
      <c r="AQ375">
        <v>0</v>
      </c>
      <c r="AR375">
        <v>0</v>
      </c>
      <c r="AS375">
        <v>0</v>
      </c>
      <c r="AT375">
        <v>1</v>
      </c>
      <c r="AU375" s="21">
        <f t="shared" si="173"/>
        <v>1</v>
      </c>
    </row>
    <row r="376" spans="1:47" x14ac:dyDescent="0.2">
      <c r="A376" s="12">
        <v>9</v>
      </c>
      <c r="B376" s="12" t="s">
        <v>518</v>
      </c>
      <c r="C376" s="12" t="s">
        <v>26</v>
      </c>
      <c r="D376" s="12">
        <v>29.66</v>
      </c>
      <c r="E376" s="12">
        <v>2003</v>
      </c>
      <c r="F376" s="15"/>
      <c r="G376" s="15"/>
      <c r="H376" s="15"/>
      <c r="I376" s="15"/>
      <c r="J376" s="15"/>
      <c r="K376" s="15"/>
      <c r="L376" s="15"/>
      <c r="M376" s="21">
        <v>0</v>
      </c>
      <c r="N376" s="21">
        <v>0</v>
      </c>
      <c r="O376" s="21">
        <v>0</v>
      </c>
      <c r="P376" s="21">
        <v>1</v>
      </c>
      <c r="Q376" s="21">
        <f t="shared" si="174"/>
        <v>1</v>
      </c>
      <c r="R376" s="21"/>
      <c r="S376" s="21">
        <v>1</v>
      </c>
      <c r="T376" s="21">
        <v>0</v>
      </c>
      <c r="U376" s="21">
        <v>0</v>
      </c>
      <c r="V376" s="21">
        <v>1</v>
      </c>
      <c r="W376" s="21">
        <f t="shared" si="175"/>
        <v>2</v>
      </c>
      <c r="X376" s="21"/>
      <c r="Y376" s="21">
        <v>1</v>
      </c>
      <c r="Z376" s="21">
        <v>0</v>
      </c>
      <c r="AA376" s="21">
        <v>0</v>
      </c>
      <c r="AB376" s="21">
        <v>1</v>
      </c>
      <c r="AC376" s="21">
        <f t="shared" si="176"/>
        <v>2</v>
      </c>
      <c r="AD376" s="21"/>
      <c r="AE376" s="21">
        <v>1</v>
      </c>
      <c r="AF376" s="21">
        <v>0</v>
      </c>
      <c r="AG376" s="21">
        <v>0</v>
      </c>
      <c r="AH376" s="21">
        <v>0</v>
      </c>
      <c r="AI376" s="21">
        <f t="shared" si="177"/>
        <v>1</v>
      </c>
      <c r="AK376" s="128">
        <v>1</v>
      </c>
      <c r="AL376">
        <v>0</v>
      </c>
      <c r="AM376">
        <v>0</v>
      </c>
      <c r="AN376">
        <v>0</v>
      </c>
      <c r="AO376" s="21">
        <f t="shared" si="178"/>
        <v>1</v>
      </c>
      <c r="AQ376">
        <v>1</v>
      </c>
      <c r="AR376">
        <v>0</v>
      </c>
      <c r="AS376">
        <v>0</v>
      </c>
      <c r="AT376">
        <v>0</v>
      </c>
      <c r="AU376" s="21">
        <f t="shared" si="173"/>
        <v>1</v>
      </c>
    </row>
    <row r="377" spans="1:47" x14ac:dyDescent="0.2">
      <c r="A377" s="12">
        <v>9</v>
      </c>
      <c r="B377" s="12" t="s">
        <v>519</v>
      </c>
      <c r="C377" s="12" t="s">
        <v>26</v>
      </c>
      <c r="D377" s="12">
        <v>30.05</v>
      </c>
      <c r="E377" s="12">
        <v>2003</v>
      </c>
      <c r="F377" s="15"/>
      <c r="G377" s="15"/>
      <c r="H377" s="15"/>
      <c r="I377" s="15"/>
      <c r="J377" s="15"/>
      <c r="K377" s="15"/>
      <c r="L377" s="15"/>
      <c r="M377" s="21">
        <v>0</v>
      </c>
      <c r="N377" s="21">
        <v>0</v>
      </c>
      <c r="O377" s="21">
        <v>0</v>
      </c>
      <c r="P377" s="21">
        <v>1</v>
      </c>
      <c r="Q377" s="21">
        <f t="shared" si="174"/>
        <v>1</v>
      </c>
      <c r="R377" s="21">
        <v>1</v>
      </c>
      <c r="S377" s="21">
        <v>0</v>
      </c>
      <c r="T377" s="21">
        <v>0</v>
      </c>
      <c r="U377" s="21">
        <v>0</v>
      </c>
      <c r="V377" s="21">
        <v>0</v>
      </c>
      <c r="W377" s="21">
        <f t="shared" si="175"/>
        <v>0</v>
      </c>
      <c r="X377" s="21">
        <v>1</v>
      </c>
      <c r="Y377" s="21">
        <v>0</v>
      </c>
      <c r="Z377" s="21">
        <v>0</v>
      </c>
      <c r="AA377" s="21">
        <v>0</v>
      </c>
      <c r="AB377" s="21">
        <v>0</v>
      </c>
      <c r="AC377" s="21">
        <f t="shared" si="176"/>
        <v>0</v>
      </c>
      <c r="AD377" s="21">
        <v>1</v>
      </c>
      <c r="AE377" s="21">
        <v>0</v>
      </c>
      <c r="AF377" s="21">
        <v>0</v>
      </c>
      <c r="AG377" s="21">
        <v>0</v>
      </c>
      <c r="AH377" s="21">
        <v>0</v>
      </c>
      <c r="AI377" s="21">
        <f t="shared" si="177"/>
        <v>0</v>
      </c>
      <c r="AK377" s="128">
        <v>0</v>
      </c>
      <c r="AL377">
        <v>0</v>
      </c>
      <c r="AM377">
        <v>0</v>
      </c>
      <c r="AN377">
        <v>1</v>
      </c>
      <c r="AO377" s="21">
        <f t="shared" si="178"/>
        <v>1</v>
      </c>
      <c r="AP377">
        <v>1</v>
      </c>
      <c r="AQ377">
        <v>0</v>
      </c>
      <c r="AR377">
        <v>0</v>
      </c>
      <c r="AS377">
        <v>0</v>
      </c>
      <c r="AT377" t="s">
        <v>468</v>
      </c>
      <c r="AU377" s="21">
        <f t="shared" si="173"/>
        <v>0</v>
      </c>
    </row>
    <row r="378" spans="1:47" x14ac:dyDescent="0.2">
      <c r="A378" s="12">
        <v>9</v>
      </c>
      <c r="B378" s="12" t="s">
        <v>520</v>
      </c>
      <c r="C378" s="12" t="s">
        <v>26</v>
      </c>
      <c r="D378" s="12">
        <v>40.229999999999997</v>
      </c>
      <c r="E378" s="12">
        <v>2003</v>
      </c>
      <c r="F378" s="15"/>
      <c r="G378" s="15"/>
      <c r="H378" s="15"/>
      <c r="I378" s="15"/>
      <c r="J378" s="15"/>
      <c r="K378" s="15"/>
      <c r="L378" s="15"/>
      <c r="M378" s="21">
        <v>0</v>
      </c>
      <c r="N378" s="21">
        <v>0</v>
      </c>
      <c r="O378" s="21">
        <v>0</v>
      </c>
      <c r="P378" s="21">
        <v>1</v>
      </c>
      <c r="Q378" s="21">
        <f t="shared" si="174"/>
        <v>1</v>
      </c>
      <c r="R378" s="21"/>
      <c r="S378" s="21">
        <v>1</v>
      </c>
      <c r="T378" s="21">
        <v>0</v>
      </c>
      <c r="U378" s="21">
        <v>0</v>
      </c>
      <c r="V378" s="21">
        <v>1</v>
      </c>
      <c r="W378" s="21">
        <f t="shared" si="175"/>
        <v>2</v>
      </c>
      <c r="X378" s="21"/>
      <c r="Y378" s="21">
        <v>1</v>
      </c>
      <c r="Z378" s="21">
        <v>0</v>
      </c>
      <c r="AA378" s="21">
        <v>0</v>
      </c>
      <c r="AB378" s="21">
        <v>1</v>
      </c>
      <c r="AC378" s="21">
        <f t="shared" si="176"/>
        <v>2</v>
      </c>
      <c r="AD378" s="21"/>
      <c r="AE378" s="21">
        <v>0</v>
      </c>
      <c r="AF378" s="21">
        <v>0</v>
      </c>
      <c r="AG378" s="21">
        <v>0</v>
      </c>
      <c r="AH378" s="21">
        <v>1</v>
      </c>
      <c r="AI378" s="21">
        <f t="shared" si="177"/>
        <v>1</v>
      </c>
      <c r="AK378" s="128">
        <v>0</v>
      </c>
      <c r="AL378">
        <v>0</v>
      </c>
      <c r="AM378">
        <v>0</v>
      </c>
      <c r="AN378">
        <v>1</v>
      </c>
      <c r="AO378" s="21">
        <f t="shared" si="178"/>
        <v>1</v>
      </c>
      <c r="AQ378">
        <v>0</v>
      </c>
      <c r="AR378">
        <v>0</v>
      </c>
      <c r="AS378">
        <v>0</v>
      </c>
      <c r="AT378">
        <v>1</v>
      </c>
      <c r="AU378" s="21">
        <f t="shared" si="173"/>
        <v>1</v>
      </c>
    </row>
    <row r="379" spans="1:47" x14ac:dyDescent="0.2">
      <c r="A379" s="12">
        <v>9</v>
      </c>
      <c r="B379" s="12" t="s">
        <v>521</v>
      </c>
      <c r="C379" s="12" t="s">
        <v>26</v>
      </c>
      <c r="D379" s="12">
        <v>24.85</v>
      </c>
      <c r="E379" s="12">
        <v>2003</v>
      </c>
      <c r="F379" s="15"/>
      <c r="G379" s="15"/>
      <c r="H379" s="15"/>
      <c r="I379" s="15"/>
      <c r="J379" s="15"/>
      <c r="K379" s="15"/>
      <c r="L379" s="15"/>
      <c r="M379" s="21">
        <v>0</v>
      </c>
      <c r="N379" s="21">
        <v>0</v>
      </c>
      <c r="O379" s="21">
        <v>0</v>
      </c>
      <c r="P379" s="21">
        <v>1</v>
      </c>
      <c r="Q379" s="21">
        <f t="shared" si="174"/>
        <v>1</v>
      </c>
      <c r="R379" s="21">
        <v>1</v>
      </c>
      <c r="S379" s="21">
        <v>0</v>
      </c>
      <c r="T379" s="21">
        <v>0</v>
      </c>
      <c r="U379" s="21">
        <v>0</v>
      </c>
      <c r="V379" s="21">
        <v>0</v>
      </c>
      <c r="W379" s="21">
        <f t="shared" si="175"/>
        <v>0</v>
      </c>
      <c r="X379" s="21">
        <v>1</v>
      </c>
      <c r="Y379" s="21">
        <v>0</v>
      </c>
      <c r="Z379" s="21">
        <v>0</v>
      </c>
      <c r="AA379" s="21">
        <v>0</v>
      </c>
      <c r="AB379" s="21">
        <v>0</v>
      </c>
      <c r="AC379" s="21">
        <f t="shared" si="176"/>
        <v>0</v>
      </c>
      <c r="AD379" s="21"/>
      <c r="AE379" s="21">
        <v>0</v>
      </c>
      <c r="AF379" s="21">
        <v>0</v>
      </c>
      <c r="AG379" s="21">
        <v>0</v>
      </c>
      <c r="AH379" s="21">
        <v>1</v>
      </c>
      <c r="AI379" s="21">
        <f t="shared" si="177"/>
        <v>1</v>
      </c>
      <c r="AK379" s="128">
        <v>0</v>
      </c>
      <c r="AL379">
        <v>0</v>
      </c>
      <c r="AM379">
        <v>0</v>
      </c>
      <c r="AN379">
        <v>1</v>
      </c>
      <c r="AO379" s="21">
        <f t="shared" si="178"/>
        <v>1</v>
      </c>
      <c r="AQ379">
        <v>0</v>
      </c>
      <c r="AR379">
        <v>0</v>
      </c>
      <c r="AS379">
        <v>0</v>
      </c>
      <c r="AT379">
        <v>1</v>
      </c>
      <c r="AU379" s="21">
        <f t="shared" si="173"/>
        <v>1</v>
      </c>
    </row>
    <row r="380" spans="1:47" x14ac:dyDescent="0.2">
      <c r="A380" s="12">
        <v>9</v>
      </c>
      <c r="B380" s="12" t="s">
        <v>522</v>
      </c>
      <c r="C380" s="12" t="s">
        <v>26</v>
      </c>
      <c r="D380" s="12">
        <v>15.16</v>
      </c>
      <c r="E380" s="12">
        <v>2003</v>
      </c>
      <c r="F380" s="15"/>
      <c r="G380" s="15"/>
      <c r="H380" s="15"/>
      <c r="I380" s="15"/>
      <c r="J380" s="15"/>
      <c r="K380" s="15"/>
      <c r="L380" s="15"/>
      <c r="M380" s="21">
        <v>0</v>
      </c>
      <c r="N380" s="21">
        <v>0</v>
      </c>
      <c r="O380" s="21">
        <v>0</v>
      </c>
      <c r="P380" s="21">
        <v>1</v>
      </c>
      <c r="Q380" s="21">
        <f t="shared" si="174"/>
        <v>1</v>
      </c>
      <c r="R380" s="21">
        <v>1</v>
      </c>
      <c r="S380" s="21">
        <v>0</v>
      </c>
      <c r="T380" s="21">
        <v>0</v>
      </c>
      <c r="U380" s="21">
        <v>0</v>
      </c>
      <c r="V380" s="21">
        <v>0</v>
      </c>
      <c r="W380" s="21">
        <f t="shared" si="175"/>
        <v>0</v>
      </c>
      <c r="X380" s="21">
        <v>1</v>
      </c>
      <c r="Y380" s="21">
        <v>0</v>
      </c>
      <c r="Z380" s="21">
        <v>0</v>
      </c>
      <c r="AA380" s="21">
        <v>0</v>
      </c>
      <c r="AB380" s="21">
        <v>0</v>
      </c>
      <c r="AC380" s="21">
        <f t="shared" si="176"/>
        <v>0</v>
      </c>
      <c r="AD380" s="21"/>
      <c r="AE380" s="21">
        <v>0</v>
      </c>
      <c r="AF380" s="21">
        <v>0</v>
      </c>
      <c r="AG380" s="21">
        <v>0</v>
      </c>
      <c r="AH380" s="21">
        <v>1</v>
      </c>
      <c r="AI380" s="21">
        <f t="shared" si="177"/>
        <v>1</v>
      </c>
      <c r="AK380" s="128">
        <v>0</v>
      </c>
      <c r="AL380">
        <v>0</v>
      </c>
      <c r="AM380">
        <v>0</v>
      </c>
      <c r="AN380">
        <v>1</v>
      </c>
      <c r="AO380" s="21">
        <f t="shared" si="178"/>
        <v>1</v>
      </c>
      <c r="AQ380">
        <v>0</v>
      </c>
      <c r="AR380">
        <v>0</v>
      </c>
      <c r="AS380">
        <v>0</v>
      </c>
      <c r="AT380">
        <v>1</v>
      </c>
      <c r="AU380" s="21">
        <f t="shared" si="173"/>
        <v>1</v>
      </c>
    </row>
    <row r="381" spans="1:47" x14ac:dyDescent="0.2">
      <c r="A381" s="12">
        <v>9</v>
      </c>
      <c r="B381" s="12" t="s">
        <v>523</v>
      </c>
      <c r="C381" s="12" t="s">
        <v>26</v>
      </c>
      <c r="D381" s="12">
        <v>6.11</v>
      </c>
      <c r="E381" s="12">
        <v>2003</v>
      </c>
      <c r="F381" s="15"/>
      <c r="G381" s="15"/>
      <c r="H381" s="15"/>
      <c r="I381" s="15"/>
      <c r="J381" s="15"/>
      <c r="K381" s="15"/>
      <c r="L381" s="15"/>
      <c r="M381" s="21">
        <v>0</v>
      </c>
      <c r="N381" s="21">
        <v>0</v>
      </c>
      <c r="O381" s="21">
        <v>0</v>
      </c>
      <c r="P381" s="21">
        <v>1</v>
      </c>
      <c r="Q381" s="21">
        <f t="shared" si="174"/>
        <v>1</v>
      </c>
      <c r="R381" s="21">
        <v>1</v>
      </c>
      <c r="S381" s="21">
        <v>0</v>
      </c>
      <c r="T381" s="21">
        <v>0</v>
      </c>
      <c r="U381" s="21">
        <v>0</v>
      </c>
      <c r="V381" s="21">
        <v>0</v>
      </c>
      <c r="W381" s="21">
        <f t="shared" si="175"/>
        <v>0</v>
      </c>
      <c r="X381" s="21">
        <v>1</v>
      </c>
      <c r="Y381" s="21">
        <v>0</v>
      </c>
      <c r="Z381" s="21">
        <v>0</v>
      </c>
      <c r="AA381" s="21">
        <v>0</v>
      </c>
      <c r="AB381" s="21">
        <v>0</v>
      </c>
      <c r="AC381" s="21">
        <f t="shared" si="176"/>
        <v>0</v>
      </c>
      <c r="AD381" s="21">
        <v>0</v>
      </c>
      <c r="AE381" s="21">
        <v>0</v>
      </c>
      <c r="AF381" s="21">
        <v>0</v>
      </c>
      <c r="AG381" s="21">
        <v>0</v>
      </c>
      <c r="AH381" s="21">
        <v>0</v>
      </c>
      <c r="AI381" s="21">
        <f t="shared" si="177"/>
        <v>0</v>
      </c>
      <c r="AK381" s="128">
        <v>0</v>
      </c>
      <c r="AL381">
        <v>0</v>
      </c>
      <c r="AM381">
        <v>0</v>
      </c>
      <c r="AN381">
        <v>0</v>
      </c>
      <c r="AO381" s="21">
        <f t="shared" si="178"/>
        <v>0</v>
      </c>
      <c r="AQ381">
        <v>0</v>
      </c>
      <c r="AR381">
        <v>0</v>
      </c>
      <c r="AS381">
        <v>0</v>
      </c>
      <c r="AT381">
        <v>0</v>
      </c>
      <c r="AU381" s="21">
        <f t="shared" si="173"/>
        <v>0</v>
      </c>
    </row>
    <row r="382" spans="1:47" x14ac:dyDescent="0.2">
      <c r="A382" s="12">
        <v>9</v>
      </c>
      <c r="B382" s="12" t="s">
        <v>383</v>
      </c>
      <c r="C382" s="12" t="s">
        <v>26</v>
      </c>
      <c r="D382" s="12">
        <v>16.12</v>
      </c>
      <c r="E382" s="12">
        <v>2005</v>
      </c>
      <c r="F382" s="15"/>
      <c r="G382" s="15"/>
      <c r="H382" s="15"/>
      <c r="I382" s="15"/>
      <c r="J382" s="15"/>
      <c r="K382" s="15"/>
      <c r="L382" s="15"/>
      <c r="M382" s="21">
        <v>0</v>
      </c>
      <c r="N382" s="21">
        <v>0</v>
      </c>
      <c r="O382" s="21">
        <v>0</v>
      </c>
      <c r="P382" s="21">
        <v>1</v>
      </c>
      <c r="Q382" s="21">
        <f t="shared" si="174"/>
        <v>1</v>
      </c>
      <c r="R382" s="21">
        <v>1</v>
      </c>
      <c r="S382" s="21">
        <v>0</v>
      </c>
      <c r="T382" s="21">
        <v>0</v>
      </c>
      <c r="U382" s="21">
        <v>0</v>
      </c>
      <c r="V382" s="21">
        <v>0</v>
      </c>
      <c r="W382" s="21">
        <f t="shared" si="175"/>
        <v>0</v>
      </c>
      <c r="X382" s="21">
        <v>1</v>
      </c>
      <c r="Y382" s="21">
        <v>0</v>
      </c>
      <c r="Z382" s="21">
        <v>0</v>
      </c>
      <c r="AA382" s="21">
        <v>0</v>
      </c>
      <c r="AB382" s="21">
        <v>0</v>
      </c>
      <c r="AC382" s="21">
        <f t="shared" si="176"/>
        <v>0</v>
      </c>
      <c r="AD382" s="21"/>
      <c r="AE382" s="21">
        <v>0</v>
      </c>
      <c r="AF382" s="21">
        <v>0</v>
      </c>
      <c r="AG382" s="21">
        <v>0</v>
      </c>
      <c r="AH382" s="21">
        <v>1</v>
      </c>
      <c r="AI382" s="21">
        <f t="shared" si="177"/>
        <v>1</v>
      </c>
      <c r="AK382" s="128">
        <v>0</v>
      </c>
      <c r="AL382">
        <v>0</v>
      </c>
      <c r="AM382">
        <v>0</v>
      </c>
      <c r="AN382">
        <v>1</v>
      </c>
      <c r="AO382" s="21">
        <f t="shared" si="178"/>
        <v>1</v>
      </c>
      <c r="AQ382">
        <v>0</v>
      </c>
      <c r="AR382">
        <v>0</v>
      </c>
      <c r="AS382">
        <v>0</v>
      </c>
      <c r="AT382">
        <v>1</v>
      </c>
      <c r="AU382" s="21">
        <f t="shared" si="173"/>
        <v>1</v>
      </c>
    </row>
    <row r="383" spans="1:47" x14ac:dyDescent="0.2">
      <c r="A383" s="12">
        <v>9</v>
      </c>
      <c r="B383" s="12" t="s">
        <v>388</v>
      </c>
      <c r="C383" s="12" t="s">
        <v>26</v>
      </c>
      <c r="D383" s="12">
        <v>29.85</v>
      </c>
      <c r="E383" s="12">
        <v>2005</v>
      </c>
      <c r="F383" s="15"/>
      <c r="G383" s="15"/>
      <c r="H383" s="15"/>
      <c r="I383" s="15"/>
      <c r="J383" s="15"/>
      <c r="K383" s="15"/>
      <c r="L383" s="15"/>
      <c r="M383" s="21">
        <v>0</v>
      </c>
      <c r="N383" s="21">
        <v>0</v>
      </c>
      <c r="O383" s="21">
        <v>0</v>
      </c>
      <c r="P383" s="21">
        <v>1</v>
      </c>
      <c r="Q383" s="21">
        <f t="shared" si="174"/>
        <v>1</v>
      </c>
      <c r="R383" s="21">
        <v>1</v>
      </c>
      <c r="S383" s="21">
        <v>0</v>
      </c>
      <c r="T383" s="21">
        <v>0</v>
      </c>
      <c r="U383" s="21">
        <v>0</v>
      </c>
      <c r="V383" s="21">
        <v>0</v>
      </c>
      <c r="W383" s="21">
        <f t="shared" si="175"/>
        <v>0</v>
      </c>
      <c r="X383" s="21">
        <v>1</v>
      </c>
      <c r="Y383" s="21">
        <v>0</v>
      </c>
      <c r="Z383" s="21">
        <v>0</v>
      </c>
      <c r="AA383" s="21">
        <v>0</v>
      </c>
      <c r="AB383" s="21">
        <v>0</v>
      </c>
      <c r="AC383" s="21">
        <f t="shared" si="176"/>
        <v>0</v>
      </c>
      <c r="AD383" s="21"/>
      <c r="AE383" s="21">
        <v>0</v>
      </c>
      <c r="AF383" s="21">
        <v>0</v>
      </c>
      <c r="AG383" s="21">
        <v>0</v>
      </c>
      <c r="AH383" s="21">
        <v>1</v>
      </c>
      <c r="AI383" s="21">
        <f t="shared" si="177"/>
        <v>1</v>
      </c>
      <c r="AK383" s="128">
        <v>0</v>
      </c>
      <c r="AL383">
        <v>0</v>
      </c>
      <c r="AM383">
        <v>0</v>
      </c>
      <c r="AN383">
        <v>1</v>
      </c>
      <c r="AO383" s="21">
        <f t="shared" si="178"/>
        <v>1</v>
      </c>
      <c r="AQ383">
        <v>0</v>
      </c>
      <c r="AR383">
        <v>0</v>
      </c>
      <c r="AS383">
        <v>0</v>
      </c>
      <c r="AT383">
        <v>1</v>
      </c>
      <c r="AU383" s="21">
        <f t="shared" si="173"/>
        <v>1</v>
      </c>
    </row>
    <row r="384" spans="1:47" x14ac:dyDescent="0.2">
      <c r="A384" s="12">
        <v>9</v>
      </c>
      <c r="B384" s="12" t="s">
        <v>390</v>
      </c>
      <c r="C384" s="12" t="s">
        <v>26</v>
      </c>
      <c r="D384" s="12">
        <v>20.5</v>
      </c>
      <c r="E384" s="12">
        <v>2005</v>
      </c>
      <c r="F384" s="15"/>
      <c r="G384" s="15"/>
      <c r="H384" s="15"/>
      <c r="I384" s="15"/>
      <c r="J384" s="15"/>
      <c r="K384" s="15"/>
      <c r="L384" s="15"/>
      <c r="M384" s="21">
        <v>0</v>
      </c>
      <c r="N384" s="21">
        <v>0</v>
      </c>
      <c r="O384" s="21">
        <v>0</v>
      </c>
      <c r="P384" s="21">
        <v>1</v>
      </c>
      <c r="Q384" s="21">
        <f t="shared" si="174"/>
        <v>1</v>
      </c>
      <c r="R384" s="21">
        <v>1</v>
      </c>
      <c r="S384" s="21">
        <v>0</v>
      </c>
      <c r="T384" s="21">
        <v>0</v>
      </c>
      <c r="U384" s="21">
        <v>0</v>
      </c>
      <c r="V384" s="21">
        <v>0</v>
      </c>
      <c r="W384" s="21">
        <f t="shared" si="175"/>
        <v>0</v>
      </c>
      <c r="X384" s="21">
        <v>1</v>
      </c>
      <c r="Y384" s="21">
        <v>0</v>
      </c>
      <c r="Z384" s="21">
        <v>0</v>
      </c>
      <c r="AA384" s="21">
        <v>0</v>
      </c>
      <c r="AB384" s="21">
        <v>0</v>
      </c>
      <c r="AC384" s="21">
        <f t="shared" si="176"/>
        <v>0</v>
      </c>
      <c r="AD384" s="21"/>
      <c r="AE384" s="21">
        <v>0</v>
      </c>
      <c r="AF384" s="21">
        <v>0</v>
      </c>
      <c r="AG384" s="21">
        <v>0</v>
      </c>
      <c r="AH384" s="21">
        <v>1</v>
      </c>
      <c r="AI384" s="21">
        <f t="shared" si="177"/>
        <v>1</v>
      </c>
      <c r="AK384" s="128">
        <v>0</v>
      </c>
      <c r="AL384">
        <v>0</v>
      </c>
      <c r="AM384">
        <v>0</v>
      </c>
      <c r="AN384">
        <v>1</v>
      </c>
      <c r="AO384" s="21">
        <f t="shared" si="178"/>
        <v>1</v>
      </c>
      <c r="AQ384">
        <v>0</v>
      </c>
      <c r="AR384">
        <v>0</v>
      </c>
      <c r="AS384">
        <v>0</v>
      </c>
      <c r="AT384">
        <v>1</v>
      </c>
      <c r="AU384" s="21">
        <f t="shared" si="173"/>
        <v>1</v>
      </c>
    </row>
    <row r="385" spans="1:47" x14ac:dyDescent="0.2">
      <c r="A385" s="12">
        <v>9</v>
      </c>
      <c r="B385" s="12" t="s">
        <v>397</v>
      </c>
      <c r="C385" s="12" t="s">
        <v>26</v>
      </c>
      <c r="D385" s="12">
        <v>39.270000000000003</v>
      </c>
      <c r="E385" s="12">
        <v>2005</v>
      </c>
      <c r="F385" s="15"/>
      <c r="G385" s="15"/>
      <c r="H385" s="15"/>
      <c r="I385" s="15"/>
      <c r="J385" s="15"/>
      <c r="K385" s="15"/>
      <c r="L385" s="15"/>
      <c r="M385" s="21">
        <v>0</v>
      </c>
      <c r="N385" s="21">
        <v>0</v>
      </c>
      <c r="O385" s="21">
        <v>0</v>
      </c>
      <c r="P385" s="21">
        <v>1</v>
      </c>
      <c r="Q385" s="21">
        <f t="shared" si="174"/>
        <v>1</v>
      </c>
      <c r="R385" s="21">
        <v>1</v>
      </c>
      <c r="S385" s="21">
        <v>0</v>
      </c>
      <c r="T385" s="21">
        <v>0</v>
      </c>
      <c r="U385" s="21">
        <v>0</v>
      </c>
      <c r="V385" s="21">
        <v>0</v>
      </c>
      <c r="W385" s="21">
        <f t="shared" si="175"/>
        <v>0</v>
      </c>
      <c r="X385" s="21">
        <v>1</v>
      </c>
      <c r="Y385" s="21">
        <v>0</v>
      </c>
      <c r="Z385" s="21">
        <v>0</v>
      </c>
      <c r="AA385" s="21">
        <v>0</v>
      </c>
      <c r="AB385" s="21">
        <v>0</v>
      </c>
      <c r="AC385" s="21">
        <f t="shared" si="176"/>
        <v>0</v>
      </c>
      <c r="AD385" s="21"/>
      <c r="AE385" s="21">
        <v>0</v>
      </c>
      <c r="AF385" s="21">
        <v>0</v>
      </c>
      <c r="AG385" s="21">
        <v>0</v>
      </c>
      <c r="AH385" s="21">
        <v>1</v>
      </c>
      <c r="AI385" s="21">
        <f t="shared" si="177"/>
        <v>1</v>
      </c>
      <c r="AK385" s="128">
        <v>0</v>
      </c>
      <c r="AL385">
        <v>0</v>
      </c>
      <c r="AM385">
        <v>0</v>
      </c>
      <c r="AN385">
        <v>1</v>
      </c>
      <c r="AO385" s="21">
        <f t="shared" si="178"/>
        <v>1</v>
      </c>
      <c r="AQ385">
        <v>1</v>
      </c>
      <c r="AR385">
        <v>0</v>
      </c>
      <c r="AS385">
        <v>0</v>
      </c>
      <c r="AT385">
        <v>0</v>
      </c>
      <c r="AU385" s="21">
        <f t="shared" si="173"/>
        <v>1</v>
      </c>
    </row>
    <row r="386" spans="1:47" x14ac:dyDescent="0.2">
      <c r="A386" s="12">
        <v>9</v>
      </c>
      <c r="B386" s="12" t="s">
        <v>398</v>
      </c>
      <c r="C386" s="12" t="s">
        <v>26</v>
      </c>
      <c r="D386" s="12">
        <v>32.32</v>
      </c>
      <c r="E386" s="12">
        <v>2005</v>
      </c>
      <c r="F386" s="15"/>
      <c r="G386" s="15"/>
      <c r="H386" s="15"/>
      <c r="I386" s="15"/>
      <c r="J386" s="15"/>
      <c r="K386" s="15"/>
      <c r="L386" s="15"/>
      <c r="M386" s="21">
        <v>0</v>
      </c>
      <c r="N386" s="21">
        <v>0</v>
      </c>
      <c r="O386" s="21">
        <v>0</v>
      </c>
      <c r="P386" s="21">
        <v>1</v>
      </c>
      <c r="Q386" s="21">
        <f t="shared" si="174"/>
        <v>1</v>
      </c>
      <c r="R386" s="21">
        <v>1</v>
      </c>
      <c r="S386" s="21">
        <v>0</v>
      </c>
      <c r="T386" s="21">
        <v>0</v>
      </c>
      <c r="U386" s="21">
        <v>0</v>
      </c>
      <c r="V386" s="21">
        <v>0</v>
      </c>
      <c r="W386" s="21">
        <f t="shared" si="175"/>
        <v>0</v>
      </c>
      <c r="X386" s="21">
        <v>1</v>
      </c>
      <c r="Y386" s="21">
        <v>0</v>
      </c>
      <c r="Z386" s="21">
        <v>0</v>
      </c>
      <c r="AA386" s="21">
        <v>0</v>
      </c>
      <c r="AB386" s="21">
        <v>0</v>
      </c>
      <c r="AC386" s="21">
        <f t="shared" si="176"/>
        <v>0</v>
      </c>
      <c r="AD386" s="21"/>
      <c r="AE386" s="21">
        <v>1</v>
      </c>
      <c r="AF386" s="21">
        <v>0</v>
      </c>
      <c r="AG386" s="21">
        <v>0</v>
      </c>
      <c r="AH386" s="21">
        <v>0</v>
      </c>
      <c r="AI386" s="21">
        <f t="shared" si="177"/>
        <v>1</v>
      </c>
      <c r="AK386" s="128">
        <v>1</v>
      </c>
      <c r="AL386">
        <v>0</v>
      </c>
      <c r="AM386">
        <v>0</v>
      </c>
      <c r="AN386">
        <v>0</v>
      </c>
      <c r="AO386" s="21">
        <f t="shared" si="178"/>
        <v>1</v>
      </c>
      <c r="AQ386">
        <v>1</v>
      </c>
      <c r="AR386">
        <v>0</v>
      </c>
      <c r="AS386">
        <v>0</v>
      </c>
      <c r="AT386">
        <v>0</v>
      </c>
      <c r="AU386" s="21">
        <f t="shared" si="173"/>
        <v>1</v>
      </c>
    </row>
    <row r="387" spans="1:47" x14ac:dyDescent="0.2">
      <c r="A387" s="12">
        <v>9</v>
      </c>
      <c r="B387" s="12" t="s">
        <v>393</v>
      </c>
      <c r="C387" s="12" t="s">
        <v>26</v>
      </c>
      <c r="D387" s="12">
        <v>23.56</v>
      </c>
      <c r="E387" s="12">
        <v>2005</v>
      </c>
      <c r="F387" s="15"/>
      <c r="G387" s="15"/>
      <c r="H387" s="15"/>
      <c r="I387" s="15"/>
      <c r="J387" s="15"/>
      <c r="K387" s="15"/>
      <c r="L387" s="15"/>
      <c r="M387" s="21">
        <v>0</v>
      </c>
      <c r="N387" s="21">
        <v>0</v>
      </c>
      <c r="O387" s="21">
        <v>0</v>
      </c>
      <c r="P387" s="21">
        <v>1</v>
      </c>
      <c r="Q387" s="21">
        <f t="shared" si="174"/>
        <v>1</v>
      </c>
      <c r="R387" s="21">
        <v>1</v>
      </c>
      <c r="S387" s="21">
        <v>0</v>
      </c>
      <c r="T387" s="21">
        <v>0</v>
      </c>
      <c r="U387" s="21">
        <v>0</v>
      </c>
      <c r="V387" s="21">
        <v>0</v>
      </c>
      <c r="W387" s="21">
        <f t="shared" si="175"/>
        <v>0</v>
      </c>
      <c r="X387" s="21">
        <v>1</v>
      </c>
      <c r="Y387" s="21">
        <v>0</v>
      </c>
      <c r="Z387" s="21">
        <v>0</v>
      </c>
      <c r="AA387" s="21">
        <v>0</v>
      </c>
      <c r="AB387" s="21">
        <v>0</v>
      </c>
      <c r="AC387" s="21">
        <f t="shared" si="176"/>
        <v>0</v>
      </c>
      <c r="AD387" s="21"/>
      <c r="AE387" s="21">
        <v>0</v>
      </c>
      <c r="AF387" s="21">
        <v>0</v>
      </c>
      <c r="AG387" s="21">
        <v>0</v>
      </c>
      <c r="AH387" s="21">
        <v>1</v>
      </c>
      <c r="AI387" s="21">
        <f t="shared" si="177"/>
        <v>1</v>
      </c>
      <c r="AK387" s="128">
        <v>0</v>
      </c>
      <c r="AL387">
        <v>0</v>
      </c>
      <c r="AM387">
        <v>0</v>
      </c>
      <c r="AN387">
        <v>1</v>
      </c>
      <c r="AO387" s="21">
        <f t="shared" si="178"/>
        <v>1</v>
      </c>
      <c r="AQ387">
        <v>0</v>
      </c>
      <c r="AR387">
        <v>0</v>
      </c>
      <c r="AS387">
        <v>0</v>
      </c>
      <c r="AT387">
        <v>1</v>
      </c>
      <c r="AU387" s="21">
        <f t="shared" si="173"/>
        <v>1</v>
      </c>
    </row>
    <row r="388" spans="1:47" x14ac:dyDescent="0.2">
      <c r="A388" s="12">
        <v>9</v>
      </c>
      <c r="B388" s="12" t="s">
        <v>395</v>
      </c>
      <c r="C388" s="12" t="s">
        <v>26</v>
      </c>
      <c r="D388" s="12">
        <v>13.38</v>
      </c>
      <c r="E388" s="12">
        <v>2005</v>
      </c>
      <c r="F388" s="15"/>
      <c r="G388" s="15"/>
      <c r="H388" s="15"/>
      <c r="I388" s="15"/>
      <c r="J388" s="15"/>
      <c r="K388" s="15"/>
      <c r="L388" s="15"/>
      <c r="M388" s="21">
        <v>0</v>
      </c>
      <c r="N388" s="21">
        <v>0</v>
      </c>
      <c r="O388" s="21">
        <v>0</v>
      </c>
      <c r="P388" s="21">
        <v>1</v>
      </c>
      <c r="Q388" s="21">
        <f t="shared" si="174"/>
        <v>1</v>
      </c>
      <c r="R388" s="21">
        <v>1</v>
      </c>
      <c r="S388" s="21">
        <v>0</v>
      </c>
      <c r="T388" s="21">
        <v>0</v>
      </c>
      <c r="U388" s="21">
        <v>0</v>
      </c>
      <c r="V388" s="21">
        <v>0</v>
      </c>
      <c r="W388" s="21">
        <f t="shared" si="175"/>
        <v>0</v>
      </c>
      <c r="X388" s="21">
        <v>1</v>
      </c>
      <c r="Y388" s="21">
        <v>0</v>
      </c>
      <c r="Z388" s="21">
        <v>0</v>
      </c>
      <c r="AA388" s="21">
        <v>0</v>
      </c>
      <c r="AB388" s="21">
        <v>0</v>
      </c>
      <c r="AC388" s="21">
        <f t="shared" si="176"/>
        <v>0</v>
      </c>
      <c r="AD388" s="21">
        <v>1</v>
      </c>
      <c r="AE388" s="21">
        <v>0</v>
      </c>
      <c r="AF388" s="21">
        <v>0</v>
      </c>
      <c r="AG388" s="21">
        <v>0</v>
      </c>
      <c r="AH388" s="21">
        <v>0</v>
      </c>
      <c r="AI388" s="21">
        <f t="shared" si="177"/>
        <v>0</v>
      </c>
      <c r="AK388" s="128">
        <v>0</v>
      </c>
      <c r="AL388">
        <v>0</v>
      </c>
      <c r="AM388">
        <v>0</v>
      </c>
      <c r="AN388">
        <v>1</v>
      </c>
      <c r="AO388" s="21">
        <f t="shared" si="178"/>
        <v>1</v>
      </c>
      <c r="AP388">
        <v>1</v>
      </c>
      <c r="AQ388">
        <v>0</v>
      </c>
      <c r="AR388">
        <v>0</v>
      </c>
      <c r="AS388">
        <v>0</v>
      </c>
      <c r="AT388" t="s">
        <v>468</v>
      </c>
      <c r="AU388" s="21">
        <f t="shared" si="173"/>
        <v>0</v>
      </c>
    </row>
    <row r="389" spans="1:47" ht="15" customHeight="1" x14ac:dyDescent="0.2">
      <c r="A389" s="12">
        <v>9</v>
      </c>
      <c r="B389" s="12" t="s">
        <v>396</v>
      </c>
      <c r="C389" s="12" t="s">
        <v>26</v>
      </c>
      <c r="D389" s="12">
        <v>6.86</v>
      </c>
      <c r="E389" s="12">
        <v>2005</v>
      </c>
      <c r="F389" s="15"/>
      <c r="G389" s="15"/>
      <c r="H389" s="15"/>
      <c r="I389" s="15"/>
      <c r="J389" s="15"/>
      <c r="K389" s="15"/>
      <c r="L389" s="15">
        <v>1</v>
      </c>
      <c r="M389" s="21">
        <v>0</v>
      </c>
      <c r="N389" s="21">
        <v>0</v>
      </c>
      <c r="O389" s="21">
        <v>0</v>
      </c>
      <c r="P389" s="21">
        <v>0</v>
      </c>
      <c r="Q389" s="21">
        <f t="shared" si="174"/>
        <v>0</v>
      </c>
      <c r="R389" s="21">
        <v>1</v>
      </c>
      <c r="S389" s="21">
        <v>0</v>
      </c>
      <c r="T389" s="21">
        <v>0</v>
      </c>
      <c r="U389" s="21">
        <v>0</v>
      </c>
      <c r="V389" s="21">
        <v>0</v>
      </c>
      <c r="W389" s="21">
        <f t="shared" si="175"/>
        <v>0</v>
      </c>
      <c r="X389" s="21">
        <v>1</v>
      </c>
      <c r="Y389" s="21">
        <v>0</v>
      </c>
      <c r="Z389" s="21">
        <v>0</v>
      </c>
      <c r="AA389" s="21">
        <v>0</v>
      </c>
      <c r="AB389" s="21">
        <v>0</v>
      </c>
      <c r="AC389" s="21">
        <f t="shared" si="176"/>
        <v>0</v>
      </c>
      <c r="AD389" s="21"/>
      <c r="AE389" s="21">
        <v>0</v>
      </c>
      <c r="AF389" s="21">
        <v>0</v>
      </c>
      <c r="AG389" s="21">
        <v>0</v>
      </c>
      <c r="AH389" s="21">
        <v>0</v>
      </c>
      <c r="AI389" s="21">
        <f t="shared" si="177"/>
        <v>0</v>
      </c>
      <c r="AK389" s="128">
        <v>0</v>
      </c>
      <c r="AL389">
        <v>0</v>
      </c>
      <c r="AM389">
        <v>0</v>
      </c>
      <c r="AN389">
        <v>0</v>
      </c>
      <c r="AO389" s="21">
        <f t="shared" si="178"/>
        <v>0</v>
      </c>
      <c r="AQ389">
        <v>0</v>
      </c>
      <c r="AR389">
        <v>0</v>
      </c>
      <c r="AS389">
        <v>0</v>
      </c>
      <c r="AT389">
        <v>0</v>
      </c>
      <c r="AU389" s="21">
        <f t="shared" si="173"/>
        <v>0</v>
      </c>
    </row>
    <row r="390" spans="1:47" x14ac:dyDescent="0.2">
      <c r="A390" s="131" t="s">
        <v>71</v>
      </c>
      <c r="B390" s="131"/>
      <c r="C390" s="131"/>
      <c r="D390" s="13">
        <f>SUM(D348:D389)</f>
        <v>1138.08</v>
      </c>
      <c r="E390" s="13">
        <f t="shared" ref="E390:AU390" si="180">SUM(E348:E389)</f>
        <v>84001</v>
      </c>
      <c r="F390" s="13">
        <f t="shared" si="180"/>
        <v>0</v>
      </c>
      <c r="G390" s="13">
        <f t="shared" si="180"/>
        <v>0</v>
      </c>
      <c r="H390" s="13">
        <f t="shared" si="180"/>
        <v>0</v>
      </c>
      <c r="I390" s="13">
        <f t="shared" si="180"/>
        <v>0</v>
      </c>
      <c r="J390" s="13">
        <f t="shared" si="180"/>
        <v>0</v>
      </c>
      <c r="K390" s="13">
        <f t="shared" si="180"/>
        <v>0</v>
      </c>
      <c r="L390" s="13">
        <f t="shared" si="180"/>
        <v>2</v>
      </c>
      <c r="M390" s="13">
        <f t="shared" si="180"/>
        <v>0</v>
      </c>
      <c r="N390" s="13">
        <f t="shared" si="180"/>
        <v>0</v>
      </c>
      <c r="O390" s="13">
        <f t="shared" si="180"/>
        <v>2</v>
      </c>
      <c r="P390" s="13">
        <f t="shared" si="180"/>
        <v>40</v>
      </c>
      <c r="Q390" s="13">
        <f t="shared" si="180"/>
        <v>42</v>
      </c>
      <c r="R390" s="13">
        <f t="shared" si="180"/>
        <v>33</v>
      </c>
      <c r="S390" s="13">
        <f t="shared" si="180"/>
        <v>10</v>
      </c>
      <c r="T390" s="13">
        <f t="shared" si="180"/>
        <v>0</v>
      </c>
      <c r="U390" s="13">
        <f t="shared" si="180"/>
        <v>7</v>
      </c>
      <c r="V390" s="13">
        <f t="shared" si="180"/>
        <v>9</v>
      </c>
      <c r="W390" s="13">
        <f t="shared" si="180"/>
        <v>26</v>
      </c>
      <c r="X390" s="13">
        <f t="shared" si="180"/>
        <v>32</v>
      </c>
      <c r="Y390" s="13">
        <f t="shared" si="180"/>
        <v>11</v>
      </c>
      <c r="Z390" s="13">
        <f t="shared" si="180"/>
        <v>0</v>
      </c>
      <c r="AA390" s="13">
        <f t="shared" si="180"/>
        <v>7</v>
      </c>
      <c r="AB390" s="13">
        <f t="shared" si="180"/>
        <v>10</v>
      </c>
      <c r="AC390" s="13">
        <f t="shared" si="180"/>
        <v>28</v>
      </c>
      <c r="AD390" s="13">
        <f t="shared" si="180"/>
        <v>4</v>
      </c>
      <c r="AE390" s="13">
        <f t="shared" si="180"/>
        <v>10</v>
      </c>
      <c r="AF390" s="13">
        <f t="shared" si="180"/>
        <v>5</v>
      </c>
      <c r="AG390" s="13">
        <f t="shared" si="180"/>
        <v>2</v>
      </c>
      <c r="AH390" s="13">
        <f t="shared" si="180"/>
        <v>26</v>
      </c>
      <c r="AI390" s="13">
        <f t="shared" si="180"/>
        <v>43</v>
      </c>
      <c r="AJ390" s="13">
        <f t="shared" si="180"/>
        <v>0</v>
      </c>
      <c r="AK390" s="13">
        <f t="shared" si="180"/>
        <v>12</v>
      </c>
      <c r="AL390" s="13">
        <f t="shared" si="180"/>
        <v>0</v>
      </c>
      <c r="AM390" s="13">
        <f t="shared" si="180"/>
        <v>0</v>
      </c>
      <c r="AN390" s="13">
        <f t="shared" si="180"/>
        <v>28</v>
      </c>
      <c r="AO390" s="13">
        <f t="shared" si="180"/>
        <v>40</v>
      </c>
      <c r="AP390" s="13">
        <f t="shared" si="180"/>
        <v>2</v>
      </c>
      <c r="AQ390" s="13">
        <f t="shared" si="180"/>
        <v>14</v>
      </c>
      <c r="AR390" s="13">
        <f t="shared" si="180"/>
        <v>0</v>
      </c>
      <c r="AS390" s="13">
        <f t="shared" si="180"/>
        <v>2</v>
      </c>
      <c r="AT390" s="13">
        <f t="shared" si="180"/>
        <v>24</v>
      </c>
      <c r="AU390" s="13">
        <f t="shared" si="180"/>
        <v>40</v>
      </c>
    </row>
    <row r="391" spans="1:47" x14ac:dyDescent="0.2">
      <c r="A391" s="12">
        <v>10</v>
      </c>
      <c r="B391" s="12" t="s">
        <v>524</v>
      </c>
      <c r="C391" s="12" t="s">
        <v>26</v>
      </c>
      <c r="D391" s="12">
        <v>29.94</v>
      </c>
      <c r="E391" s="12">
        <v>1999</v>
      </c>
      <c r="F391" s="15"/>
      <c r="G391" s="15"/>
      <c r="H391" s="15"/>
      <c r="I391" s="15"/>
      <c r="J391" s="15"/>
      <c r="K391" s="15"/>
      <c r="L391" s="21"/>
      <c r="M391" s="21">
        <v>1</v>
      </c>
      <c r="N391" s="21">
        <v>0</v>
      </c>
      <c r="O391" s="21">
        <v>3</v>
      </c>
      <c r="P391" s="21">
        <v>1</v>
      </c>
      <c r="Q391" s="21">
        <f t="shared" si="174"/>
        <v>5</v>
      </c>
      <c r="R391" s="21"/>
      <c r="S391" s="21">
        <v>1</v>
      </c>
      <c r="T391" s="21">
        <v>0</v>
      </c>
      <c r="U391" s="21">
        <v>6</v>
      </c>
      <c r="V391" s="21">
        <v>1</v>
      </c>
      <c r="W391" s="21">
        <f t="shared" si="175"/>
        <v>8</v>
      </c>
      <c r="X391" s="21"/>
      <c r="Y391" s="21">
        <v>1</v>
      </c>
      <c r="Z391" s="21">
        <v>0</v>
      </c>
      <c r="AA391" s="21">
        <v>7</v>
      </c>
      <c r="AB391" s="21">
        <v>1</v>
      </c>
      <c r="AC391" s="21">
        <f t="shared" si="176"/>
        <v>9</v>
      </c>
      <c r="AD391" s="21"/>
      <c r="AE391" s="21">
        <v>1</v>
      </c>
      <c r="AF391" s="21">
        <v>0</v>
      </c>
      <c r="AG391" s="21">
        <v>6</v>
      </c>
      <c r="AH391" s="21">
        <v>0</v>
      </c>
      <c r="AI391" s="21">
        <f t="shared" si="177"/>
        <v>7</v>
      </c>
      <c r="AK391" s="128">
        <v>1</v>
      </c>
      <c r="AL391">
        <v>2</v>
      </c>
      <c r="AM391">
        <v>0</v>
      </c>
      <c r="AN391">
        <v>0</v>
      </c>
      <c r="AO391" s="21">
        <f t="shared" si="178"/>
        <v>3</v>
      </c>
      <c r="AQ391">
        <v>1</v>
      </c>
      <c r="AR391">
        <v>3</v>
      </c>
      <c r="AS391">
        <v>0</v>
      </c>
      <c r="AT391">
        <v>0</v>
      </c>
      <c r="AU391" s="21">
        <f t="shared" si="173"/>
        <v>4</v>
      </c>
    </row>
    <row r="392" spans="1:47" ht="15" customHeight="1" x14ac:dyDescent="0.2">
      <c r="A392" s="12">
        <v>10</v>
      </c>
      <c r="B392" s="12" t="s">
        <v>525</v>
      </c>
      <c r="C392" s="12" t="s">
        <v>26</v>
      </c>
      <c r="D392" s="12">
        <v>27.75</v>
      </c>
      <c r="E392" s="12">
        <v>1999</v>
      </c>
      <c r="F392" s="15"/>
      <c r="G392" s="15"/>
      <c r="H392" s="15"/>
      <c r="I392" s="15"/>
      <c r="J392" s="15"/>
      <c r="K392" s="15"/>
      <c r="L392" s="21">
        <v>1</v>
      </c>
      <c r="M392" s="21">
        <v>0</v>
      </c>
      <c r="N392" s="21">
        <v>0</v>
      </c>
      <c r="O392" s="21">
        <v>0</v>
      </c>
      <c r="P392" s="21">
        <v>0</v>
      </c>
      <c r="Q392" s="21">
        <f t="shared" si="174"/>
        <v>0</v>
      </c>
      <c r="R392" s="21">
        <v>1</v>
      </c>
      <c r="S392" s="21">
        <v>0</v>
      </c>
      <c r="T392" s="21">
        <v>0</v>
      </c>
      <c r="U392" s="21">
        <v>0</v>
      </c>
      <c r="V392" s="21">
        <v>0</v>
      </c>
      <c r="W392" s="21">
        <f t="shared" si="175"/>
        <v>0</v>
      </c>
      <c r="X392" s="21">
        <v>1</v>
      </c>
      <c r="Y392" s="21">
        <v>0</v>
      </c>
      <c r="Z392" s="21">
        <v>0</v>
      </c>
      <c r="AA392" s="21">
        <v>0</v>
      </c>
      <c r="AB392" s="21">
        <v>0</v>
      </c>
      <c r="AC392" s="21">
        <f t="shared" si="176"/>
        <v>0</v>
      </c>
      <c r="AD392" s="21"/>
      <c r="AE392" s="21">
        <v>0</v>
      </c>
      <c r="AF392" s="21">
        <v>0</v>
      </c>
      <c r="AG392" s="21">
        <v>0</v>
      </c>
      <c r="AH392" s="21">
        <v>1</v>
      </c>
      <c r="AI392" s="21">
        <f t="shared" si="177"/>
        <v>1</v>
      </c>
      <c r="AK392" s="128">
        <v>0</v>
      </c>
      <c r="AL392">
        <v>0</v>
      </c>
      <c r="AM392">
        <v>0</v>
      </c>
      <c r="AN392">
        <v>1</v>
      </c>
      <c r="AO392" s="21">
        <f t="shared" si="178"/>
        <v>1</v>
      </c>
      <c r="AQ392">
        <v>0</v>
      </c>
      <c r="AR392">
        <v>0</v>
      </c>
      <c r="AS392">
        <v>0</v>
      </c>
      <c r="AT392">
        <v>1</v>
      </c>
      <c r="AU392" s="21">
        <f t="shared" si="173"/>
        <v>1</v>
      </c>
    </row>
    <row r="393" spans="1:47" ht="15" customHeight="1" x14ac:dyDescent="0.2">
      <c r="A393" s="12">
        <v>10</v>
      </c>
      <c r="B393" s="12" t="s">
        <v>416</v>
      </c>
      <c r="C393" s="12" t="s">
        <v>26</v>
      </c>
      <c r="D393" s="12">
        <v>31.13</v>
      </c>
      <c r="E393" s="12">
        <v>1998</v>
      </c>
      <c r="F393" s="15"/>
      <c r="G393" s="15"/>
      <c r="H393" s="15"/>
      <c r="I393" s="15"/>
      <c r="J393" s="15"/>
      <c r="K393" s="15"/>
      <c r="L393" s="21">
        <v>1</v>
      </c>
      <c r="M393" s="21">
        <v>0</v>
      </c>
      <c r="N393" s="21">
        <v>0</v>
      </c>
      <c r="O393" s="21">
        <v>0</v>
      </c>
      <c r="P393" s="21">
        <v>0</v>
      </c>
      <c r="Q393" s="21">
        <f t="shared" si="174"/>
        <v>0</v>
      </c>
      <c r="R393" s="21">
        <v>1</v>
      </c>
      <c r="S393" s="21">
        <v>0</v>
      </c>
      <c r="T393" s="21">
        <v>0</v>
      </c>
      <c r="U393" s="21">
        <v>0</v>
      </c>
      <c r="V393" s="21">
        <v>0</v>
      </c>
      <c r="W393" s="21">
        <f t="shared" si="175"/>
        <v>0</v>
      </c>
      <c r="X393" s="21">
        <v>1</v>
      </c>
      <c r="Y393" s="21">
        <v>0</v>
      </c>
      <c r="Z393" s="21">
        <v>0</v>
      </c>
      <c r="AA393" s="21">
        <v>0</v>
      </c>
      <c r="AB393" s="21">
        <v>0</v>
      </c>
      <c r="AC393" s="21">
        <f t="shared" si="176"/>
        <v>0</v>
      </c>
      <c r="AD393" s="21"/>
      <c r="AE393" s="21">
        <v>0</v>
      </c>
      <c r="AF393" s="21">
        <v>0</v>
      </c>
      <c r="AG393" s="21">
        <v>0</v>
      </c>
      <c r="AH393" s="21">
        <v>1</v>
      </c>
      <c r="AI393" s="21">
        <f t="shared" si="177"/>
        <v>1</v>
      </c>
      <c r="AK393" s="128">
        <v>0</v>
      </c>
      <c r="AL393">
        <v>0</v>
      </c>
      <c r="AM393">
        <v>0</v>
      </c>
      <c r="AN393">
        <v>1</v>
      </c>
      <c r="AO393" s="21">
        <f t="shared" si="178"/>
        <v>1</v>
      </c>
      <c r="AQ393">
        <v>0</v>
      </c>
      <c r="AR393">
        <v>0</v>
      </c>
      <c r="AS393">
        <v>0</v>
      </c>
      <c r="AT393">
        <v>1</v>
      </c>
      <c r="AU393" s="21">
        <f t="shared" si="173"/>
        <v>1</v>
      </c>
    </row>
    <row r="394" spans="1:47" ht="15" customHeight="1" x14ac:dyDescent="0.2">
      <c r="A394" s="12">
        <v>10</v>
      </c>
      <c r="B394" s="12" t="s">
        <v>417</v>
      </c>
      <c r="C394" s="12" t="s">
        <v>26</v>
      </c>
      <c r="D394" s="12">
        <v>29.82</v>
      </c>
      <c r="E394" s="12">
        <v>1998</v>
      </c>
      <c r="F394" s="15"/>
      <c r="G394" s="15"/>
      <c r="H394" s="15"/>
      <c r="I394" s="15"/>
      <c r="J394" s="15"/>
      <c r="K394" s="15"/>
      <c r="L394" s="21">
        <v>1</v>
      </c>
      <c r="M394" s="21">
        <v>0</v>
      </c>
      <c r="N394" s="21">
        <v>0</v>
      </c>
      <c r="O394" s="21">
        <v>0</v>
      </c>
      <c r="P394" s="21">
        <v>0</v>
      </c>
      <c r="Q394" s="21">
        <f t="shared" si="174"/>
        <v>0</v>
      </c>
      <c r="R394" s="21">
        <v>1</v>
      </c>
      <c r="S394" s="21">
        <v>0</v>
      </c>
      <c r="T394" s="21">
        <v>0</v>
      </c>
      <c r="U394" s="21">
        <v>0</v>
      </c>
      <c r="V394" s="21">
        <v>0</v>
      </c>
      <c r="W394" s="21">
        <f t="shared" si="175"/>
        <v>0</v>
      </c>
      <c r="X394" s="21">
        <v>1</v>
      </c>
      <c r="Y394" s="21">
        <v>0</v>
      </c>
      <c r="Z394" s="21">
        <v>0</v>
      </c>
      <c r="AA394" s="21">
        <v>0</v>
      </c>
      <c r="AB394" s="21">
        <v>0</v>
      </c>
      <c r="AC394" s="21">
        <f t="shared" si="176"/>
        <v>0</v>
      </c>
      <c r="AD394" s="21"/>
      <c r="AE394" s="21">
        <v>0</v>
      </c>
      <c r="AF394" s="21">
        <v>0</v>
      </c>
      <c r="AG394" s="21">
        <v>0</v>
      </c>
      <c r="AH394" s="21">
        <v>1</v>
      </c>
      <c r="AI394" s="21">
        <f t="shared" si="177"/>
        <v>1</v>
      </c>
      <c r="AK394" s="128">
        <v>0</v>
      </c>
      <c r="AL394">
        <v>0</v>
      </c>
      <c r="AM394">
        <v>0</v>
      </c>
      <c r="AN394">
        <v>1</v>
      </c>
      <c r="AO394" s="21">
        <f t="shared" si="178"/>
        <v>1</v>
      </c>
      <c r="AQ394">
        <v>0</v>
      </c>
      <c r="AR394">
        <v>0</v>
      </c>
      <c r="AS394">
        <v>0</v>
      </c>
      <c r="AT394">
        <v>1</v>
      </c>
      <c r="AU394" s="21">
        <f t="shared" ref="AU394:AU430" si="181">SUM(AQ394:AT394)</f>
        <v>1</v>
      </c>
    </row>
    <row r="395" spans="1:47" ht="15" customHeight="1" x14ac:dyDescent="0.2">
      <c r="A395" s="12">
        <v>10</v>
      </c>
      <c r="B395" s="12" t="s">
        <v>424</v>
      </c>
      <c r="C395" s="12" t="s">
        <v>26</v>
      </c>
      <c r="D395" s="12">
        <v>29.64</v>
      </c>
      <c r="E395" s="12">
        <v>1998</v>
      </c>
      <c r="F395" s="15"/>
      <c r="G395" s="15"/>
      <c r="H395" s="15"/>
      <c r="I395" s="15"/>
      <c r="J395" s="15"/>
      <c r="K395" s="15"/>
      <c r="L395" s="21">
        <v>1</v>
      </c>
      <c r="M395" s="21">
        <v>0</v>
      </c>
      <c r="N395" s="21">
        <v>0</v>
      </c>
      <c r="O395" s="21">
        <v>0</v>
      </c>
      <c r="P395" s="21">
        <v>0</v>
      </c>
      <c r="Q395" s="21">
        <f t="shared" ref="Q395:Q430" si="182">SUM(M395:P395)</f>
        <v>0</v>
      </c>
      <c r="R395" s="21">
        <v>1</v>
      </c>
      <c r="S395" s="21">
        <v>0</v>
      </c>
      <c r="T395" s="21">
        <v>0</v>
      </c>
      <c r="U395" s="21">
        <v>0</v>
      </c>
      <c r="V395" s="21">
        <v>0</v>
      </c>
      <c r="W395" s="21">
        <f t="shared" ref="W395:W430" si="183">SUM(S395:V395)</f>
        <v>0</v>
      </c>
      <c r="X395" s="21">
        <v>1</v>
      </c>
      <c r="Y395" s="21">
        <v>0</v>
      </c>
      <c r="Z395" s="21">
        <v>0</v>
      </c>
      <c r="AA395" s="21">
        <v>0</v>
      </c>
      <c r="AB395" s="21">
        <v>0</v>
      </c>
      <c r="AC395" s="21">
        <f t="shared" ref="AC395:AC430" si="184">SUM(Y395:AB395)</f>
        <v>0</v>
      </c>
      <c r="AD395" s="21"/>
      <c r="AE395" s="21">
        <v>0</v>
      </c>
      <c r="AF395" s="21">
        <v>0</v>
      </c>
      <c r="AG395" s="21">
        <v>0</v>
      </c>
      <c r="AH395" s="21">
        <v>1</v>
      </c>
      <c r="AI395" s="21">
        <f t="shared" ref="AI395:AI430" si="185">SUM(AE395:AH395)</f>
        <v>1</v>
      </c>
      <c r="AK395" s="128">
        <v>0</v>
      </c>
      <c r="AL395">
        <v>0</v>
      </c>
      <c r="AM395">
        <v>0</v>
      </c>
      <c r="AN395">
        <v>1</v>
      </c>
      <c r="AO395" s="21">
        <f t="shared" ref="AO395:AO433" si="186">SUM(AK395:AN395)</f>
        <v>1</v>
      </c>
      <c r="AQ395">
        <v>0</v>
      </c>
      <c r="AR395">
        <v>0</v>
      </c>
      <c r="AS395">
        <v>0</v>
      </c>
      <c r="AT395">
        <v>1</v>
      </c>
      <c r="AU395" s="21">
        <f t="shared" si="181"/>
        <v>1</v>
      </c>
    </row>
    <row r="396" spans="1:47" x14ac:dyDescent="0.2">
      <c r="A396" s="12">
        <v>10</v>
      </c>
      <c r="B396" s="12" t="s">
        <v>526</v>
      </c>
      <c r="C396" s="12" t="s">
        <v>26</v>
      </c>
      <c r="D396" s="12">
        <v>29.53</v>
      </c>
      <c r="E396" s="12">
        <v>1998</v>
      </c>
      <c r="F396" s="15"/>
      <c r="G396" s="15"/>
      <c r="H396" s="15"/>
      <c r="I396" s="15"/>
      <c r="J396" s="15"/>
      <c r="K396" s="15"/>
      <c r="L396" s="21"/>
      <c r="M396" s="21">
        <v>1</v>
      </c>
      <c r="N396" s="21">
        <v>0</v>
      </c>
      <c r="O396" s="21">
        <v>1</v>
      </c>
      <c r="P396" s="21">
        <v>1</v>
      </c>
      <c r="Q396" s="21">
        <f t="shared" si="182"/>
        <v>3</v>
      </c>
      <c r="R396" s="21">
        <v>1</v>
      </c>
      <c r="S396" s="21">
        <v>0</v>
      </c>
      <c r="T396" s="21">
        <v>0</v>
      </c>
      <c r="U396" s="21">
        <v>0</v>
      </c>
      <c r="V396" s="21">
        <v>0</v>
      </c>
      <c r="W396" s="21">
        <f t="shared" si="183"/>
        <v>0</v>
      </c>
      <c r="X396" s="21"/>
      <c r="Y396" s="21">
        <v>1</v>
      </c>
      <c r="Z396" s="21">
        <v>5</v>
      </c>
      <c r="AA396" s="21">
        <v>0</v>
      </c>
      <c r="AB396" s="21">
        <v>1</v>
      </c>
      <c r="AC396" s="21">
        <f t="shared" si="184"/>
        <v>7</v>
      </c>
      <c r="AD396" s="21"/>
      <c r="AE396" s="21">
        <v>1</v>
      </c>
      <c r="AF396" s="21">
        <v>4</v>
      </c>
      <c r="AG396" s="21">
        <v>0</v>
      </c>
      <c r="AH396" s="21">
        <v>0</v>
      </c>
      <c r="AI396" s="21">
        <f t="shared" si="185"/>
        <v>5</v>
      </c>
      <c r="AK396" s="128">
        <v>2</v>
      </c>
      <c r="AL396">
        <v>0</v>
      </c>
      <c r="AM396">
        <v>1</v>
      </c>
      <c r="AN396">
        <v>0</v>
      </c>
      <c r="AO396" s="21">
        <f t="shared" si="186"/>
        <v>3</v>
      </c>
      <c r="AQ396">
        <v>1</v>
      </c>
      <c r="AR396">
        <v>0</v>
      </c>
      <c r="AS396">
        <v>3</v>
      </c>
      <c r="AT396">
        <v>0</v>
      </c>
      <c r="AU396" s="21">
        <f t="shared" si="181"/>
        <v>4</v>
      </c>
    </row>
    <row r="397" spans="1:47" ht="15" customHeight="1" x14ac:dyDescent="0.2">
      <c r="A397" s="12">
        <v>10</v>
      </c>
      <c r="B397" s="12" t="s">
        <v>527</v>
      </c>
      <c r="C397" s="12" t="s">
        <v>26</v>
      </c>
      <c r="D397" s="12">
        <v>30.31</v>
      </c>
      <c r="E397" s="12">
        <v>1998</v>
      </c>
      <c r="F397" s="15"/>
      <c r="G397" s="15"/>
      <c r="H397" s="15"/>
      <c r="I397" s="15"/>
      <c r="J397" s="15"/>
      <c r="K397" s="15"/>
      <c r="L397" s="21">
        <v>1</v>
      </c>
      <c r="M397" s="21">
        <v>0</v>
      </c>
      <c r="N397" s="21">
        <v>0</v>
      </c>
      <c r="O397" s="21">
        <v>0</v>
      </c>
      <c r="P397" s="21">
        <v>0</v>
      </c>
      <c r="Q397" s="21">
        <f t="shared" si="182"/>
        <v>0</v>
      </c>
      <c r="R397" s="21">
        <v>1</v>
      </c>
      <c r="S397" s="21">
        <v>0</v>
      </c>
      <c r="T397" s="21">
        <v>0</v>
      </c>
      <c r="U397" s="21">
        <v>0</v>
      </c>
      <c r="V397" s="21">
        <v>0</v>
      </c>
      <c r="W397" s="21">
        <f t="shared" si="183"/>
        <v>0</v>
      </c>
      <c r="X397" s="21">
        <v>1</v>
      </c>
      <c r="Y397" s="21">
        <v>0</v>
      </c>
      <c r="Z397" s="21">
        <v>0</v>
      </c>
      <c r="AA397" s="21">
        <v>0</v>
      </c>
      <c r="AB397" s="21">
        <v>0</v>
      </c>
      <c r="AC397" s="21">
        <f t="shared" si="184"/>
        <v>0</v>
      </c>
      <c r="AD397" s="21">
        <v>1</v>
      </c>
      <c r="AE397" s="21">
        <v>0</v>
      </c>
      <c r="AF397" s="21">
        <v>0</v>
      </c>
      <c r="AG397" s="21">
        <v>0</v>
      </c>
      <c r="AH397" s="21">
        <v>0</v>
      </c>
      <c r="AI397" s="21">
        <f t="shared" si="185"/>
        <v>0</v>
      </c>
      <c r="AK397" s="128">
        <v>0</v>
      </c>
      <c r="AL397">
        <v>0</v>
      </c>
      <c r="AM397">
        <v>0</v>
      </c>
      <c r="AN397">
        <v>1</v>
      </c>
      <c r="AO397" s="21">
        <f t="shared" si="186"/>
        <v>1</v>
      </c>
      <c r="AQ397">
        <v>0</v>
      </c>
      <c r="AR397">
        <v>0</v>
      </c>
      <c r="AS397">
        <v>0</v>
      </c>
      <c r="AT397">
        <v>1</v>
      </c>
      <c r="AU397" s="21">
        <f t="shared" si="181"/>
        <v>1</v>
      </c>
    </row>
    <row r="398" spans="1:47" x14ac:dyDescent="0.2">
      <c r="A398" s="12">
        <v>10</v>
      </c>
      <c r="B398" s="12" t="s">
        <v>528</v>
      </c>
      <c r="C398" s="12" t="s">
        <v>26</v>
      </c>
      <c r="D398" s="12">
        <v>29.13</v>
      </c>
      <c r="E398" s="12">
        <v>1998</v>
      </c>
      <c r="F398" s="15"/>
      <c r="G398" s="15"/>
      <c r="H398" s="15"/>
      <c r="I398" s="15"/>
      <c r="J398" s="15"/>
      <c r="K398" s="15"/>
      <c r="L398" s="21"/>
      <c r="M398" s="21">
        <v>1</v>
      </c>
      <c r="N398" s="21">
        <v>0</v>
      </c>
      <c r="O398" s="21">
        <v>2</v>
      </c>
      <c r="P398" s="21">
        <v>1</v>
      </c>
      <c r="Q398" s="21">
        <f t="shared" si="182"/>
        <v>4</v>
      </c>
      <c r="R398" s="21"/>
      <c r="S398" s="21">
        <v>0</v>
      </c>
      <c r="T398" s="21">
        <v>0</v>
      </c>
      <c r="U398" s="21">
        <v>7</v>
      </c>
      <c r="V398" s="21">
        <v>1</v>
      </c>
      <c r="W398" s="21">
        <f t="shared" si="183"/>
        <v>8</v>
      </c>
      <c r="X398" s="21"/>
      <c r="Y398" s="21">
        <v>1</v>
      </c>
      <c r="Z398" s="21">
        <v>0</v>
      </c>
      <c r="AA398" s="21">
        <v>7</v>
      </c>
      <c r="AB398" s="21">
        <v>1</v>
      </c>
      <c r="AC398" s="21">
        <f t="shared" si="184"/>
        <v>9</v>
      </c>
      <c r="AD398" s="21">
        <v>1</v>
      </c>
      <c r="AE398" s="21">
        <v>0</v>
      </c>
      <c r="AF398" s="21">
        <v>0</v>
      </c>
      <c r="AG398" s="21">
        <v>0</v>
      </c>
      <c r="AH398" s="21">
        <v>0</v>
      </c>
      <c r="AI398" s="21">
        <f t="shared" si="185"/>
        <v>0</v>
      </c>
      <c r="AK398" s="128">
        <v>0</v>
      </c>
      <c r="AL398">
        <v>0</v>
      </c>
      <c r="AM398">
        <v>0</v>
      </c>
      <c r="AN398">
        <v>1</v>
      </c>
      <c r="AO398" s="21">
        <f t="shared" si="186"/>
        <v>1</v>
      </c>
      <c r="AQ398">
        <v>5</v>
      </c>
      <c r="AR398">
        <v>4</v>
      </c>
      <c r="AS398">
        <v>0</v>
      </c>
      <c r="AT398">
        <v>0</v>
      </c>
      <c r="AU398" s="21">
        <f t="shared" si="181"/>
        <v>9</v>
      </c>
    </row>
    <row r="399" spans="1:47" ht="15" customHeight="1" x14ac:dyDescent="0.2">
      <c r="A399" s="12">
        <v>10</v>
      </c>
      <c r="B399" s="12" t="s">
        <v>529</v>
      </c>
      <c r="C399" s="12" t="s">
        <v>26</v>
      </c>
      <c r="D399" s="12">
        <v>30.7</v>
      </c>
      <c r="E399" s="12">
        <v>1998</v>
      </c>
      <c r="F399" s="15"/>
      <c r="G399" s="15"/>
      <c r="H399" s="15"/>
      <c r="I399" s="15"/>
      <c r="J399" s="15"/>
      <c r="K399" s="15"/>
      <c r="L399" s="21">
        <v>1</v>
      </c>
      <c r="M399" s="21">
        <v>0</v>
      </c>
      <c r="N399" s="21">
        <v>0</v>
      </c>
      <c r="O399" s="21">
        <v>0</v>
      </c>
      <c r="P399" s="21">
        <v>0</v>
      </c>
      <c r="Q399" s="21">
        <f t="shared" si="182"/>
        <v>0</v>
      </c>
      <c r="R399" s="21"/>
      <c r="S399" s="21">
        <v>1</v>
      </c>
      <c r="T399" s="21">
        <v>0</v>
      </c>
      <c r="U399" s="21">
        <v>8</v>
      </c>
      <c r="V399" s="21">
        <v>1</v>
      </c>
      <c r="W399" s="21">
        <f t="shared" si="183"/>
        <v>10</v>
      </c>
      <c r="X399" s="21"/>
      <c r="Y399" s="21">
        <v>1</v>
      </c>
      <c r="Z399" s="21">
        <v>0</v>
      </c>
      <c r="AA399" s="21">
        <v>8</v>
      </c>
      <c r="AB399" s="21">
        <v>1</v>
      </c>
      <c r="AC399" s="21">
        <f t="shared" si="184"/>
        <v>10</v>
      </c>
      <c r="AD399" s="21"/>
      <c r="AE399" s="21">
        <v>1</v>
      </c>
      <c r="AF399" s="21">
        <v>4</v>
      </c>
      <c r="AG399" s="21">
        <v>0</v>
      </c>
      <c r="AH399" s="21">
        <v>0</v>
      </c>
      <c r="AI399" s="21">
        <f t="shared" si="185"/>
        <v>5</v>
      </c>
      <c r="AK399" s="128">
        <v>3</v>
      </c>
      <c r="AL399">
        <v>0</v>
      </c>
      <c r="AM399">
        <v>0</v>
      </c>
      <c r="AN399">
        <v>0</v>
      </c>
      <c r="AO399" s="21">
        <f t="shared" si="186"/>
        <v>3</v>
      </c>
      <c r="AQ399">
        <v>1</v>
      </c>
      <c r="AR399">
        <v>2</v>
      </c>
      <c r="AS399">
        <v>0</v>
      </c>
      <c r="AT399">
        <v>0</v>
      </c>
      <c r="AU399" s="21">
        <f t="shared" si="181"/>
        <v>3</v>
      </c>
    </row>
    <row r="400" spans="1:47" x14ac:dyDescent="0.2">
      <c r="A400" s="12">
        <v>10</v>
      </c>
      <c r="B400" s="12" t="s">
        <v>530</v>
      </c>
      <c r="C400" s="12" t="s">
        <v>26</v>
      </c>
      <c r="D400" s="12">
        <v>30.03</v>
      </c>
      <c r="E400" s="12">
        <v>1998</v>
      </c>
      <c r="F400" s="15"/>
      <c r="G400" s="15"/>
      <c r="H400" s="15"/>
      <c r="I400" s="15"/>
      <c r="J400" s="15"/>
      <c r="K400" s="15"/>
      <c r="L400" s="21"/>
      <c r="M400" s="21">
        <v>1</v>
      </c>
      <c r="N400" s="21">
        <v>0</v>
      </c>
      <c r="O400" s="21">
        <v>1</v>
      </c>
      <c r="P400" s="21">
        <v>1</v>
      </c>
      <c r="Q400" s="21">
        <f t="shared" si="182"/>
        <v>3</v>
      </c>
      <c r="R400" s="21">
        <v>1</v>
      </c>
      <c r="S400" s="21">
        <v>0</v>
      </c>
      <c r="T400" s="21">
        <v>0</v>
      </c>
      <c r="U400" s="21">
        <v>0</v>
      </c>
      <c r="V400" s="21">
        <v>0</v>
      </c>
      <c r="W400" s="21">
        <f t="shared" si="183"/>
        <v>0</v>
      </c>
      <c r="X400" s="21">
        <v>1</v>
      </c>
      <c r="Y400" s="21">
        <v>0</v>
      </c>
      <c r="Z400" s="21">
        <v>0</v>
      </c>
      <c r="AA400" s="21">
        <v>0</v>
      </c>
      <c r="AB400" s="21">
        <v>0</v>
      </c>
      <c r="AC400" s="21">
        <f t="shared" si="184"/>
        <v>0</v>
      </c>
      <c r="AD400" s="21"/>
      <c r="AE400" s="21">
        <v>0</v>
      </c>
      <c r="AF400" s="21">
        <v>0</v>
      </c>
      <c r="AG400" s="21">
        <v>0</v>
      </c>
      <c r="AH400" s="21">
        <v>1</v>
      </c>
      <c r="AI400" s="21">
        <f t="shared" si="185"/>
        <v>1</v>
      </c>
      <c r="AK400" s="128">
        <v>0</v>
      </c>
      <c r="AL400">
        <v>0</v>
      </c>
      <c r="AM400">
        <v>0</v>
      </c>
      <c r="AN400">
        <v>1</v>
      </c>
      <c r="AO400" s="21">
        <f t="shared" si="186"/>
        <v>1</v>
      </c>
      <c r="AQ400">
        <v>0</v>
      </c>
      <c r="AR400">
        <v>0</v>
      </c>
      <c r="AS400">
        <v>0</v>
      </c>
      <c r="AT400">
        <v>1</v>
      </c>
      <c r="AU400" s="21">
        <f t="shared" si="181"/>
        <v>1</v>
      </c>
    </row>
    <row r="401" spans="1:47" ht="15" customHeight="1" x14ac:dyDescent="0.2">
      <c r="A401" s="12">
        <v>10</v>
      </c>
      <c r="B401" s="12" t="s">
        <v>531</v>
      </c>
      <c r="C401" s="12" t="s">
        <v>26</v>
      </c>
      <c r="D401" s="12">
        <v>29.3</v>
      </c>
      <c r="E401" s="12">
        <v>2003</v>
      </c>
      <c r="F401" s="15"/>
      <c r="G401" s="15"/>
      <c r="H401" s="15"/>
      <c r="I401" s="15"/>
      <c r="J401" s="15"/>
      <c r="K401" s="15"/>
      <c r="L401" s="21">
        <v>1</v>
      </c>
      <c r="M401" s="21">
        <v>0</v>
      </c>
      <c r="N401" s="21">
        <v>0</v>
      </c>
      <c r="O401" s="21">
        <v>0</v>
      </c>
      <c r="P401" s="21">
        <v>0</v>
      </c>
      <c r="Q401" s="21">
        <f t="shared" si="182"/>
        <v>0</v>
      </c>
      <c r="R401" s="21">
        <v>1</v>
      </c>
      <c r="S401" s="21">
        <v>0</v>
      </c>
      <c r="T401" s="21">
        <v>0</v>
      </c>
      <c r="U401" s="21">
        <v>0</v>
      </c>
      <c r="V401" s="21">
        <v>0</v>
      </c>
      <c r="W401" s="21">
        <f t="shared" si="183"/>
        <v>0</v>
      </c>
      <c r="X401" s="21">
        <v>1</v>
      </c>
      <c r="Y401" s="21">
        <v>0</v>
      </c>
      <c r="Z401" s="21">
        <v>0</v>
      </c>
      <c r="AA401" s="21">
        <v>0</v>
      </c>
      <c r="AB401" s="21">
        <v>0</v>
      </c>
      <c r="AC401" s="21">
        <f t="shared" si="184"/>
        <v>0</v>
      </c>
      <c r="AD401" s="21"/>
      <c r="AE401" s="21">
        <v>0</v>
      </c>
      <c r="AF401" s="21">
        <v>0</v>
      </c>
      <c r="AG401" s="21">
        <v>0</v>
      </c>
      <c r="AH401" s="21">
        <v>1</v>
      </c>
      <c r="AI401" s="21">
        <f t="shared" si="185"/>
        <v>1</v>
      </c>
      <c r="AK401" s="128">
        <v>0</v>
      </c>
      <c r="AL401">
        <v>0</v>
      </c>
      <c r="AM401">
        <v>0</v>
      </c>
      <c r="AN401">
        <v>1</v>
      </c>
      <c r="AO401" s="21">
        <f t="shared" si="186"/>
        <v>1</v>
      </c>
      <c r="AP401">
        <v>1</v>
      </c>
      <c r="AQ401">
        <v>0</v>
      </c>
      <c r="AR401">
        <v>0</v>
      </c>
      <c r="AS401">
        <v>0</v>
      </c>
      <c r="AT401">
        <v>0</v>
      </c>
      <c r="AU401" s="21">
        <f t="shared" si="181"/>
        <v>0</v>
      </c>
    </row>
    <row r="402" spans="1:47" ht="15" customHeight="1" x14ac:dyDescent="0.2">
      <c r="A402" s="12">
        <v>10</v>
      </c>
      <c r="B402" s="12" t="s">
        <v>532</v>
      </c>
      <c r="C402" s="12" t="s">
        <v>26</v>
      </c>
      <c r="D402" s="12">
        <v>29.7</v>
      </c>
      <c r="E402" s="12">
        <v>2004</v>
      </c>
      <c r="F402" s="15"/>
      <c r="G402" s="15"/>
      <c r="H402" s="15"/>
      <c r="I402" s="15"/>
      <c r="J402" s="15"/>
      <c r="K402" s="15"/>
      <c r="L402" s="21">
        <v>1</v>
      </c>
      <c r="M402" s="21">
        <v>0</v>
      </c>
      <c r="N402" s="21">
        <v>0</v>
      </c>
      <c r="O402" s="21">
        <v>0</v>
      </c>
      <c r="P402" s="21">
        <v>0</v>
      </c>
      <c r="Q402" s="21">
        <f t="shared" si="182"/>
        <v>0</v>
      </c>
      <c r="R402" s="21">
        <v>1</v>
      </c>
      <c r="S402" s="21">
        <v>0</v>
      </c>
      <c r="T402" s="21">
        <v>0</v>
      </c>
      <c r="U402" s="21">
        <v>0</v>
      </c>
      <c r="V402" s="21">
        <v>0</v>
      </c>
      <c r="W402" s="21">
        <f t="shared" si="183"/>
        <v>0</v>
      </c>
      <c r="X402" s="21">
        <v>1</v>
      </c>
      <c r="Y402" s="21">
        <v>0</v>
      </c>
      <c r="Z402" s="21">
        <v>0</v>
      </c>
      <c r="AA402" s="21">
        <v>0</v>
      </c>
      <c r="AB402" s="21">
        <v>0</v>
      </c>
      <c r="AC402" s="21">
        <f t="shared" si="184"/>
        <v>0</v>
      </c>
      <c r="AD402" s="21"/>
      <c r="AE402" s="21">
        <v>0</v>
      </c>
      <c r="AF402" s="21">
        <v>0</v>
      </c>
      <c r="AG402" s="21">
        <v>0</v>
      </c>
      <c r="AH402" s="21">
        <v>1</v>
      </c>
      <c r="AI402" s="21">
        <f t="shared" si="185"/>
        <v>1</v>
      </c>
      <c r="AK402" s="128">
        <v>0</v>
      </c>
      <c r="AL402">
        <v>0</v>
      </c>
      <c r="AM402">
        <v>2</v>
      </c>
      <c r="AN402">
        <v>0</v>
      </c>
      <c r="AO402" s="21">
        <f t="shared" si="186"/>
        <v>2</v>
      </c>
      <c r="AQ402">
        <v>0</v>
      </c>
      <c r="AR402">
        <v>0</v>
      </c>
      <c r="AS402">
        <v>0</v>
      </c>
      <c r="AT402">
        <v>1</v>
      </c>
      <c r="AU402" s="21">
        <f t="shared" si="181"/>
        <v>1</v>
      </c>
    </row>
    <row r="403" spans="1:47" ht="15" customHeight="1" x14ac:dyDescent="0.2">
      <c r="A403" s="12">
        <v>10</v>
      </c>
      <c r="B403" s="12" t="s">
        <v>533</v>
      </c>
      <c r="C403" s="12" t="s">
        <v>26</v>
      </c>
      <c r="D403" s="12">
        <v>29.43</v>
      </c>
      <c r="E403" s="12">
        <v>2004</v>
      </c>
      <c r="F403" s="15"/>
      <c r="G403" s="15"/>
      <c r="H403" s="15"/>
      <c r="I403" s="15"/>
      <c r="J403" s="15"/>
      <c r="K403" s="15"/>
      <c r="L403" s="21">
        <v>1</v>
      </c>
      <c r="M403" s="21">
        <v>0</v>
      </c>
      <c r="N403" s="21">
        <v>0</v>
      </c>
      <c r="O403" s="21">
        <v>0</v>
      </c>
      <c r="P403" s="21">
        <v>0</v>
      </c>
      <c r="Q403" s="21">
        <f t="shared" si="182"/>
        <v>0</v>
      </c>
      <c r="R403" s="21">
        <v>1</v>
      </c>
      <c r="S403" s="21">
        <v>0</v>
      </c>
      <c r="T403" s="21">
        <v>0</v>
      </c>
      <c r="U403" s="21">
        <v>0</v>
      </c>
      <c r="V403" s="21">
        <v>0</v>
      </c>
      <c r="W403" s="21">
        <f t="shared" si="183"/>
        <v>0</v>
      </c>
      <c r="X403" s="21">
        <v>1</v>
      </c>
      <c r="Y403" s="21">
        <v>0</v>
      </c>
      <c r="Z403" s="21">
        <v>0</v>
      </c>
      <c r="AA403" s="21">
        <v>0</v>
      </c>
      <c r="AB403" s="21">
        <v>0</v>
      </c>
      <c r="AC403" s="21">
        <f t="shared" si="184"/>
        <v>0</v>
      </c>
      <c r="AD403" s="21"/>
      <c r="AE403" s="21">
        <v>0</v>
      </c>
      <c r="AF403" s="21">
        <v>0</v>
      </c>
      <c r="AG403" s="21">
        <v>0</v>
      </c>
      <c r="AH403" s="21">
        <v>1</v>
      </c>
      <c r="AI403" s="21">
        <f t="shared" si="185"/>
        <v>1</v>
      </c>
      <c r="AK403" s="128">
        <v>0</v>
      </c>
      <c r="AL403">
        <v>0</v>
      </c>
      <c r="AM403">
        <v>0</v>
      </c>
      <c r="AN403">
        <v>1</v>
      </c>
      <c r="AO403" s="21">
        <f t="shared" si="186"/>
        <v>1</v>
      </c>
      <c r="AQ403">
        <v>0</v>
      </c>
      <c r="AR403">
        <v>0</v>
      </c>
      <c r="AS403">
        <v>0</v>
      </c>
      <c r="AT403">
        <v>1</v>
      </c>
      <c r="AU403" s="21">
        <f t="shared" si="181"/>
        <v>1</v>
      </c>
    </row>
    <row r="404" spans="1:47" ht="15" customHeight="1" x14ac:dyDescent="0.2">
      <c r="A404" s="12">
        <v>10</v>
      </c>
      <c r="B404" s="12" t="s">
        <v>534</v>
      </c>
      <c r="C404" s="12" t="s">
        <v>26</v>
      </c>
      <c r="D404" s="12">
        <v>29.88</v>
      </c>
      <c r="E404" s="12">
        <v>2004</v>
      </c>
      <c r="F404" s="15"/>
      <c r="G404" s="15"/>
      <c r="H404" s="15"/>
      <c r="I404" s="15"/>
      <c r="J404" s="15"/>
      <c r="K404" s="15"/>
      <c r="L404" s="21">
        <v>1</v>
      </c>
      <c r="M404" s="21">
        <v>0</v>
      </c>
      <c r="N404" s="21">
        <v>0</v>
      </c>
      <c r="O404" s="21">
        <v>0</v>
      </c>
      <c r="P404" s="21">
        <v>0</v>
      </c>
      <c r="Q404" s="21">
        <f t="shared" si="182"/>
        <v>0</v>
      </c>
      <c r="R404" s="21">
        <v>1</v>
      </c>
      <c r="S404" s="21">
        <v>0</v>
      </c>
      <c r="T404" s="21">
        <v>0</v>
      </c>
      <c r="U404" s="21">
        <v>0</v>
      </c>
      <c r="V404" s="21">
        <v>0</v>
      </c>
      <c r="W404" s="21">
        <f t="shared" si="183"/>
        <v>0</v>
      </c>
      <c r="X404" s="21">
        <v>1</v>
      </c>
      <c r="Y404" s="21">
        <v>0</v>
      </c>
      <c r="Z404" s="21">
        <v>0</v>
      </c>
      <c r="AA404" s="21">
        <v>0</v>
      </c>
      <c r="AB404" s="21">
        <v>0</v>
      </c>
      <c r="AC404" s="21">
        <f t="shared" si="184"/>
        <v>0</v>
      </c>
      <c r="AD404" s="21">
        <v>1</v>
      </c>
      <c r="AE404" s="21">
        <v>0</v>
      </c>
      <c r="AF404" s="21">
        <v>0</v>
      </c>
      <c r="AG404" s="21">
        <v>0</v>
      </c>
      <c r="AH404" s="21">
        <v>0</v>
      </c>
      <c r="AI404" s="21">
        <f t="shared" si="185"/>
        <v>0</v>
      </c>
      <c r="AK404" s="128">
        <v>0</v>
      </c>
      <c r="AL404">
        <v>0</v>
      </c>
      <c r="AM404">
        <v>0</v>
      </c>
      <c r="AN404">
        <v>1</v>
      </c>
      <c r="AO404" s="21">
        <f t="shared" si="186"/>
        <v>1</v>
      </c>
      <c r="AP404">
        <v>1</v>
      </c>
      <c r="AQ404">
        <v>0</v>
      </c>
      <c r="AR404">
        <v>0</v>
      </c>
      <c r="AS404">
        <v>0</v>
      </c>
      <c r="AT404">
        <v>0</v>
      </c>
      <c r="AU404" s="21">
        <f t="shared" si="181"/>
        <v>0</v>
      </c>
    </row>
    <row r="405" spans="1:47" ht="15" customHeight="1" x14ac:dyDescent="0.2">
      <c r="A405" s="12">
        <v>10</v>
      </c>
      <c r="B405" s="12" t="s">
        <v>535</v>
      </c>
      <c r="C405" s="12" t="s">
        <v>26</v>
      </c>
      <c r="D405" s="12">
        <v>29.51</v>
      </c>
      <c r="E405" s="12">
        <v>2004</v>
      </c>
      <c r="F405" s="15"/>
      <c r="G405" s="15"/>
      <c r="H405" s="15"/>
      <c r="I405" s="15"/>
      <c r="J405" s="15"/>
      <c r="K405" s="15"/>
      <c r="L405" s="21">
        <v>1</v>
      </c>
      <c r="M405" s="21">
        <v>0</v>
      </c>
      <c r="N405" s="21">
        <v>0</v>
      </c>
      <c r="O405" s="21">
        <v>0</v>
      </c>
      <c r="P405" s="21">
        <v>0</v>
      </c>
      <c r="Q405" s="21">
        <f t="shared" si="182"/>
        <v>0</v>
      </c>
      <c r="R405" s="21">
        <v>1</v>
      </c>
      <c r="S405" s="21">
        <v>0</v>
      </c>
      <c r="T405" s="21">
        <v>0</v>
      </c>
      <c r="U405" s="21">
        <v>0</v>
      </c>
      <c r="V405" s="21">
        <v>0</v>
      </c>
      <c r="W405" s="21">
        <f t="shared" si="183"/>
        <v>0</v>
      </c>
      <c r="X405" s="21">
        <v>1</v>
      </c>
      <c r="Y405" s="21">
        <v>0</v>
      </c>
      <c r="Z405" s="21">
        <v>0</v>
      </c>
      <c r="AA405" s="21">
        <v>0</v>
      </c>
      <c r="AB405" s="21">
        <v>0</v>
      </c>
      <c r="AC405" s="21">
        <f t="shared" si="184"/>
        <v>0</v>
      </c>
      <c r="AD405" s="21"/>
      <c r="AE405" s="21">
        <v>0</v>
      </c>
      <c r="AF405" s="21">
        <v>0</v>
      </c>
      <c r="AG405" s="21">
        <v>0</v>
      </c>
      <c r="AH405" s="21">
        <v>1</v>
      </c>
      <c r="AI405" s="21">
        <f t="shared" si="185"/>
        <v>1</v>
      </c>
      <c r="AK405" s="128">
        <v>0</v>
      </c>
      <c r="AL405">
        <v>0</v>
      </c>
      <c r="AM405">
        <v>0</v>
      </c>
      <c r="AN405">
        <v>1</v>
      </c>
      <c r="AO405" s="21">
        <f t="shared" si="186"/>
        <v>1</v>
      </c>
      <c r="AQ405">
        <v>0</v>
      </c>
      <c r="AR405">
        <v>0</v>
      </c>
      <c r="AS405">
        <v>0</v>
      </c>
      <c r="AT405">
        <v>1</v>
      </c>
      <c r="AU405" s="21">
        <f t="shared" si="181"/>
        <v>1</v>
      </c>
    </row>
    <row r="406" spans="1:47" ht="15" customHeight="1" x14ac:dyDescent="0.2">
      <c r="A406" s="12">
        <v>10</v>
      </c>
      <c r="B406" s="12" t="s">
        <v>536</v>
      </c>
      <c r="C406" s="12" t="s">
        <v>26</v>
      </c>
      <c r="D406" s="12">
        <v>30.47</v>
      </c>
      <c r="E406" s="12">
        <v>2004</v>
      </c>
      <c r="F406" s="15"/>
      <c r="G406" s="15"/>
      <c r="H406" s="15"/>
      <c r="I406" s="15"/>
      <c r="J406" s="15"/>
      <c r="K406" s="15"/>
      <c r="L406" s="21">
        <v>1</v>
      </c>
      <c r="M406" s="21">
        <v>0</v>
      </c>
      <c r="N406" s="21">
        <v>0</v>
      </c>
      <c r="O406" s="21">
        <v>0</v>
      </c>
      <c r="P406" s="21">
        <v>0</v>
      </c>
      <c r="Q406" s="21">
        <f t="shared" si="182"/>
        <v>0</v>
      </c>
      <c r="R406" s="21">
        <v>1</v>
      </c>
      <c r="S406" s="21">
        <v>0</v>
      </c>
      <c r="T406" s="21">
        <v>0</v>
      </c>
      <c r="U406" s="21">
        <v>0</v>
      </c>
      <c r="V406" s="21">
        <v>0</v>
      </c>
      <c r="W406" s="21">
        <f t="shared" si="183"/>
        <v>0</v>
      </c>
      <c r="X406" s="21">
        <v>1</v>
      </c>
      <c r="Y406" s="21">
        <v>0</v>
      </c>
      <c r="Z406" s="21">
        <v>0</v>
      </c>
      <c r="AA406" s="21">
        <v>0</v>
      </c>
      <c r="AB406" s="21">
        <v>0</v>
      </c>
      <c r="AC406" s="21">
        <f t="shared" si="184"/>
        <v>0</v>
      </c>
      <c r="AD406" s="21"/>
      <c r="AE406" s="21">
        <v>0</v>
      </c>
      <c r="AF406" s="21">
        <v>0</v>
      </c>
      <c r="AG406" s="21">
        <v>0</v>
      </c>
      <c r="AH406" s="21">
        <v>1</v>
      </c>
      <c r="AI406" s="21">
        <f t="shared" si="185"/>
        <v>1</v>
      </c>
      <c r="AK406" s="128">
        <v>0</v>
      </c>
      <c r="AL406">
        <v>0</v>
      </c>
      <c r="AM406">
        <v>0</v>
      </c>
      <c r="AN406">
        <v>1</v>
      </c>
      <c r="AO406" s="21">
        <f t="shared" si="186"/>
        <v>1</v>
      </c>
      <c r="AQ406">
        <v>0</v>
      </c>
      <c r="AR406">
        <v>0</v>
      </c>
      <c r="AS406">
        <v>0</v>
      </c>
      <c r="AT406">
        <v>1</v>
      </c>
      <c r="AU406" s="21">
        <f t="shared" si="181"/>
        <v>1</v>
      </c>
    </row>
    <row r="407" spans="1:47" ht="15" customHeight="1" x14ac:dyDescent="0.2">
      <c r="A407" s="12">
        <v>10</v>
      </c>
      <c r="B407" s="12" t="s">
        <v>431</v>
      </c>
      <c r="C407" s="12" t="s">
        <v>26</v>
      </c>
      <c r="D407" s="12">
        <v>29.72</v>
      </c>
      <c r="E407" s="12">
        <v>2005</v>
      </c>
      <c r="F407" s="15"/>
      <c r="G407" s="15"/>
      <c r="H407" s="15"/>
      <c r="I407" s="15"/>
      <c r="J407" s="15"/>
      <c r="K407" s="15"/>
      <c r="L407" s="21">
        <v>1</v>
      </c>
      <c r="M407" s="21">
        <v>0</v>
      </c>
      <c r="N407" s="21">
        <v>0</v>
      </c>
      <c r="O407" s="21">
        <v>0</v>
      </c>
      <c r="P407" s="21">
        <v>0</v>
      </c>
      <c r="Q407" s="21">
        <f t="shared" si="182"/>
        <v>0</v>
      </c>
      <c r="R407" s="21">
        <v>1</v>
      </c>
      <c r="S407" s="21">
        <v>0</v>
      </c>
      <c r="T407" s="21">
        <v>0</v>
      </c>
      <c r="U407" s="21">
        <v>0</v>
      </c>
      <c r="V407" s="21">
        <v>0</v>
      </c>
      <c r="W407" s="21">
        <f t="shared" si="183"/>
        <v>0</v>
      </c>
      <c r="X407" s="21">
        <v>1</v>
      </c>
      <c r="Y407" s="21">
        <v>0</v>
      </c>
      <c r="Z407" s="21">
        <v>0</v>
      </c>
      <c r="AA407" s="21">
        <v>0</v>
      </c>
      <c r="AB407" s="21">
        <v>0</v>
      </c>
      <c r="AC407" s="21">
        <f t="shared" si="184"/>
        <v>0</v>
      </c>
      <c r="AD407" s="21"/>
      <c r="AE407" s="21">
        <v>0</v>
      </c>
      <c r="AF407" s="21">
        <v>0</v>
      </c>
      <c r="AG407" s="21">
        <v>0</v>
      </c>
      <c r="AH407" s="21">
        <v>1</v>
      </c>
      <c r="AI407" s="21">
        <f t="shared" si="185"/>
        <v>1</v>
      </c>
      <c r="AK407" s="128">
        <v>0</v>
      </c>
      <c r="AL407">
        <v>0</v>
      </c>
      <c r="AM407">
        <v>0</v>
      </c>
      <c r="AN407">
        <v>1</v>
      </c>
      <c r="AO407" s="21">
        <f t="shared" si="186"/>
        <v>1</v>
      </c>
      <c r="AQ407">
        <v>0</v>
      </c>
      <c r="AR407">
        <v>0</v>
      </c>
      <c r="AS407">
        <v>0</v>
      </c>
      <c r="AT407">
        <v>1</v>
      </c>
      <c r="AU407" s="21">
        <f t="shared" si="181"/>
        <v>1</v>
      </c>
    </row>
    <row r="408" spans="1:47" ht="15" customHeight="1" x14ac:dyDescent="0.2">
      <c r="A408" s="12">
        <v>10</v>
      </c>
      <c r="B408" s="12" t="s">
        <v>438</v>
      </c>
      <c r="C408" s="12" t="s">
        <v>26</v>
      </c>
      <c r="D408" s="12">
        <v>12.88</v>
      </c>
      <c r="E408" s="12">
        <v>2005</v>
      </c>
      <c r="F408" s="15"/>
      <c r="G408" s="15"/>
      <c r="H408" s="15"/>
      <c r="I408" s="15"/>
      <c r="J408" s="15"/>
      <c r="K408" s="15"/>
      <c r="L408" s="21">
        <v>1</v>
      </c>
      <c r="M408" s="21">
        <v>0</v>
      </c>
      <c r="N408" s="21">
        <v>0</v>
      </c>
      <c r="O408" s="21">
        <v>0</v>
      </c>
      <c r="P408" s="21">
        <v>0</v>
      </c>
      <c r="Q408" s="21">
        <f t="shared" si="182"/>
        <v>0</v>
      </c>
      <c r="R408" s="21"/>
      <c r="S408" s="21">
        <v>0</v>
      </c>
      <c r="T408" s="21">
        <v>0</v>
      </c>
      <c r="U408" s="21">
        <v>0</v>
      </c>
      <c r="V408" s="21">
        <v>0</v>
      </c>
      <c r="W408" s="21">
        <f t="shared" si="183"/>
        <v>0</v>
      </c>
      <c r="X408" s="21">
        <v>1</v>
      </c>
      <c r="Y408" s="21">
        <v>0</v>
      </c>
      <c r="Z408" s="21">
        <v>0</v>
      </c>
      <c r="AA408" s="21">
        <v>0</v>
      </c>
      <c r="AB408" s="21">
        <v>0</v>
      </c>
      <c r="AC408" s="21">
        <f t="shared" si="184"/>
        <v>0</v>
      </c>
      <c r="AD408" s="21"/>
      <c r="AE408" s="21">
        <v>0</v>
      </c>
      <c r="AF408" s="21">
        <v>0</v>
      </c>
      <c r="AG408" s="21">
        <v>0</v>
      </c>
      <c r="AH408" s="21">
        <v>0</v>
      </c>
      <c r="AI408" s="21">
        <f t="shared" si="185"/>
        <v>0</v>
      </c>
      <c r="AK408" s="128">
        <v>0</v>
      </c>
      <c r="AL408">
        <v>0</v>
      </c>
      <c r="AM408">
        <v>0</v>
      </c>
      <c r="AN408">
        <v>0</v>
      </c>
      <c r="AO408" s="21">
        <f t="shared" si="186"/>
        <v>0</v>
      </c>
      <c r="AP408">
        <v>1</v>
      </c>
      <c r="AQ408">
        <v>0</v>
      </c>
      <c r="AR408">
        <v>0</v>
      </c>
      <c r="AS408">
        <v>0</v>
      </c>
      <c r="AT408">
        <v>0</v>
      </c>
      <c r="AU408" s="21">
        <f t="shared" si="181"/>
        <v>0</v>
      </c>
    </row>
    <row r="409" spans="1:47" x14ac:dyDescent="0.2">
      <c r="A409" s="12">
        <v>10</v>
      </c>
      <c r="B409" s="12" t="s">
        <v>537</v>
      </c>
      <c r="C409" s="12" t="s">
        <v>26</v>
      </c>
      <c r="D409" s="12">
        <v>20.56</v>
      </c>
      <c r="E409" s="12">
        <v>2005</v>
      </c>
      <c r="F409" s="15"/>
      <c r="G409" s="15"/>
      <c r="H409" s="15"/>
      <c r="I409" s="15"/>
      <c r="J409" s="15"/>
      <c r="K409" s="15"/>
      <c r="L409" s="21"/>
      <c r="M409" s="21">
        <v>1</v>
      </c>
      <c r="N409" s="21">
        <v>0</v>
      </c>
      <c r="O409" s="21">
        <v>7</v>
      </c>
      <c r="P409" s="21">
        <v>1</v>
      </c>
      <c r="Q409" s="21">
        <f t="shared" si="182"/>
        <v>9</v>
      </c>
      <c r="R409" s="21"/>
      <c r="S409" s="21">
        <v>1</v>
      </c>
      <c r="T409" s="21">
        <v>0</v>
      </c>
      <c r="U409" s="21">
        <v>8</v>
      </c>
      <c r="V409" s="21">
        <v>1</v>
      </c>
      <c r="W409" s="21">
        <f t="shared" si="183"/>
        <v>10</v>
      </c>
      <c r="X409" s="21">
        <v>0</v>
      </c>
      <c r="Y409" s="21">
        <v>1</v>
      </c>
      <c r="Z409" s="21">
        <v>0</v>
      </c>
      <c r="AA409" s="21">
        <v>7</v>
      </c>
      <c r="AB409" s="21">
        <v>1</v>
      </c>
      <c r="AC409" s="21">
        <f t="shared" si="184"/>
        <v>9</v>
      </c>
      <c r="AD409" s="21"/>
      <c r="AE409" s="21">
        <v>1</v>
      </c>
      <c r="AF409" s="21">
        <v>0</v>
      </c>
      <c r="AG409" s="21">
        <v>7</v>
      </c>
      <c r="AH409" s="21">
        <v>0</v>
      </c>
      <c r="AI409" s="21">
        <f t="shared" si="185"/>
        <v>8</v>
      </c>
      <c r="AK409" s="128">
        <v>1</v>
      </c>
      <c r="AL409">
        <v>0</v>
      </c>
      <c r="AM409">
        <v>0</v>
      </c>
      <c r="AN409">
        <v>0</v>
      </c>
      <c r="AO409" s="21">
        <f t="shared" si="186"/>
        <v>1</v>
      </c>
      <c r="AQ409">
        <v>1</v>
      </c>
      <c r="AR409">
        <v>1</v>
      </c>
      <c r="AS409">
        <v>0</v>
      </c>
      <c r="AT409">
        <v>0</v>
      </c>
      <c r="AU409" s="21">
        <f t="shared" si="181"/>
        <v>2</v>
      </c>
    </row>
    <row r="410" spans="1:47" ht="15" customHeight="1" x14ac:dyDescent="0.2">
      <c r="A410" s="12">
        <v>10</v>
      </c>
      <c r="B410" s="12" t="s">
        <v>538</v>
      </c>
      <c r="C410" s="12" t="s">
        <v>26</v>
      </c>
      <c r="D410" s="12">
        <v>30.48</v>
      </c>
      <c r="E410" s="12">
        <v>2005</v>
      </c>
      <c r="F410" s="15"/>
      <c r="G410" s="15"/>
      <c r="H410" s="15"/>
      <c r="I410" s="15"/>
      <c r="J410" s="15"/>
      <c r="K410" s="15"/>
      <c r="L410" s="21">
        <v>1</v>
      </c>
      <c r="M410" s="21">
        <v>0</v>
      </c>
      <c r="N410" s="21">
        <v>0</v>
      </c>
      <c r="O410" s="21">
        <v>0</v>
      </c>
      <c r="P410" s="21">
        <v>0</v>
      </c>
      <c r="Q410" s="21">
        <f t="shared" si="182"/>
        <v>0</v>
      </c>
      <c r="R410" s="21">
        <v>1</v>
      </c>
      <c r="S410" s="21">
        <v>0</v>
      </c>
      <c r="T410" s="21">
        <v>0</v>
      </c>
      <c r="U410" s="21">
        <v>0</v>
      </c>
      <c r="V410" s="21">
        <v>0</v>
      </c>
      <c r="W410" s="21">
        <f t="shared" si="183"/>
        <v>0</v>
      </c>
      <c r="X410" s="21">
        <v>1</v>
      </c>
      <c r="Y410" s="21">
        <v>0</v>
      </c>
      <c r="Z410" s="21">
        <v>0</v>
      </c>
      <c r="AA410" s="21">
        <v>0</v>
      </c>
      <c r="AB410" s="21">
        <v>0</v>
      </c>
      <c r="AC410" s="21">
        <f t="shared" si="184"/>
        <v>0</v>
      </c>
      <c r="AD410" s="21">
        <v>1</v>
      </c>
      <c r="AE410" s="21">
        <v>0</v>
      </c>
      <c r="AF410" s="21">
        <v>0</v>
      </c>
      <c r="AG410" s="21">
        <v>0</v>
      </c>
      <c r="AH410" s="21">
        <v>0</v>
      </c>
      <c r="AI410" s="21">
        <f t="shared" si="185"/>
        <v>0</v>
      </c>
      <c r="AK410" s="128">
        <v>0</v>
      </c>
      <c r="AL410">
        <v>0</v>
      </c>
      <c r="AM410">
        <v>0</v>
      </c>
      <c r="AN410">
        <v>1</v>
      </c>
      <c r="AO410" s="21">
        <f t="shared" si="186"/>
        <v>1</v>
      </c>
      <c r="AQ410">
        <v>0</v>
      </c>
      <c r="AR410">
        <v>0</v>
      </c>
      <c r="AS410">
        <v>0</v>
      </c>
      <c r="AT410">
        <v>1</v>
      </c>
      <c r="AU410" s="21">
        <f t="shared" si="181"/>
        <v>1</v>
      </c>
    </row>
    <row r="411" spans="1:47" ht="15" customHeight="1" x14ac:dyDescent="0.2">
      <c r="A411" s="12">
        <v>10</v>
      </c>
      <c r="B411" s="12" t="s">
        <v>539</v>
      </c>
      <c r="C411" s="12" t="s">
        <v>26</v>
      </c>
      <c r="D411" s="12">
        <v>20.010000000000002</v>
      </c>
      <c r="E411" s="12">
        <v>2005</v>
      </c>
      <c r="F411" s="15"/>
      <c r="G411" s="15"/>
      <c r="H411" s="15"/>
      <c r="I411" s="15"/>
      <c r="J411" s="15"/>
      <c r="K411" s="15"/>
      <c r="L411" s="21">
        <v>1</v>
      </c>
      <c r="M411" s="21">
        <v>0</v>
      </c>
      <c r="N411" s="21">
        <v>0</v>
      </c>
      <c r="O411" s="21">
        <v>0</v>
      </c>
      <c r="P411" s="21">
        <v>0</v>
      </c>
      <c r="Q411" s="21">
        <f t="shared" si="182"/>
        <v>0</v>
      </c>
      <c r="R411" s="21"/>
      <c r="S411" s="21">
        <v>1</v>
      </c>
      <c r="T411" s="21">
        <v>0</v>
      </c>
      <c r="U411" s="21">
        <v>3</v>
      </c>
      <c r="V411" s="21">
        <v>1</v>
      </c>
      <c r="W411" s="21">
        <f t="shared" si="183"/>
        <v>5</v>
      </c>
      <c r="X411" s="21"/>
      <c r="Y411" s="21">
        <v>1</v>
      </c>
      <c r="Z411" s="21">
        <v>0</v>
      </c>
      <c r="AA411" s="21">
        <v>1</v>
      </c>
      <c r="AB411" s="21">
        <v>1</v>
      </c>
      <c r="AC411" s="21">
        <f t="shared" si="184"/>
        <v>3</v>
      </c>
      <c r="AD411" s="21">
        <v>1</v>
      </c>
      <c r="AE411" s="21">
        <v>0</v>
      </c>
      <c r="AF411" s="21">
        <v>0</v>
      </c>
      <c r="AG411" s="21">
        <v>0</v>
      </c>
      <c r="AH411" s="21">
        <v>0</v>
      </c>
      <c r="AI411" s="21">
        <f t="shared" si="185"/>
        <v>0</v>
      </c>
      <c r="AK411" s="128">
        <v>0</v>
      </c>
      <c r="AL411">
        <v>0</v>
      </c>
      <c r="AM411">
        <v>0</v>
      </c>
      <c r="AN411">
        <v>1</v>
      </c>
      <c r="AO411" s="21">
        <f t="shared" si="186"/>
        <v>1</v>
      </c>
      <c r="AQ411">
        <v>0</v>
      </c>
      <c r="AR411">
        <v>0</v>
      </c>
      <c r="AS411">
        <v>3</v>
      </c>
      <c r="AT411">
        <v>0</v>
      </c>
      <c r="AU411" s="21">
        <f t="shared" si="181"/>
        <v>3</v>
      </c>
    </row>
    <row r="412" spans="1:47" ht="15" customHeight="1" x14ac:dyDescent="0.2">
      <c r="A412" s="12">
        <v>10</v>
      </c>
      <c r="B412" s="12" t="s">
        <v>540</v>
      </c>
      <c r="C412" s="12" t="s">
        <v>26</v>
      </c>
      <c r="D412" s="12">
        <v>28.2</v>
      </c>
      <c r="E412" s="12">
        <v>2005</v>
      </c>
      <c r="F412" s="15"/>
      <c r="G412" s="15"/>
      <c r="H412" s="15"/>
      <c r="I412" s="15"/>
      <c r="J412" s="15"/>
      <c r="K412" s="15"/>
      <c r="L412" s="21">
        <v>1</v>
      </c>
      <c r="M412" s="21">
        <v>0</v>
      </c>
      <c r="N412" s="21">
        <v>0</v>
      </c>
      <c r="O412" s="21">
        <v>0</v>
      </c>
      <c r="P412" s="21">
        <v>0</v>
      </c>
      <c r="Q412" s="21">
        <f t="shared" si="182"/>
        <v>0</v>
      </c>
      <c r="R412" s="21">
        <v>1</v>
      </c>
      <c r="S412" s="21">
        <v>0</v>
      </c>
      <c r="T412" s="21">
        <v>0</v>
      </c>
      <c r="U412" s="21">
        <v>0</v>
      </c>
      <c r="V412" s="21">
        <v>0</v>
      </c>
      <c r="W412" s="21">
        <f t="shared" si="183"/>
        <v>0</v>
      </c>
      <c r="X412" s="21">
        <v>1</v>
      </c>
      <c r="Y412" s="21">
        <v>0</v>
      </c>
      <c r="Z412" s="21">
        <v>0</v>
      </c>
      <c r="AA412" s="21">
        <v>0</v>
      </c>
      <c r="AB412" s="21">
        <v>0</v>
      </c>
      <c r="AC412" s="21">
        <f t="shared" si="184"/>
        <v>0</v>
      </c>
      <c r="AD412" s="21">
        <v>1</v>
      </c>
      <c r="AE412" s="21">
        <v>0</v>
      </c>
      <c r="AF412" s="21">
        <v>0</v>
      </c>
      <c r="AG412" s="21">
        <v>0</v>
      </c>
      <c r="AH412" s="21">
        <v>0</v>
      </c>
      <c r="AI412" s="21">
        <f t="shared" si="185"/>
        <v>0</v>
      </c>
      <c r="AK412" s="128">
        <v>0</v>
      </c>
      <c r="AL412">
        <v>0</v>
      </c>
      <c r="AM412">
        <v>0</v>
      </c>
      <c r="AN412">
        <v>1</v>
      </c>
      <c r="AO412" s="21">
        <f t="shared" si="186"/>
        <v>1</v>
      </c>
      <c r="AQ412">
        <v>0</v>
      </c>
      <c r="AR412">
        <v>0</v>
      </c>
      <c r="AS412">
        <v>0</v>
      </c>
      <c r="AT412">
        <v>1</v>
      </c>
      <c r="AU412" s="21">
        <f t="shared" si="181"/>
        <v>1</v>
      </c>
    </row>
    <row r="413" spans="1:47" ht="15" customHeight="1" x14ac:dyDescent="0.2">
      <c r="A413" s="12">
        <v>10</v>
      </c>
      <c r="B413" s="12" t="s">
        <v>541</v>
      </c>
      <c r="C413" s="12" t="s">
        <v>26</v>
      </c>
      <c r="D413" s="12">
        <v>30.71</v>
      </c>
      <c r="E413" s="12">
        <v>2005</v>
      </c>
      <c r="F413" s="15"/>
      <c r="G413" s="15"/>
      <c r="H413" s="15"/>
      <c r="I413" s="15"/>
      <c r="J413" s="15"/>
      <c r="K413" s="15"/>
      <c r="L413" s="21">
        <v>1</v>
      </c>
      <c r="M413" s="21">
        <v>0</v>
      </c>
      <c r="N413" s="21">
        <v>0</v>
      </c>
      <c r="O413" s="21">
        <v>0</v>
      </c>
      <c r="P413" s="21">
        <v>0</v>
      </c>
      <c r="Q413" s="21">
        <f t="shared" si="182"/>
        <v>0</v>
      </c>
      <c r="R413" s="21">
        <v>0</v>
      </c>
      <c r="S413" s="21">
        <v>0</v>
      </c>
      <c r="T413" s="21">
        <v>0</v>
      </c>
      <c r="U413" s="21">
        <v>0</v>
      </c>
      <c r="V413" s="21">
        <v>1</v>
      </c>
      <c r="W413" s="21">
        <f t="shared" si="183"/>
        <v>1</v>
      </c>
      <c r="X413" s="21">
        <v>1</v>
      </c>
      <c r="Y413" s="21">
        <v>0</v>
      </c>
      <c r="Z413" s="21">
        <v>0</v>
      </c>
      <c r="AA413" s="21">
        <v>0</v>
      </c>
      <c r="AB413" s="21">
        <v>0</v>
      </c>
      <c r="AC413" s="21">
        <f t="shared" si="184"/>
        <v>0</v>
      </c>
      <c r="AD413" s="21"/>
      <c r="AE413" s="21">
        <v>1</v>
      </c>
      <c r="AF413" s="21">
        <v>0</v>
      </c>
      <c r="AG413" s="21">
        <v>3</v>
      </c>
      <c r="AH413" s="21">
        <v>0</v>
      </c>
      <c r="AI413" s="21">
        <f t="shared" si="185"/>
        <v>4</v>
      </c>
      <c r="AK413" s="128">
        <v>2</v>
      </c>
      <c r="AL413">
        <v>0</v>
      </c>
      <c r="AM413">
        <v>0</v>
      </c>
      <c r="AN413">
        <v>0</v>
      </c>
      <c r="AO413" s="21">
        <f t="shared" si="186"/>
        <v>2</v>
      </c>
      <c r="AQ413">
        <v>0</v>
      </c>
      <c r="AR413">
        <v>0</v>
      </c>
      <c r="AS413">
        <v>0</v>
      </c>
      <c r="AT413">
        <v>1</v>
      </c>
      <c r="AU413" s="21">
        <f t="shared" si="181"/>
        <v>1</v>
      </c>
    </row>
    <row r="414" spans="1:47" ht="15" customHeight="1" x14ac:dyDescent="0.2">
      <c r="A414" s="12">
        <v>10</v>
      </c>
      <c r="B414" s="12" t="s">
        <v>542</v>
      </c>
      <c r="C414" s="12" t="s">
        <v>26</v>
      </c>
      <c r="D414" s="12">
        <v>27.73</v>
      </c>
      <c r="E414" s="12">
        <v>2005</v>
      </c>
      <c r="F414" s="15"/>
      <c r="G414" s="15"/>
      <c r="H414" s="15"/>
      <c r="I414" s="15"/>
      <c r="J414" s="15"/>
      <c r="K414" s="15"/>
      <c r="L414" s="21">
        <v>1</v>
      </c>
      <c r="M414" s="21">
        <v>0</v>
      </c>
      <c r="N414" s="21">
        <v>0</v>
      </c>
      <c r="O414" s="21">
        <v>0</v>
      </c>
      <c r="P414" s="21">
        <v>0</v>
      </c>
      <c r="Q414" s="21">
        <f t="shared" si="182"/>
        <v>0</v>
      </c>
      <c r="R414" s="21">
        <v>1</v>
      </c>
      <c r="S414" s="21">
        <v>0</v>
      </c>
      <c r="T414" s="21">
        <v>0</v>
      </c>
      <c r="U414" s="21">
        <v>0</v>
      </c>
      <c r="V414" s="21">
        <v>0</v>
      </c>
      <c r="W414" s="21">
        <f t="shared" si="183"/>
        <v>0</v>
      </c>
      <c r="X414" s="21">
        <v>0</v>
      </c>
      <c r="Y414" s="21">
        <v>1</v>
      </c>
      <c r="Z414" s="21">
        <v>0</v>
      </c>
      <c r="AA414" s="21">
        <v>0</v>
      </c>
      <c r="AB414" s="21">
        <v>1</v>
      </c>
      <c r="AC414" s="21">
        <f t="shared" si="184"/>
        <v>2</v>
      </c>
      <c r="AD414" s="21"/>
      <c r="AE414" s="21">
        <v>0</v>
      </c>
      <c r="AF414" s="21">
        <v>0</v>
      </c>
      <c r="AG414" s="21">
        <v>0</v>
      </c>
      <c r="AH414" s="21">
        <v>1</v>
      </c>
      <c r="AI414" s="21">
        <f t="shared" si="185"/>
        <v>1</v>
      </c>
      <c r="AK414" s="128">
        <v>0</v>
      </c>
      <c r="AL414">
        <v>0</v>
      </c>
      <c r="AM414">
        <v>0</v>
      </c>
      <c r="AN414">
        <v>1</v>
      </c>
      <c r="AO414" s="21">
        <f t="shared" si="186"/>
        <v>1</v>
      </c>
      <c r="AQ414">
        <v>0</v>
      </c>
      <c r="AR414">
        <v>0</v>
      </c>
      <c r="AS414">
        <v>0</v>
      </c>
      <c r="AT414">
        <v>1</v>
      </c>
      <c r="AU414" s="21">
        <f t="shared" si="181"/>
        <v>1</v>
      </c>
    </row>
    <row r="415" spans="1:47" ht="15" customHeight="1" x14ac:dyDescent="0.2">
      <c r="A415" s="12">
        <v>10</v>
      </c>
      <c r="B415" s="12" t="s">
        <v>543</v>
      </c>
      <c r="C415" s="12" t="s">
        <v>26</v>
      </c>
      <c r="D415" s="12">
        <v>29.41</v>
      </c>
      <c r="E415" s="12">
        <v>2005</v>
      </c>
      <c r="F415" s="15"/>
      <c r="G415" s="15"/>
      <c r="H415" s="15"/>
      <c r="I415" s="15"/>
      <c r="J415" s="15"/>
      <c r="K415" s="15"/>
      <c r="L415" s="21">
        <v>1</v>
      </c>
      <c r="M415" s="21">
        <v>0</v>
      </c>
      <c r="N415" s="21">
        <v>0</v>
      </c>
      <c r="O415" s="21">
        <v>0</v>
      </c>
      <c r="P415" s="21">
        <v>0</v>
      </c>
      <c r="Q415" s="21">
        <f t="shared" si="182"/>
        <v>0</v>
      </c>
      <c r="R415" s="21">
        <v>1</v>
      </c>
      <c r="S415" s="21">
        <v>0</v>
      </c>
      <c r="T415" s="21">
        <v>0</v>
      </c>
      <c r="U415" s="21">
        <v>0</v>
      </c>
      <c r="V415" s="21">
        <v>0</v>
      </c>
      <c r="W415" s="21">
        <f t="shared" si="183"/>
        <v>0</v>
      </c>
      <c r="X415" s="21">
        <v>1</v>
      </c>
      <c r="Y415" s="21">
        <v>0</v>
      </c>
      <c r="Z415" s="21">
        <v>0</v>
      </c>
      <c r="AA415" s="21">
        <v>0</v>
      </c>
      <c r="AB415" s="21">
        <v>0</v>
      </c>
      <c r="AC415" s="21">
        <f t="shared" si="184"/>
        <v>0</v>
      </c>
      <c r="AD415" s="21"/>
      <c r="AE415" s="21">
        <v>0</v>
      </c>
      <c r="AF415" s="21">
        <v>0</v>
      </c>
      <c r="AG415" s="21">
        <v>0</v>
      </c>
      <c r="AH415" s="21">
        <v>1</v>
      </c>
      <c r="AI415" s="21">
        <f t="shared" si="185"/>
        <v>1</v>
      </c>
      <c r="AK415" s="128">
        <v>0</v>
      </c>
      <c r="AL415">
        <v>0</v>
      </c>
      <c r="AM415">
        <v>0</v>
      </c>
      <c r="AN415">
        <v>1</v>
      </c>
      <c r="AO415" s="21">
        <f t="shared" si="186"/>
        <v>1</v>
      </c>
      <c r="AQ415">
        <v>0</v>
      </c>
      <c r="AR415">
        <v>0</v>
      </c>
      <c r="AS415">
        <v>0</v>
      </c>
      <c r="AT415">
        <v>1</v>
      </c>
      <c r="AU415" s="21">
        <f t="shared" si="181"/>
        <v>1</v>
      </c>
    </row>
    <row r="416" spans="1:47" ht="15" customHeight="1" x14ac:dyDescent="0.2">
      <c r="A416" s="12">
        <v>10</v>
      </c>
      <c r="B416" s="12" t="s">
        <v>544</v>
      </c>
      <c r="C416" s="12" t="s">
        <v>26</v>
      </c>
      <c r="D416" s="12">
        <v>30.7</v>
      </c>
      <c r="E416" s="12">
        <v>2005</v>
      </c>
      <c r="F416" s="15"/>
      <c r="G416" s="15"/>
      <c r="H416" s="15"/>
      <c r="I416" s="15"/>
      <c r="J416" s="15"/>
      <c r="K416" s="15"/>
      <c r="L416" s="21">
        <v>1</v>
      </c>
      <c r="M416" s="21">
        <v>0</v>
      </c>
      <c r="N416" s="21">
        <v>0</v>
      </c>
      <c r="O416" s="21">
        <v>0</v>
      </c>
      <c r="P416" s="21">
        <v>0</v>
      </c>
      <c r="Q416" s="21">
        <f t="shared" si="182"/>
        <v>0</v>
      </c>
      <c r="R416" s="21">
        <v>0</v>
      </c>
      <c r="S416" s="21">
        <v>0</v>
      </c>
      <c r="T416" s="21">
        <v>0</v>
      </c>
      <c r="U416" s="21">
        <v>0</v>
      </c>
      <c r="V416" s="21">
        <v>1</v>
      </c>
      <c r="W416" s="21">
        <f t="shared" si="183"/>
        <v>1</v>
      </c>
      <c r="X416" s="21">
        <v>1</v>
      </c>
      <c r="Y416" s="21">
        <v>0</v>
      </c>
      <c r="Z416" s="21">
        <v>0</v>
      </c>
      <c r="AA416" s="21">
        <v>0</v>
      </c>
      <c r="AB416" s="21">
        <v>0</v>
      </c>
      <c r="AC416" s="21">
        <f t="shared" si="184"/>
        <v>0</v>
      </c>
      <c r="AD416" s="21"/>
      <c r="AE416" s="21">
        <v>0</v>
      </c>
      <c r="AF416" s="21">
        <v>0</v>
      </c>
      <c r="AG416" s="21">
        <v>0</v>
      </c>
      <c r="AH416" s="21">
        <v>1</v>
      </c>
      <c r="AI416" s="21">
        <f t="shared" si="185"/>
        <v>1</v>
      </c>
      <c r="AK416" s="128">
        <v>0</v>
      </c>
      <c r="AL416">
        <v>0</v>
      </c>
      <c r="AM416">
        <v>0</v>
      </c>
      <c r="AN416">
        <v>1</v>
      </c>
      <c r="AO416" s="21">
        <f t="shared" si="186"/>
        <v>1</v>
      </c>
      <c r="AP416">
        <v>1</v>
      </c>
      <c r="AQ416">
        <v>0</v>
      </c>
      <c r="AR416">
        <v>0</v>
      </c>
      <c r="AS416">
        <v>0</v>
      </c>
      <c r="AT416">
        <v>0</v>
      </c>
      <c r="AU416" s="21">
        <f t="shared" si="181"/>
        <v>0</v>
      </c>
    </row>
    <row r="417" spans="1:47" ht="15" customHeight="1" x14ac:dyDescent="0.2">
      <c r="A417" s="12">
        <v>10</v>
      </c>
      <c r="B417" s="12" t="s">
        <v>545</v>
      </c>
      <c r="C417" s="12" t="s">
        <v>26</v>
      </c>
      <c r="D417" s="12">
        <v>29.28</v>
      </c>
      <c r="E417" s="12">
        <v>2005</v>
      </c>
      <c r="F417" s="15"/>
      <c r="G417" s="15"/>
      <c r="H417" s="15"/>
      <c r="I417" s="15"/>
      <c r="J417" s="15"/>
      <c r="K417" s="15"/>
      <c r="L417" s="21">
        <v>1</v>
      </c>
      <c r="M417" s="21">
        <v>0</v>
      </c>
      <c r="N417" s="21">
        <v>0</v>
      </c>
      <c r="O417" s="21">
        <v>0</v>
      </c>
      <c r="P417" s="21">
        <v>0</v>
      </c>
      <c r="Q417" s="21">
        <f t="shared" si="182"/>
        <v>0</v>
      </c>
      <c r="R417" s="21">
        <v>1</v>
      </c>
      <c r="S417" s="21">
        <v>0</v>
      </c>
      <c r="T417" s="21">
        <v>0</v>
      </c>
      <c r="U417" s="21">
        <v>0</v>
      </c>
      <c r="V417" s="21">
        <v>0</v>
      </c>
      <c r="W417" s="21">
        <f t="shared" si="183"/>
        <v>0</v>
      </c>
      <c r="X417" s="21">
        <v>1</v>
      </c>
      <c r="Y417" s="21">
        <v>0</v>
      </c>
      <c r="Z417" s="21">
        <v>0</v>
      </c>
      <c r="AA417" s="21">
        <v>0</v>
      </c>
      <c r="AB417" s="21">
        <v>0</v>
      </c>
      <c r="AC417" s="21">
        <f t="shared" si="184"/>
        <v>0</v>
      </c>
      <c r="AD417" s="21"/>
      <c r="AE417" s="21">
        <v>0</v>
      </c>
      <c r="AF417" s="21">
        <v>0</v>
      </c>
      <c r="AG417" s="21">
        <v>0</v>
      </c>
      <c r="AH417" s="21">
        <v>1</v>
      </c>
      <c r="AI417" s="21">
        <f t="shared" si="185"/>
        <v>1</v>
      </c>
      <c r="AK417" s="128">
        <v>0</v>
      </c>
      <c r="AL417">
        <v>0</v>
      </c>
      <c r="AM417">
        <v>0</v>
      </c>
      <c r="AN417">
        <v>1</v>
      </c>
      <c r="AO417" s="21">
        <f t="shared" si="186"/>
        <v>1</v>
      </c>
      <c r="AQ417">
        <v>0</v>
      </c>
      <c r="AR417">
        <v>0</v>
      </c>
      <c r="AS417">
        <v>0</v>
      </c>
      <c r="AT417">
        <v>1</v>
      </c>
      <c r="AU417" s="21">
        <f t="shared" si="181"/>
        <v>1</v>
      </c>
    </row>
    <row r="418" spans="1:47" x14ac:dyDescent="0.2">
      <c r="A418" s="12">
        <v>10</v>
      </c>
      <c r="B418" s="12" t="s">
        <v>546</v>
      </c>
      <c r="C418" s="12" t="s">
        <v>26</v>
      </c>
      <c r="D418" s="12">
        <v>19.600000000000001</v>
      </c>
      <c r="E418" s="12">
        <v>2005</v>
      </c>
      <c r="F418" s="15"/>
      <c r="G418" s="15"/>
      <c r="H418" s="15"/>
      <c r="I418" s="15"/>
      <c r="J418" s="15"/>
      <c r="K418" s="15"/>
      <c r="L418" s="21">
        <v>0</v>
      </c>
      <c r="M418" s="21">
        <v>1</v>
      </c>
      <c r="N418" s="21">
        <v>3</v>
      </c>
      <c r="O418" s="21">
        <v>0</v>
      </c>
      <c r="P418" s="21">
        <v>1</v>
      </c>
      <c r="Q418" s="21">
        <f t="shared" si="182"/>
        <v>5</v>
      </c>
      <c r="R418" s="21">
        <v>0</v>
      </c>
      <c r="S418" s="21">
        <v>1</v>
      </c>
      <c r="T418" s="21">
        <v>0</v>
      </c>
      <c r="U418" s="21">
        <v>2</v>
      </c>
      <c r="V418" s="21">
        <v>1</v>
      </c>
      <c r="W418" s="21">
        <f t="shared" si="183"/>
        <v>4</v>
      </c>
      <c r="X418" s="21"/>
      <c r="Y418" s="21">
        <v>1</v>
      </c>
      <c r="Z418" s="21">
        <v>2</v>
      </c>
      <c r="AA418" s="21">
        <v>0</v>
      </c>
      <c r="AB418" s="21">
        <v>1</v>
      </c>
      <c r="AC418" s="21">
        <f t="shared" si="184"/>
        <v>4</v>
      </c>
      <c r="AD418" s="21"/>
      <c r="AE418" s="21">
        <v>0</v>
      </c>
      <c r="AF418" s="21">
        <v>0</v>
      </c>
      <c r="AG418" s="21">
        <v>0</v>
      </c>
      <c r="AH418" s="21">
        <v>1</v>
      </c>
      <c r="AI418" s="21">
        <f t="shared" si="185"/>
        <v>1</v>
      </c>
      <c r="AK418" s="128">
        <v>0</v>
      </c>
      <c r="AL418">
        <v>0</v>
      </c>
      <c r="AM418">
        <v>0</v>
      </c>
      <c r="AN418">
        <v>1</v>
      </c>
      <c r="AO418" s="21">
        <f t="shared" si="186"/>
        <v>1</v>
      </c>
      <c r="AQ418">
        <v>2</v>
      </c>
      <c r="AR418">
        <v>0</v>
      </c>
      <c r="AS418">
        <v>0</v>
      </c>
      <c r="AT418">
        <v>0</v>
      </c>
      <c r="AU418" s="21">
        <f t="shared" si="181"/>
        <v>2</v>
      </c>
    </row>
    <row r="419" spans="1:47" ht="15" customHeight="1" x14ac:dyDescent="0.2">
      <c r="A419" s="12">
        <v>10</v>
      </c>
      <c r="B419" s="12" t="s">
        <v>547</v>
      </c>
      <c r="C419" s="12" t="s">
        <v>26</v>
      </c>
      <c r="D419" s="12">
        <v>30.05</v>
      </c>
      <c r="E419" s="12">
        <v>2005</v>
      </c>
      <c r="F419" s="15"/>
      <c r="G419" s="15"/>
      <c r="H419" s="15"/>
      <c r="I419" s="15"/>
      <c r="J419" s="15"/>
      <c r="K419" s="15"/>
      <c r="L419" s="21">
        <v>1</v>
      </c>
      <c r="M419" s="21">
        <v>0</v>
      </c>
      <c r="N419" s="21">
        <v>0</v>
      </c>
      <c r="O419" s="21">
        <v>0</v>
      </c>
      <c r="P419" s="21">
        <v>0</v>
      </c>
      <c r="Q419" s="21">
        <f t="shared" si="182"/>
        <v>0</v>
      </c>
      <c r="R419" s="21">
        <v>1</v>
      </c>
      <c r="S419" s="21">
        <v>0</v>
      </c>
      <c r="T419" s="21">
        <v>0</v>
      </c>
      <c r="U419" s="21">
        <v>0</v>
      </c>
      <c r="V419" s="21">
        <v>0</v>
      </c>
      <c r="W419" s="21">
        <f t="shared" si="183"/>
        <v>0</v>
      </c>
      <c r="X419" s="21">
        <v>1</v>
      </c>
      <c r="Y419" s="21">
        <v>0</v>
      </c>
      <c r="Z419" s="21">
        <v>0</v>
      </c>
      <c r="AA419" s="21">
        <v>0</v>
      </c>
      <c r="AB419" s="21">
        <v>0</v>
      </c>
      <c r="AC419" s="21">
        <f t="shared" si="184"/>
        <v>0</v>
      </c>
      <c r="AD419" s="21"/>
      <c r="AE419" s="21">
        <v>0</v>
      </c>
      <c r="AF419" s="21">
        <v>0</v>
      </c>
      <c r="AG419" s="21">
        <v>0</v>
      </c>
      <c r="AH419" s="21">
        <v>1</v>
      </c>
      <c r="AI419" s="21">
        <f t="shared" si="185"/>
        <v>1</v>
      </c>
      <c r="AK419" s="128">
        <v>0</v>
      </c>
      <c r="AL419">
        <v>0</v>
      </c>
      <c r="AM419">
        <v>0</v>
      </c>
      <c r="AN419">
        <v>1</v>
      </c>
      <c r="AO419" s="21">
        <f t="shared" si="186"/>
        <v>1</v>
      </c>
      <c r="AQ419">
        <v>0</v>
      </c>
      <c r="AR419">
        <v>0</v>
      </c>
      <c r="AS419">
        <v>0</v>
      </c>
      <c r="AT419">
        <v>1</v>
      </c>
      <c r="AU419" s="21">
        <f t="shared" si="181"/>
        <v>1</v>
      </c>
    </row>
    <row r="420" spans="1:47" ht="15" customHeight="1" x14ac:dyDescent="0.2">
      <c r="A420" s="12">
        <v>10</v>
      </c>
      <c r="B420" s="12" t="s">
        <v>548</v>
      </c>
      <c r="C420" s="12" t="s">
        <v>26</v>
      </c>
      <c r="D420" s="12">
        <v>30.94</v>
      </c>
      <c r="E420" s="12">
        <v>2005</v>
      </c>
      <c r="F420" s="15"/>
      <c r="G420" s="15"/>
      <c r="H420" s="15"/>
      <c r="I420" s="15"/>
      <c r="J420" s="15"/>
      <c r="K420" s="15"/>
      <c r="L420" s="21">
        <v>1</v>
      </c>
      <c r="M420" s="21">
        <v>0</v>
      </c>
      <c r="N420" s="21">
        <v>0</v>
      </c>
      <c r="O420" s="21">
        <v>0</v>
      </c>
      <c r="P420" s="21">
        <v>0</v>
      </c>
      <c r="Q420" s="21">
        <f t="shared" si="182"/>
        <v>0</v>
      </c>
      <c r="R420" s="21">
        <v>1</v>
      </c>
      <c r="S420" s="21">
        <v>0</v>
      </c>
      <c r="T420" s="21">
        <v>0</v>
      </c>
      <c r="U420" s="21">
        <v>0</v>
      </c>
      <c r="V420" s="21">
        <v>0</v>
      </c>
      <c r="W420" s="21">
        <f t="shared" si="183"/>
        <v>0</v>
      </c>
      <c r="X420" s="21"/>
      <c r="Y420" s="21">
        <v>1</v>
      </c>
      <c r="Z420" s="21">
        <v>0</v>
      </c>
      <c r="AA420" s="21">
        <v>0</v>
      </c>
      <c r="AB420" s="21">
        <v>1</v>
      </c>
      <c r="AC420" s="21">
        <f t="shared" si="184"/>
        <v>2</v>
      </c>
      <c r="AD420" s="21"/>
      <c r="AE420" s="21">
        <v>0</v>
      </c>
      <c r="AF420" s="21">
        <v>0</v>
      </c>
      <c r="AG420" s="21">
        <v>0</v>
      </c>
      <c r="AH420" s="21">
        <v>1</v>
      </c>
      <c r="AI420" s="21">
        <f t="shared" si="185"/>
        <v>1</v>
      </c>
      <c r="AK420" s="128">
        <v>0</v>
      </c>
      <c r="AL420">
        <v>0</v>
      </c>
      <c r="AM420">
        <v>0</v>
      </c>
      <c r="AN420">
        <v>1</v>
      </c>
      <c r="AO420" s="21">
        <f t="shared" si="186"/>
        <v>1</v>
      </c>
      <c r="AQ420">
        <v>0</v>
      </c>
      <c r="AR420">
        <v>0</v>
      </c>
      <c r="AS420">
        <v>0</v>
      </c>
      <c r="AT420">
        <v>1</v>
      </c>
      <c r="AU420" s="21">
        <f t="shared" si="181"/>
        <v>1</v>
      </c>
    </row>
    <row r="421" spans="1:47" ht="15" customHeight="1" x14ac:dyDescent="0.2">
      <c r="A421" s="12">
        <v>10</v>
      </c>
      <c r="B421" s="12" t="s">
        <v>549</v>
      </c>
      <c r="C421" s="12" t="s">
        <v>26</v>
      </c>
      <c r="D421" s="12">
        <v>28.47</v>
      </c>
      <c r="E421" s="12">
        <v>2005</v>
      </c>
      <c r="F421" s="15"/>
      <c r="G421" s="15"/>
      <c r="H421" s="15"/>
      <c r="I421" s="15"/>
      <c r="J421" s="15"/>
      <c r="K421" s="15"/>
      <c r="L421" s="21">
        <v>1</v>
      </c>
      <c r="M421" s="21">
        <v>0</v>
      </c>
      <c r="N421" s="21">
        <v>0</v>
      </c>
      <c r="O421" s="21">
        <v>0</v>
      </c>
      <c r="P421" s="21">
        <v>0</v>
      </c>
      <c r="Q421" s="21">
        <f t="shared" si="182"/>
        <v>0</v>
      </c>
      <c r="R421" s="21">
        <v>1</v>
      </c>
      <c r="S421" s="21">
        <v>0</v>
      </c>
      <c r="T421" s="21">
        <v>0</v>
      </c>
      <c r="U421" s="21">
        <v>0</v>
      </c>
      <c r="V421" s="21">
        <v>0</v>
      </c>
      <c r="W421" s="21">
        <f t="shared" si="183"/>
        <v>0</v>
      </c>
      <c r="X421" s="21">
        <v>1</v>
      </c>
      <c r="Y421" s="21">
        <v>0</v>
      </c>
      <c r="Z421" s="21">
        <v>0</v>
      </c>
      <c r="AA421" s="21">
        <v>0</v>
      </c>
      <c r="AB421" s="21">
        <v>0</v>
      </c>
      <c r="AC421" s="21">
        <f t="shared" si="184"/>
        <v>0</v>
      </c>
      <c r="AD421" s="21"/>
      <c r="AE421" s="21">
        <v>0</v>
      </c>
      <c r="AF421" s="21">
        <v>0</v>
      </c>
      <c r="AG421" s="21">
        <v>0</v>
      </c>
      <c r="AH421" s="21">
        <v>1</v>
      </c>
      <c r="AI421" s="21">
        <f t="shared" si="185"/>
        <v>1</v>
      </c>
      <c r="AK421" s="128">
        <v>0</v>
      </c>
      <c r="AL421">
        <v>0</v>
      </c>
      <c r="AM421">
        <v>0</v>
      </c>
      <c r="AN421">
        <v>1</v>
      </c>
      <c r="AO421" s="21">
        <f t="shared" si="186"/>
        <v>1</v>
      </c>
      <c r="AQ421">
        <v>0</v>
      </c>
      <c r="AR421">
        <v>0</v>
      </c>
      <c r="AS421">
        <v>0</v>
      </c>
      <c r="AT421">
        <v>1</v>
      </c>
      <c r="AU421" s="21">
        <f t="shared" si="181"/>
        <v>1</v>
      </c>
    </row>
    <row r="422" spans="1:47" ht="15" customHeight="1" x14ac:dyDescent="0.2">
      <c r="A422" s="12">
        <v>10</v>
      </c>
      <c r="B422" s="12" t="s">
        <v>550</v>
      </c>
      <c r="C422" s="12" t="s">
        <v>26</v>
      </c>
      <c r="D422" s="12">
        <v>29.48</v>
      </c>
      <c r="E422" s="12">
        <v>2005</v>
      </c>
      <c r="F422" s="15"/>
      <c r="G422" s="15"/>
      <c r="H422" s="15"/>
      <c r="I422" s="15"/>
      <c r="J422" s="15"/>
      <c r="K422" s="15"/>
      <c r="L422" s="21">
        <v>1</v>
      </c>
      <c r="M422" s="21">
        <v>0</v>
      </c>
      <c r="N422" s="21">
        <v>0</v>
      </c>
      <c r="O422" s="21">
        <v>0</v>
      </c>
      <c r="P422" s="21">
        <v>0</v>
      </c>
      <c r="Q422" s="21">
        <f t="shared" si="182"/>
        <v>0</v>
      </c>
      <c r="R422" s="21">
        <v>1</v>
      </c>
      <c r="S422" s="21">
        <v>0</v>
      </c>
      <c r="T422" s="21">
        <v>0</v>
      </c>
      <c r="U422" s="21">
        <v>0</v>
      </c>
      <c r="V422" s="21">
        <v>0</v>
      </c>
      <c r="W422" s="21">
        <f t="shared" si="183"/>
        <v>0</v>
      </c>
      <c r="X422" s="21">
        <v>0</v>
      </c>
      <c r="Y422" s="21">
        <v>1</v>
      </c>
      <c r="Z422" s="21">
        <v>0</v>
      </c>
      <c r="AA422" s="21">
        <v>0</v>
      </c>
      <c r="AB422" s="21">
        <v>1</v>
      </c>
      <c r="AC422" s="21">
        <f t="shared" si="184"/>
        <v>2</v>
      </c>
      <c r="AD422" s="21"/>
      <c r="AE422" s="21">
        <v>0</v>
      </c>
      <c r="AF422" s="21">
        <v>0</v>
      </c>
      <c r="AG422" s="21">
        <v>0</v>
      </c>
      <c r="AH422" s="21">
        <v>1</v>
      </c>
      <c r="AI422" s="21">
        <f t="shared" si="185"/>
        <v>1</v>
      </c>
      <c r="AK422" s="128">
        <v>0</v>
      </c>
      <c r="AL422">
        <v>0</v>
      </c>
      <c r="AM422">
        <v>0</v>
      </c>
      <c r="AN422">
        <v>1</v>
      </c>
      <c r="AO422" s="21">
        <f t="shared" si="186"/>
        <v>1</v>
      </c>
      <c r="AQ422">
        <v>0</v>
      </c>
      <c r="AR422">
        <v>0</v>
      </c>
      <c r="AS422">
        <v>0</v>
      </c>
      <c r="AT422">
        <v>1</v>
      </c>
      <c r="AU422" s="21">
        <f t="shared" si="181"/>
        <v>1</v>
      </c>
    </row>
    <row r="423" spans="1:47" ht="15" customHeight="1" x14ac:dyDescent="0.2">
      <c r="A423" s="12">
        <v>10</v>
      </c>
      <c r="B423" s="12" t="s">
        <v>551</v>
      </c>
      <c r="C423" s="12" t="s">
        <v>26</v>
      </c>
      <c r="D423" s="12">
        <v>29.95</v>
      </c>
      <c r="E423" s="12">
        <v>2005</v>
      </c>
      <c r="F423" s="15"/>
      <c r="G423" s="15"/>
      <c r="H423" s="15"/>
      <c r="I423" s="15"/>
      <c r="J423" s="15"/>
      <c r="K423" s="15"/>
      <c r="L423" s="21">
        <v>1</v>
      </c>
      <c r="M423" s="21">
        <v>0</v>
      </c>
      <c r="N423" s="21">
        <v>0</v>
      </c>
      <c r="O423" s="21">
        <v>0</v>
      </c>
      <c r="P423" s="21">
        <v>0</v>
      </c>
      <c r="Q423" s="21">
        <f t="shared" si="182"/>
        <v>0</v>
      </c>
      <c r="R423" s="21"/>
      <c r="S423" s="21">
        <v>0</v>
      </c>
      <c r="T423" s="21">
        <v>0</v>
      </c>
      <c r="U423" s="21">
        <v>0</v>
      </c>
      <c r="V423" s="21">
        <v>1</v>
      </c>
      <c r="W423" s="21">
        <f t="shared" si="183"/>
        <v>1</v>
      </c>
      <c r="X423" s="21">
        <v>1</v>
      </c>
      <c r="Y423" s="21">
        <v>0</v>
      </c>
      <c r="Z423" s="21">
        <v>0</v>
      </c>
      <c r="AA423" s="21">
        <v>0</v>
      </c>
      <c r="AB423" s="21">
        <v>0</v>
      </c>
      <c r="AC423" s="21">
        <f t="shared" si="184"/>
        <v>0</v>
      </c>
      <c r="AD423" s="21"/>
      <c r="AE423" s="21">
        <v>0</v>
      </c>
      <c r="AF423" s="21">
        <v>0</v>
      </c>
      <c r="AG423" s="21">
        <v>0</v>
      </c>
      <c r="AH423" s="21">
        <v>1</v>
      </c>
      <c r="AI423" s="21">
        <f t="shared" si="185"/>
        <v>1</v>
      </c>
      <c r="AK423" s="128">
        <v>0</v>
      </c>
      <c r="AL423">
        <v>0</v>
      </c>
      <c r="AM423">
        <v>0</v>
      </c>
      <c r="AN423">
        <v>1</v>
      </c>
      <c r="AO423" s="21">
        <f t="shared" si="186"/>
        <v>1</v>
      </c>
      <c r="AQ423">
        <v>0</v>
      </c>
      <c r="AR423">
        <v>0</v>
      </c>
      <c r="AS423">
        <v>0</v>
      </c>
      <c r="AT423">
        <v>1</v>
      </c>
      <c r="AU423" s="21">
        <f t="shared" si="181"/>
        <v>1</v>
      </c>
    </row>
    <row r="424" spans="1:47" ht="15" customHeight="1" x14ac:dyDescent="0.2">
      <c r="A424" s="12">
        <v>10</v>
      </c>
      <c r="B424" s="12" t="s">
        <v>552</v>
      </c>
      <c r="C424" s="12" t="s">
        <v>26</v>
      </c>
      <c r="D424" s="12">
        <v>31.47</v>
      </c>
      <c r="E424" s="12">
        <v>2005</v>
      </c>
      <c r="F424" s="15"/>
      <c r="G424" s="15"/>
      <c r="H424" s="15"/>
      <c r="I424" s="15"/>
      <c r="J424" s="15"/>
      <c r="K424" s="15"/>
      <c r="L424" s="21">
        <v>1</v>
      </c>
      <c r="M424" s="21">
        <v>0</v>
      </c>
      <c r="N424" s="21">
        <v>0</v>
      </c>
      <c r="O424" s="21">
        <v>0</v>
      </c>
      <c r="P424" s="21">
        <v>0</v>
      </c>
      <c r="Q424" s="21">
        <f t="shared" si="182"/>
        <v>0</v>
      </c>
      <c r="R424" s="21"/>
      <c r="S424" s="21">
        <v>1</v>
      </c>
      <c r="T424" s="21">
        <v>0</v>
      </c>
      <c r="U424" s="21">
        <v>3</v>
      </c>
      <c r="V424" s="21">
        <v>1</v>
      </c>
      <c r="W424" s="21">
        <f t="shared" si="183"/>
        <v>5</v>
      </c>
      <c r="X424" s="21"/>
      <c r="Y424" s="21">
        <v>1</v>
      </c>
      <c r="Z424" s="21">
        <v>0</v>
      </c>
      <c r="AA424" s="21">
        <v>7</v>
      </c>
      <c r="AB424" s="21">
        <v>1</v>
      </c>
      <c r="AC424" s="21">
        <f t="shared" si="184"/>
        <v>9</v>
      </c>
      <c r="AD424" s="21"/>
      <c r="AE424" s="21">
        <v>1</v>
      </c>
      <c r="AF424" s="21">
        <v>4</v>
      </c>
      <c r="AG424" s="21">
        <v>0</v>
      </c>
      <c r="AH424" s="21">
        <v>0</v>
      </c>
      <c r="AI424" s="21">
        <f t="shared" si="185"/>
        <v>5</v>
      </c>
      <c r="AK424" s="128">
        <v>0</v>
      </c>
      <c r="AL424">
        <v>0</v>
      </c>
      <c r="AM424">
        <v>0</v>
      </c>
      <c r="AN424">
        <v>1</v>
      </c>
      <c r="AO424" s="21">
        <f t="shared" si="186"/>
        <v>1</v>
      </c>
      <c r="AQ424">
        <v>2</v>
      </c>
      <c r="AR424">
        <v>4</v>
      </c>
      <c r="AS424">
        <v>0</v>
      </c>
      <c r="AT424">
        <v>0</v>
      </c>
      <c r="AU424" s="21">
        <f t="shared" si="181"/>
        <v>6</v>
      </c>
    </row>
    <row r="425" spans="1:47" ht="15" customHeight="1" x14ac:dyDescent="0.2">
      <c r="A425" s="12">
        <v>10</v>
      </c>
      <c r="B425" s="12" t="s">
        <v>553</v>
      </c>
      <c r="C425" s="12" t="s">
        <v>26</v>
      </c>
      <c r="D425" s="12">
        <v>18.61</v>
      </c>
      <c r="E425" s="12">
        <v>2006</v>
      </c>
      <c r="F425" s="15"/>
      <c r="G425" s="15"/>
      <c r="H425" s="15"/>
      <c r="I425" s="15"/>
      <c r="J425" s="15"/>
      <c r="K425" s="15"/>
      <c r="L425" s="21">
        <v>1</v>
      </c>
      <c r="M425" s="21">
        <v>0</v>
      </c>
      <c r="N425" s="21">
        <v>0</v>
      </c>
      <c r="O425" s="21">
        <v>0</v>
      </c>
      <c r="P425" s="21">
        <v>0</v>
      </c>
      <c r="Q425" s="21">
        <f t="shared" si="182"/>
        <v>0</v>
      </c>
      <c r="R425" s="21">
        <v>1</v>
      </c>
      <c r="S425" s="21">
        <v>0</v>
      </c>
      <c r="T425" s="21">
        <v>0</v>
      </c>
      <c r="U425" s="21">
        <v>0</v>
      </c>
      <c r="V425" s="21">
        <v>0</v>
      </c>
      <c r="W425" s="21">
        <f t="shared" si="183"/>
        <v>0</v>
      </c>
      <c r="X425" s="21">
        <v>1</v>
      </c>
      <c r="Y425" s="21">
        <v>0</v>
      </c>
      <c r="Z425" s="21">
        <v>0</v>
      </c>
      <c r="AA425" s="21">
        <v>0</v>
      </c>
      <c r="AB425" s="21">
        <v>0</v>
      </c>
      <c r="AC425" s="21">
        <f t="shared" si="184"/>
        <v>0</v>
      </c>
      <c r="AD425" s="21"/>
      <c r="AE425" s="21">
        <v>0</v>
      </c>
      <c r="AF425" s="21">
        <v>0</v>
      </c>
      <c r="AG425" s="21">
        <v>0</v>
      </c>
      <c r="AH425" s="21">
        <v>1</v>
      </c>
      <c r="AI425" s="21">
        <f t="shared" si="185"/>
        <v>1</v>
      </c>
      <c r="AK425" s="128">
        <v>0</v>
      </c>
      <c r="AL425">
        <v>0</v>
      </c>
      <c r="AM425">
        <v>0</v>
      </c>
      <c r="AN425">
        <v>1</v>
      </c>
      <c r="AO425" s="21">
        <f t="shared" si="186"/>
        <v>1</v>
      </c>
      <c r="AQ425">
        <v>0</v>
      </c>
      <c r="AR425">
        <v>0</v>
      </c>
      <c r="AS425">
        <v>0</v>
      </c>
      <c r="AT425">
        <v>1</v>
      </c>
      <c r="AU425" s="21">
        <f t="shared" si="181"/>
        <v>1</v>
      </c>
    </row>
    <row r="426" spans="1:47" ht="15" customHeight="1" x14ac:dyDescent="0.2">
      <c r="A426" s="12">
        <v>10</v>
      </c>
      <c r="B426" s="12" t="s">
        <v>554</v>
      </c>
      <c r="C426" s="12" t="s">
        <v>26</v>
      </c>
      <c r="D426" s="12">
        <v>36.96</v>
      </c>
      <c r="E426" s="12">
        <v>2006</v>
      </c>
      <c r="F426" s="15"/>
      <c r="G426" s="15"/>
      <c r="H426" s="15"/>
      <c r="I426" s="15"/>
      <c r="J426" s="15"/>
      <c r="K426" s="15"/>
      <c r="L426" s="21">
        <v>1</v>
      </c>
      <c r="M426" s="21">
        <v>0</v>
      </c>
      <c r="N426" s="21">
        <v>0</v>
      </c>
      <c r="O426" s="21">
        <v>0</v>
      </c>
      <c r="P426" s="21">
        <v>0</v>
      </c>
      <c r="Q426" s="21">
        <f t="shared" si="182"/>
        <v>0</v>
      </c>
      <c r="R426" s="21">
        <v>1</v>
      </c>
      <c r="S426" s="21">
        <v>0</v>
      </c>
      <c r="T426" s="21">
        <v>0</v>
      </c>
      <c r="U426" s="21">
        <v>1</v>
      </c>
      <c r="V426" s="21">
        <v>1</v>
      </c>
      <c r="W426" s="21">
        <f t="shared" si="183"/>
        <v>2</v>
      </c>
      <c r="X426" s="21">
        <v>0</v>
      </c>
      <c r="Y426" s="21">
        <v>1</v>
      </c>
      <c r="Z426" s="21">
        <v>0</v>
      </c>
      <c r="AA426" s="21">
        <v>4</v>
      </c>
      <c r="AB426" s="21">
        <v>1</v>
      </c>
      <c r="AC426" s="21">
        <f t="shared" si="184"/>
        <v>6</v>
      </c>
      <c r="AD426" s="21"/>
      <c r="AE426" s="21">
        <v>1</v>
      </c>
      <c r="AF426" s="21">
        <v>1</v>
      </c>
      <c r="AG426" s="21">
        <v>3</v>
      </c>
      <c r="AH426" s="21">
        <v>0</v>
      </c>
      <c r="AI426" s="21">
        <f t="shared" si="185"/>
        <v>5</v>
      </c>
      <c r="AK426" s="128">
        <v>0</v>
      </c>
      <c r="AL426">
        <v>0</v>
      </c>
      <c r="AM426">
        <v>4</v>
      </c>
      <c r="AN426">
        <v>0</v>
      </c>
      <c r="AO426" s="21">
        <f t="shared" si="186"/>
        <v>4</v>
      </c>
      <c r="AQ426">
        <v>1</v>
      </c>
      <c r="AR426">
        <v>1</v>
      </c>
      <c r="AS426">
        <v>0</v>
      </c>
      <c r="AT426">
        <v>0</v>
      </c>
      <c r="AU426" s="21">
        <f t="shared" si="181"/>
        <v>2</v>
      </c>
    </row>
    <row r="427" spans="1:47" ht="15" customHeight="1" x14ac:dyDescent="0.2">
      <c r="A427" s="12">
        <v>10</v>
      </c>
      <c r="B427" s="12" t="s">
        <v>555</v>
      </c>
      <c r="C427" s="12" t="s">
        <v>26</v>
      </c>
      <c r="D427" s="12">
        <v>35.15</v>
      </c>
      <c r="E427" s="12">
        <v>2006</v>
      </c>
      <c r="F427" s="15"/>
      <c r="G427" s="15"/>
      <c r="H427" s="15"/>
      <c r="I427" s="15"/>
      <c r="J427" s="15"/>
      <c r="K427" s="15"/>
      <c r="L427" s="21">
        <v>1</v>
      </c>
      <c r="M427" s="21">
        <v>0</v>
      </c>
      <c r="N427" s="21">
        <v>0</v>
      </c>
      <c r="O427" s="21">
        <v>0</v>
      </c>
      <c r="P427" s="21">
        <v>0</v>
      </c>
      <c r="Q427" s="21">
        <f t="shared" si="182"/>
        <v>0</v>
      </c>
      <c r="R427" s="21">
        <v>1</v>
      </c>
      <c r="S427" s="21">
        <v>0</v>
      </c>
      <c r="T427" s="21">
        <v>0</v>
      </c>
      <c r="U427" s="21">
        <v>0</v>
      </c>
      <c r="V427" s="21">
        <v>0</v>
      </c>
      <c r="W427" s="21">
        <f t="shared" si="183"/>
        <v>0</v>
      </c>
      <c r="X427" s="21">
        <v>1</v>
      </c>
      <c r="Y427" s="21">
        <v>0</v>
      </c>
      <c r="Z427" s="21">
        <v>0</v>
      </c>
      <c r="AA427" s="21">
        <v>0</v>
      </c>
      <c r="AB427" s="21">
        <v>0</v>
      </c>
      <c r="AC427" s="21">
        <f t="shared" si="184"/>
        <v>0</v>
      </c>
      <c r="AD427" s="21">
        <v>1</v>
      </c>
      <c r="AE427" s="21">
        <v>0</v>
      </c>
      <c r="AF427" s="21">
        <v>0</v>
      </c>
      <c r="AG427" s="21">
        <v>0</v>
      </c>
      <c r="AH427" s="21">
        <v>0</v>
      </c>
      <c r="AI427" s="21">
        <f t="shared" si="185"/>
        <v>0</v>
      </c>
      <c r="AK427" s="128">
        <v>0</v>
      </c>
      <c r="AL427">
        <v>0</v>
      </c>
      <c r="AM427">
        <v>7</v>
      </c>
      <c r="AN427">
        <v>0</v>
      </c>
      <c r="AO427" s="21">
        <f t="shared" si="186"/>
        <v>7</v>
      </c>
      <c r="AQ427">
        <v>0</v>
      </c>
      <c r="AR427">
        <v>0</v>
      </c>
      <c r="AS427">
        <v>0</v>
      </c>
      <c r="AT427">
        <v>1</v>
      </c>
      <c r="AU427" s="21">
        <f t="shared" si="181"/>
        <v>1</v>
      </c>
    </row>
    <row r="428" spans="1:47" ht="15" customHeight="1" x14ac:dyDescent="0.2">
      <c r="A428" s="12">
        <v>10</v>
      </c>
      <c r="B428" s="12" t="s">
        <v>556</v>
      </c>
      <c r="C428" s="12" t="s">
        <v>26</v>
      </c>
      <c r="D428" s="12">
        <v>26.85</v>
      </c>
      <c r="E428" s="12">
        <v>2006</v>
      </c>
      <c r="F428" s="15"/>
      <c r="G428" s="15"/>
      <c r="H428" s="15"/>
      <c r="I428" s="15"/>
      <c r="J428" s="15"/>
      <c r="K428" s="15"/>
      <c r="L428" s="21">
        <v>1</v>
      </c>
      <c r="M428" s="21">
        <v>0</v>
      </c>
      <c r="N428" s="21">
        <v>0</v>
      </c>
      <c r="O428" s="21">
        <v>0</v>
      </c>
      <c r="P428" s="21">
        <v>0</v>
      </c>
      <c r="Q428" s="21">
        <f t="shared" si="182"/>
        <v>0</v>
      </c>
      <c r="R428" s="21">
        <v>1</v>
      </c>
      <c r="S428" s="21">
        <v>0</v>
      </c>
      <c r="T428" s="21">
        <v>0</v>
      </c>
      <c r="U428" s="21">
        <v>0</v>
      </c>
      <c r="V428" s="21">
        <v>0</v>
      </c>
      <c r="W428" s="21">
        <f t="shared" si="183"/>
        <v>0</v>
      </c>
      <c r="X428" s="21">
        <v>1</v>
      </c>
      <c r="Y428" s="21">
        <v>0</v>
      </c>
      <c r="Z428" s="21">
        <v>0</v>
      </c>
      <c r="AA428" s="21">
        <v>0</v>
      </c>
      <c r="AB428" s="21">
        <v>0</v>
      </c>
      <c r="AC428" s="21">
        <f t="shared" si="184"/>
        <v>0</v>
      </c>
      <c r="AD428" s="21">
        <v>1</v>
      </c>
      <c r="AE428" s="21">
        <v>0</v>
      </c>
      <c r="AF428" s="21">
        <v>0</v>
      </c>
      <c r="AG428" s="21">
        <v>0</v>
      </c>
      <c r="AH428" s="21">
        <v>0</v>
      </c>
      <c r="AI428" s="21">
        <f t="shared" si="185"/>
        <v>0</v>
      </c>
      <c r="AK428" s="128">
        <v>0</v>
      </c>
      <c r="AL428">
        <v>0</v>
      </c>
      <c r="AM428">
        <v>0</v>
      </c>
      <c r="AN428">
        <v>1</v>
      </c>
      <c r="AO428" s="21">
        <f t="shared" si="186"/>
        <v>1</v>
      </c>
      <c r="AQ428">
        <v>0</v>
      </c>
      <c r="AR428">
        <v>0</v>
      </c>
      <c r="AS428">
        <v>0</v>
      </c>
      <c r="AT428">
        <v>1</v>
      </c>
      <c r="AU428" s="21">
        <f t="shared" si="181"/>
        <v>1</v>
      </c>
    </row>
    <row r="429" spans="1:47" ht="15" customHeight="1" x14ac:dyDescent="0.2">
      <c r="A429" s="12">
        <v>10</v>
      </c>
      <c r="B429" s="12" t="s">
        <v>557</v>
      </c>
      <c r="C429" s="12" t="s">
        <v>26</v>
      </c>
      <c r="D429" s="12">
        <v>24.09</v>
      </c>
      <c r="E429" s="12">
        <v>2006</v>
      </c>
      <c r="F429" s="15"/>
      <c r="G429" s="15"/>
      <c r="H429" s="15"/>
      <c r="I429" s="15"/>
      <c r="J429" s="15"/>
      <c r="K429" s="15"/>
      <c r="L429" s="21">
        <v>1</v>
      </c>
      <c r="M429" s="21">
        <v>0</v>
      </c>
      <c r="N429" s="21">
        <v>0</v>
      </c>
      <c r="O429" s="21">
        <v>0</v>
      </c>
      <c r="P429" s="21">
        <v>0</v>
      </c>
      <c r="Q429" s="21">
        <f t="shared" si="182"/>
        <v>0</v>
      </c>
      <c r="R429" s="21">
        <v>1</v>
      </c>
      <c r="S429" s="21">
        <v>0</v>
      </c>
      <c r="T429" s="21">
        <v>0</v>
      </c>
      <c r="U429" s="21">
        <v>0</v>
      </c>
      <c r="V429" s="21">
        <v>0</v>
      </c>
      <c r="W429" s="21">
        <f t="shared" si="183"/>
        <v>0</v>
      </c>
      <c r="X429" s="21">
        <v>1</v>
      </c>
      <c r="Y429" s="21">
        <v>0</v>
      </c>
      <c r="Z429" s="21">
        <v>0</v>
      </c>
      <c r="AA429" s="21">
        <v>0</v>
      </c>
      <c r="AB429" s="21">
        <v>0</v>
      </c>
      <c r="AC429" s="21">
        <f t="shared" si="184"/>
        <v>0</v>
      </c>
      <c r="AD429" s="21">
        <v>1</v>
      </c>
      <c r="AE429" s="21">
        <v>0</v>
      </c>
      <c r="AF429" s="21">
        <v>0</v>
      </c>
      <c r="AG429" s="21">
        <v>0</v>
      </c>
      <c r="AH429" s="21">
        <v>0</v>
      </c>
      <c r="AI429" s="21">
        <f t="shared" si="185"/>
        <v>0</v>
      </c>
      <c r="AJ429">
        <v>1</v>
      </c>
      <c r="AK429" s="128">
        <v>0</v>
      </c>
      <c r="AL429">
        <v>0</v>
      </c>
      <c r="AM429">
        <v>0</v>
      </c>
      <c r="AN429">
        <v>0</v>
      </c>
      <c r="AO429" s="21">
        <f t="shared" si="186"/>
        <v>0</v>
      </c>
      <c r="AQ429">
        <v>0</v>
      </c>
      <c r="AR429">
        <v>0</v>
      </c>
      <c r="AS429">
        <v>0</v>
      </c>
      <c r="AT429">
        <v>1</v>
      </c>
      <c r="AU429" s="21">
        <f t="shared" si="181"/>
        <v>1</v>
      </c>
    </row>
    <row r="430" spans="1:47" ht="15" customHeight="1" x14ac:dyDescent="0.2">
      <c r="A430" s="12">
        <v>10</v>
      </c>
      <c r="B430" s="12" t="s">
        <v>558</v>
      </c>
      <c r="C430" s="12" t="s">
        <v>26</v>
      </c>
      <c r="D430" s="12">
        <v>16.02</v>
      </c>
      <c r="E430" s="12">
        <v>2006</v>
      </c>
      <c r="F430" s="15"/>
      <c r="G430" s="15"/>
      <c r="H430" s="15"/>
      <c r="I430" s="15"/>
      <c r="J430" s="15"/>
      <c r="K430" s="15"/>
      <c r="L430" s="21">
        <v>1</v>
      </c>
      <c r="M430" s="21">
        <v>0</v>
      </c>
      <c r="N430" s="21">
        <v>0</v>
      </c>
      <c r="O430" s="21">
        <v>0</v>
      </c>
      <c r="P430" s="21">
        <v>0</v>
      </c>
      <c r="Q430" s="21">
        <f t="shared" si="182"/>
        <v>0</v>
      </c>
      <c r="R430" s="21">
        <v>1</v>
      </c>
      <c r="S430" s="21">
        <v>0</v>
      </c>
      <c r="T430" s="21">
        <v>0</v>
      </c>
      <c r="U430" s="21">
        <v>0</v>
      </c>
      <c r="V430" s="21">
        <v>0</v>
      </c>
      <c r="W430" s="21">
        <f t="shared" si="183"/>
        <v>0</v>
      </c>
      <c r="X430" s="21">
        <v>1</v>
      </c>
      <c r="Y430" s="21">
        <v>0</v>
      </c>
      <c r="Z430" s="21">
        <v>0</v>
      </c>
      <c r="AA430" s="21">
        <v>0</v>
      </c>
      <c r="AB430" s="21">
        <v>0</v>
      </c>
      <c r="AC430" s="21">
        <f t="shared" si="184"/>
        <v>0</v>
      </c>
      <c r="AD430" s="21">
        <v>1</v>
      </c>
      <c r="AE430" s="21">
        <v>0</v>
      </c>
      <c r="AF430" s="21">
        <v>0</v>
      </c>
      <c r="AG430" s="21">
        <v>0</v>
      </c>
      <c r="AH430" s="21">
        <v>0</v>
      </c>
      <c r="AI430" s="21">
        <f t="shared" si="185"/>
        <v>0</v>
      </c>
      <c r="AK430" s="128">
        <v>0</v>
      </c>
      <c r="AL430">
        <v>0</v>
      </c>
      <c r="AM430">
        <v>0</v>
      </c>
      <c r="AN430">
        <v>1</v>
      </c>
      <c r="AO430" s="21">
        <f t="shared" si="186"/>
        <v>1</v>
      </c>
      <c r="AQ430">
        <v>0</v>
      </c>
      <c r="AR430">
        <v>0</v>
      </c>
      <c r="AS430">
        <v>0</v>
      </c>
      <c r="AT430">
        <v>1</v>
      </c>
      <c r="AU430" s="21">
        <f t="shared" si="181"/>
        <v>1</v>
      </c>
    </row>
    <row r="431" spans="1:47" x14ac:dyDescent="0.2">
      <c r="A431" s="131" t="s">
        <v>71</v>
      </c>
      <c r="B431" s="131"/>
      <c r="C431" s="131"/>
      <c r="D431" s="13">
        <f>SUM(D391:D430)</f>
        <v>1123.5900000000001</v>
      </c>
      <c r="E431" s="13">
        <f t="shared" ref="E431:AU431" si="187">SUM(E391:E430)</f>
        <v>80131</v>
      </c>
      <c r="F431" s="13">
        <f t="shared" si="187"/>
        <v>0</v>
      </c>
      <c r="G431" s="13">
        <f t="shared" si="187"/>
        <v>0</v>
      </c>
      <c r="H431" s="13">
        <f t="shared" si="187"/>
        <v>0</v>
      </c>
      <c r="I431" s="13">
        <f t="shared" si="187"/>
        <v>0</v>
      </c>
      <c r="J431" s="13">
        <f t="shared" si="187"/>
        <v>0</v>
      </c>
      <c r="K431" s="13">
        <f t="shared" si="187"/>
        <v>0</v>
      </c>
      <c r="L431" s="23">
        <f>SUM(L391:L430)</f>
        <v>34</v>
      </c>
      <c r="M431" s="13">
        <f t="shared" si="187"/>
        <v>6</v>
      </c>
      <c r="N431" s="13">
        <f t="shared" si="187"/>
        <v>3</v>
      </c>
      <c r="O431" s="13">
        <f t="shared" si="187"/>
        <v>14</v>
      </c>
      <c r="P431" s="13">
        <f t="shared" si="187"/>
        <v>6</v>
      </c>
      <c r="Q431" s="13">
        <f t="shared" si="187"/>
        <v>29</v>
      </c>
      <c r="R431" s="13">
        <f t="shared" si="187"/>
        <v>29</v>
      </c>
      <c r="S431" s="13">
        <f t="shared" si="187"/>
        <v>6</v>
      </c>
      <c r="T431" s="13">
        <f t="shared" si="187"/>
        <v>0</v>
      </c>
      <c r="U431" s="13">
        <f t="shared" si="187"/>
        <v>38</v>
      </c>
      <c r="V431" s="13">
        <f t="shared" si="187"/>
        <v>11</v>
      </c>
      <c r="W431" s="13">
        <f t="shared" si="187"/>
        <v>55</v>
      </c>
      <c r="X431" s="13">
        <f t="shared" si="187"/>
        <v>28</v>
      </c>
      <c r="Y431" s="13">
        <f t="shared" si="187"/>
        <v>12</v>
      </c>
      <c r="Z431" s="13">
        <f t="shared" si="187"/>
        <v>7</v>
      </c>
      <c r="AA431" s="13">
        <f t="shared" si="187"/>
        <v>41</v>
      </c>
      <c r="AB431" s="13">
        <f t="shared" si="187"/>
        <v>12</v>
      </c>
      <c r="AC431" s="13">
        <f t="shared" si="187"/>
        <v>72</v>
      </c>
      <c r="AD431" s="13">
        <f t="shared" si="187"/>
        <v>10</v>
      </c>
      <c r="AE431" s="13">
        <f t="shared" si="187"/>
        <v>7</v>
      </c>
      <c r="AF431" s="13">
        <f t="shared" si="187"/>
        <v>13</v>
      </c>
      <c r="AG431" s="13">
        <f t="shared" si="187"/>
        <v>19</v>
      </c>
      <c r="AH431" s="13">
        <f t="shared" si="187"/>
        <v>22</v>
      </c>
      <c r="AI431" s="13">
        <f t="shared" si="187"/>
        <v>61</v>
      </c>
      <c r="AJ431" s="13">
        <f t="shared" si="187"/>
        <v>1</v>
      </c>
      <c r="AK431" s="13">
        <f t="shared" si="187"/>
        <v>9</v>
      </c>
      <c r="AL431" s="13">
        <f t="shared" si="187"/>
        <v>2</v>
      </c>
      <c r="AM431" s="13">
        <f t="shared" si="187"/>
        <v>14</v>
      </c>
      <c r="AN431" s="13">
        <f t="shared" si="187"/>
        <v>30</v>
      </c>
      <c r="AO431" s="21">
        <f t="shared" si="186"/>
        <v>55</v>
      </c>
      <c r="AP431" s="13">
        <f t="shared" si="187"/>
        <v>4</v>
      </c>
      <c r="AQ431" s="13">
        <f t="shared" si="187"/>
        <v>14</v>
      </c>
      <c r="AR431" s="13">
        <f t="shared" si="187"/>
        <v>15</v>
      </c>
      <c r="AS431" s="13">
        <f t="shared" si="187"/>
        <v>6</v>
      </c>
      <c r="AT431" s="13">
        <f t="shared" si="187"/>
        <v>27</v>
      </c>
      <c r="AU431" s="13">
        <f t="shared" si="187"/>
        <v>62</v>
      </c>
    </row>
    <row r="432" spans="1:47" x14ac:dyDescent="0.2">
      <c r="L432" s="128">
        <f>SUM(L431,L390,L347,L306,L257,L220,L177,L134,L94,L55)</f>
        <v>116</v>
      </c>
      <c r="M432" s="128">
        <f t="shared" ref="M432:AU432" si="188">SUM(M431,M390,M347,M306,M257,M220,M177,M134,M94,M55)</f>
        <v>43</v>
      </c>
      <c r="N432" s="128">
        <f t="shared" si="188"/>
        <v>14</v>
      </c>
      <c r="O432" s="128">
        <f t="shared" si="188"/>
        <v>67</v>
      </c>
      <c r="P432" s="128">
        <f t="shared" si="188"/>
        <v>163</v>
      </c>
      <c r="Q432" s="128">
        <f t="shared" si="188"/>
        <v>287</v>
      </c>
      <c r="R432" s="128">
        <f t="shared" si="188"/>
        <v>153</v>
      </c>
      <c r="S432" s="128">
        <f t="shared" si="188"/>
        <v>81</v>
      </c>
      <c r="T432" s="128">
        <f t="shared" si="188"/>
        <v>19</v>
      </c>
      <c r="U432" s="128">
        <f t="shared" si="188"/>
        <v>100</v>
      </c>
      <c r="V432" s="128">
        <f t="shared" si="188"/>
        <v>159</v>
      </c>
      <c r="W432" s="128">
        <f t="shared" si="188"/>
        <v>359</v>
      </c>
      <c r="X432" s="128">
        <f t="shared" si="188"/>
        <v>218</v>
      </c>
      <c r="Y432" s="128">
        <f t="shared" si="188"/>
        <v>69</v>
      </c>
      <c r="Z432" s="128">
        <f t="shared" si="188"/>
        <v>23</v>
      </c>
      <c r="AA432" s="128">
        <f t="shared" si="188"/>
        <v>108</v>
      </c>
      <c r="AB432" s="128">
        <f t="shared" si="188"/>
        <v>158</v>
      </c>
      <c r="AC432" s="128">
        <f t="shared" si="188"/>
        <v>358</v>
      </c>
      <c r="AD432" s="128">
        <f t="shared" si="188"/>
        <v>125</v>
      </c>
      <c r="AE432" s="128">
        <f t="shared" si="188"/>
        <v>58</v>
      </c>
      <c r="AF432" s="128">
        <f t="shared" si="188"/>
        <v>45</v>
      </c>
      <c r="AG432" s="128">
        <f t="shared" si="188"/>
        <v>130</v>
      </c>
      <c r="AH432" s="128">
        <f t="shared" si="188"/>
        <v>173</v>
      </c>
      <c r="AI432" s="128">
        <f t="shared" si="188"/>
        <v>406</v>
      </c>
      <c r="AJ432" s="128">
        <f t="shared" si="188"/>
        <v>63</v>
      </c>
      <c r="AK432" s="128">
        <f t="shared" si="188"/>
        <v>119</v>
      </c>
      <c r="AL432" s="128">
        <f t="shared" si="188"/>
        <v>59</v>
      </c>
      <c r="AM432" s="128">
        <f t="shared" si="188"/>
        <v>96</v>
      </c>
      <c r="AN432" s="128">
        <f t="shared" si="188"/>
        <v>138</v>
      </c>
      <c r="AO432" s="21">
        <f t="shared" si="186"/>
        <v>412</v>
      </c>
      <c r="AP432" s="128">
        <f t="shared" si="188"/>
        <v>45</v>
      </c>
      <c r="AQ432" s="128">
        <f t="shared" si="188"/>
        <v>157</v>
      </c>
      <c r="AR432" s="128">
        <f t="shared" si="188"/>
        <v>85</v>
      </c>
      <c r="AS432" s="128">
        <f t="shared" si="188"/>
        <v>93</v>
      </c>
      <c r="AT432" s="128">
        <f t="shared" si="188"/>
        <v>176</v>
      </c>
      <c r="AU432" s="128">
        <f t="shared" si="188"/>
        <v>511</v>
      </c>
    </row>
    <row r="433" spans="41:41" x14ac:dyDescent="0.2">
      <c r="AO433" s="21">
        <f t="shared" si="186"/>
        <v>0</v>
      </c>
    </row>
  </sheetData>
  <autoFilter ref="A9:AV433" xr:uid="{00000000-0009-0000-0000-00000E000000}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0ADBA-0864-7B47-B20F-BEF75A4AE5F8}">
  <dimension ref="B2:P517"/>
  <sheetViews>
    <sheetView workbookViewId="0">
      <selection activeCell="G128" sqref="G128"/>
    </sheetView>
  </sheetViews>
  <sheetFormatPr baseColWidth="10" defaultRowHeight="16" x14ac:dyDescent="0.2"/>
  <cols>
    <col min="2" max="4" width="9.1640625" style="26"/>
    <col min="5" max="5" width="16.1640625" style="26" bestFit="1" customWidth="1"/>
    <col min="6" max="6" width="14.6640625" style="26" customWidth="1"/>
    <col min="7" max="7" width="17" style="26" customWidth="1"/>
    <col min="8" max="8" width="12.83203125" style="26" bestFit="1" customWidth="1"/>
    <col min="9" max="9" width="12" style="26" customWidth="1"/>
    <col min="10" max="10" width="12.83203125" style="26" customWidth="1"/>
    <col min="11" max="11" width="12.83203125" style="26" bestFit="1" customWidth="1"/>
    <col min="12" max="12" width="14" style="26" customWidth="1"/>
    <col min="13" max="13" width="12.83203125" style="26" customWidth="1"/>
    <col min="14" max="14" width="15.6640625" style="26" bestFit="1" customWidth="1"/>
    <col min="15" max="15" width="14" style="26" customWidth="1"/>
    <col min="16" max="16" width="21.5" style="26" customWidth="1"/>
  </cols>
  <sheetData>
    <row r="2" spans="2:16" x14ac:dyDescent="0.2">
      <c r="B2" s="24" t="s">
        <v>559</v>
      </c>
      <c r="C2" s="25"/>
      <c r="D2" s="25"/>
      <c r="E2" s="25"/>
      <c r="F2" s="25"/>
      <c r="G2" s="25"/>
      <c r="H2" s="25"/>
      <c r="I2" s="25"/>
    </row>
    <row r="3" spans="2:16" x14ac:dyDescent="0.2">
      <c r="B3" s="25" t="s">
        <v>560</v>
      </c>
      <c r="C3" s="25"/>
      <c r="D3" s="25"/>
      <c r="E3" s="25"/>
      <c r="F3" s="25"/>
      <c r="G3" s="25"/>
      <c r="H3" s="25"/>
      <c r="I3" s="25"/>
    </row>
    <row r="4" spans="2:16" x14ac:dyDescent="0.2">
      <c r="B4" s="25"/>
      <c r="C4" s="25"/>
      <c r="D4" s="25"/>
      <c r="E4" s="25"/>
      <c r="F4" s="25"/>
      <c r="G4" s="25"/>
      <c r="H4" s="25"/>
      <c r="I4" s="25"/>
    </row>
    <row r="5" spans="2:16" x14ac:dyDescent="0.2">
      <c r="B5" s="26" t="s">
        <v>561</v>
      </c>
      <c r="C5" s="25"/>
      <c r="D5" s="25"/>
      <c r="E5" s="25"/>
      <c r="F5" s="25"/>
      <c r="G5" s="25"/>
      <c r="H5" s="25"/>
      <c r="I5" s="25"/>
    </row>
    <row r="6" spans="2:16" x14ac:dyDescent="0.2">
      <c r="B6" s="462" t="s">
        <v>562</v>
      </c>
      <c r="C6" s="453" t="s">
        <v>563</v>
      </c>
      <c r="D6" s="453" t="s">
        <v>564</v>
      </c>
      <c r="E6" s="453" t="s">
        <v>565</v>
      </c>
      <c r="F6" s="456" t="s">
        <v>566</v>
      </c>
      <c r="G6" s="459" t="s">
        <v>567</v>
      </c>
      <c r="H6" s="459"/>
      <c r="I6" s="459"/>
      <c r="J6" s="459"/>
      <c r="K6" s="459"/>
      <c r="L6" s="459"/>
      <c r="M6" s="459"/>
      <c r="N6" s="459"/>
      <c r="O6" s="459"/>
      <c r="P6" s="456" t="s">
        <v>568</v>
      </c>
    </row>
    <row r="7" spans="2:16" x14ac:dyDescent="0.2">
      <c r="B7" s="463"/>
      <c r="C7" s="454"/>
      <c r="D7" s="454"/>
      <c r="E7" s="454"/>
      <c r="F7" s="457"/>
      <c r="G7" s="451" t="s">
        <v>569</v>
      </c>
      <c r="H7" s="451"/>
      <c r="I7" s="451"/>
      <c r="J7" s="451" t="s">
        <v>570</v>
      </c>
      <c r="K7" s="451"/>
      <c r="L7" s="451"/>
      <c r="M7" s="451" t="s">
        <v>571</v>
      </c>
      <c r="N7" s="451"/>
      <c r="O7" s="451"/>
      <c r="P7" s="457"/>
    </row>
    <row r="8" spans="2:16" ht="34" x14ac:dyDescent="0.2">
      <c r="B8" s="464"/>
      <c r="C8" s="455"/>
      <c r="D8" s="455"/>
      <c r="E8" s="455"/>
      <c r="F8" s="458"/>
      <c r="G8" s="27" t="s">
        <v>572</v>
      </c>
      <c r="H8" s="27" t="s">
        <v>573</v>
      </c>
      <c r="I8" s="27" t="s">
        <v>574</v>
      </c>
      <c r="J8" s="27" t="s">
        <v>572</v>
      </c>
      <c r="K8" s="27" t="s">
        <v>573</v>
      </c>
      <c r="L8" s="27" t="s">
        <v>575</v>
      </c>
      <c r="M8" s="27" t="s">
        <v>572</v>
      </c>
      <c r="N8" s="27" t="s">
        <v>573</v>
      </c>
      <c r="O8" s="27" t="s">
        <v>575</v>
      </c>
      <c r="P8" s="458"/>
    </row>
    <row r="9" spans="2:16" x14ac:dyDescent="0.2">
      <c r="B9" s="28" t="s">
        <v>576</v>
      </c>
      <c r="C9" s="29">
        <v>2024</v>
      </c>
      <c r="D9" s="30" t="s">
        <v>37</v>
      </c>
      <c r="E9" s="31">
        <v>23.38</v>
      </c>
      <c r="F9" s="32">
        <v>3214</v>
      </c>
      <c r="G9" s="33"/>
      <c r="H9" s="34"/>
      <c r="I9" s="35">
        <f>IFERROR(H9/G9%,0)</f>
        <v>0</v>
      </c>
      <c r="J9" s="33"/>
      <c r="K9" s="34"/>
      <c r="L9" s="35">
        <f>IFERROR(K9/J9%,0)</f>
        <v>0</v>
      </c>
      <c r="M9" s="34"/>
      <c r="N9" s="34"/>
      <c r="O9" s="35">
        <f>IFERROR(N9/M9%,0)</f>
        <v>0</v>
      </c>
      <c r="P9" s="36"/>
    </row>
    <row r="10" spans="2:16" x14ac:dyDescent="0.2">
      <c r="B10" s="28" t="s">
        <v>576</v>
      </c>
      <c r="C10" s="29">
        <v>2024</v>
      </c>
      <c r="D10" s="30" t="s">
        <v>38</v>
      </c>
      <c r="E10" s="31">
        <v>34.19</v>
      </c>
      <c r="F10" s="32">
        <v>4740</v>
      </c>
      <c r="G10" s="33"/>
      <c r="H10" s="34"/>
      <c r="I10" s="35">
        <f t="shared" ref="I10:I73" si="0">IFERROR(H10/G10%,0)</f>
        <v>0</v>
      </c>
      <c r="J10" s="33"/>
      <c r="K10" s="34"/>
      <c r="L10" s="35">
        <f t="shared" ref="L10:L73" si="1">IFERROR(K10/J10%,0)</f>
        <v>0</v>
      </c>
      <c r="M10" s="34"/>
      <c r="N10" s="34"/>
      <c r="O10" s="35">
        <f t="shared" ref="O10:O73" si="2">IFERROR(N10/M10%,0)</f>
        <v>0</v>
      </c>
      <c r="P10" s="36"/>
    </row>
    <row r="11" spans="2:16" x14ac:dyDescent="0.2">
      <c r="B11" s="28" t="s">
        <v>576</v>
      </c>
      <c r="C11" s="29">
        <v>2024</v>
      </c>
      <c r="D11" s="30" t="s">
        <v>39</v>
      </c>
      <c r="E11" s="31">
        <v>23.26</v>
      </c>
      <c r="F11" s="32">
        <v>2852</v>
      </c>
      <c r="G11" s="33"/>
      <c r="H11" s="34"/>
      <c r="I11" s="35">
        <f t="shared" si="0"/>
        <v>0</v>
      </c>
      <c r="J11" s="33"/>
      <c r="K11" s="34"/>
      <c r="L11" s="35">
        <f t="shared" si="1"/>
        <v>0</v>
      </c>
      <c r="M11" s="34"/>
      <c r="N11" s="34"/>
      <c r="O11" s="35">
        <f t="shared" si="2"/>
        <v>0</v>
      </c>
      <c r="P11" s="36"/>
    </row>
    <row r="12" spans="2:16" x14ac:dyDescent="0.2">
      <c r="B12" s="28" t="s">
        <v>576</v>
      </c>
      <c r="C12" s="29">
        <v>2024</v>
      </c>
      <c r="D12" s="30" t="s">
        <v>40</v>
      </c>
      <c r="E12" s="31">
        <v>23.42</v>
      </c>
      <c r="F12" s="32">
        <v>3153</v>
      </c>
      <c r="G12" s="33"/>
      <c r="H12" s="34"/>
      <c r="I12" s="35">
        <f t="shared" si="0"/>
        <v>0</v>
      </c>
      <c r="J12" s="33"/>
      <c r="K12" s="34"/>
      <c r="L12" s="35">
        <f t="shared" si="1"/>
        <v>0</v>
      </c>
      <c r="M12" s="34"/>
      <c r="N12" s="34"/>
      <c r="O12" s="35">
        <f t="shared" si="2"/>
        <v>0</v>
      </c>
      <c r="P12" s="36"/>
    </row>
    <row r="13" spans="2:16" x14ac:dyDescent="0.2">
      <c r="B13" s="28" t="s">
        <v>576</v>
      </c>
      <c r="C13" s="29">
        <v>2024</v>
      </c>
      <c r="D13" s="30" t="s">
        <v>41</v>
      </c>
      <c r="E13" s="31">
        <v>22.27</v>
      </c>
      <c r="F13" s="32">
        <v>3061</v>
      </c>
      <c r="G13" s="33"/>
      <c r="H13" s="34"/>
      <c r="I13" s="35">
        <f t="shared" si="0"/>
        <v>0</v>
      </c>
      <c r="J13" s="33"/>
      <c r="K13" s="34"/>
      <c r="L13" s="35">
        <f t="shared" si="1"/>
        <v>0</v>
      </c>
      <c r="M13" s="34"/>
      <c r="N13" s="34"/>
      <c r="O13" s="35">
        <f t="shared" si="2"/>
        <v>0</v>
      </c>
      <c r="P13" s="36"/>
    </row>
    <row r="14" spans="2:16" x14ac:dyDescent="0.2">
      <c r="B14" s="28" t="s">
        <v>576</v>
      </c>
      <c r="C14" s="29">
        <v>2024</v>
      </c>
      <c r="D14" s="30" t="s">
        <v>42</v>
      </c>
      <c r="E14" s="31">
        <v>12.5</v>
      </c>
      <c r="F14" s="32">
        <v>1724</v>
      </c>
      <c r="G14" s="33"/>
      <c r="H14" s="34"/>
      <c r="I14" s="35">
        <f t="shared" si="0"/>
        <v>0</v>
      </c>
      <c r="J14" s="33"/>
      <c r="K14" s="34"/>
      <c r="L14" s="35">
        <f t="shared" si="1"/>
        <v>0</v>
      </c>
      <c r="M14" s="34"/>
      <c r="N14" s="34"/>
      <c r="O14" s="35">
        <f t="shared" si="2"/>
        <v>0</v>
      </c>
      <c r="P14" s="36"/>
    </row>
    <row r="15" spans="2:16" x14ac:dyDescent="0.2">
      <c r="B15" s="28" t="s">
        <v>576</v>
      </c>
      <c r="C15" s="29">
        <v>2024</v>
      </c>
      <c r="D15" s="30" t="s">
        <v>43</v>
      </c>
      <c r="E15" s="31">
        <v>8.42</v>
      </c>
      <c r="F15" s="32">
        <v>1024</v>
      </c>
      <c r="G15" s="33"/>
      <c r="H15" s="34"/>
      <c r="I15" s="35">
        <f t="shared" si="0"/>
        <v>0</v>
      </c>
      <c r="J15" s="33"/>
      <c r="K15" s="34"/>
      <c r="L15" s="35">
        <f t="shared" si="1"/>
        <v>0</v>
      </c>
      <c r="M15" s="34"/>
      <c r="N15" s="34"/>
      <c r="O15" s="35">
        <f t="shared" si="2"/>
        <v>0</v>
      </c>
      <c r="P15" s="36"/>
    </row>
    <row r="16" spans="2:16" x14ac:dyDescent="0.2">
      <c r="B16" s="28" t="s">
        <v>576</v>
      </c>
      <c r="C16" s="29">
        <v>2024</v>
      </c>
      <c r="D16" s="30" t="s">
        <v>44</v>
      </c>
      <c r="E16" s="31">
        <v>30.48</v>
      </c>
      <c r="F16" s="32">
        <v>3878</v>
      </c>
      <c r="G16" s="33"/>
      <c r="H16" s="34"/>
      <c r="I16" s="35">
        <f t="shared" si="0"/>
        <v>0</v>
      </c>
      <c r="J16" s="33"/>
      <c r="K16" s="34"/>
      <c r="L16" s="35">
        <f t="shared" si="1"/>
        <v>0</v>
      </c>
      <c r="M16" s="34"/>
      <c r="N16" s="34"/>
      <c r="O16" s="35">
        <f t="shared" si="2"/>
        <v>0</v>
      </c>
      <c r="P16" s="36"/>
    </row>
    <row r="17" spans="2:16" x14ac:dyDescent="0.2">
      <c r="B17" s="28" t="s">
        <v>576</v>
      </c>
      <c r="C17" s="29">
        <v>2024</v>
      </c>
      <c r="D17" s="30" t="s">
        <v>45</v>
      </c>
      <c r="E17" s="31">
        <v>23.7</v>
      </c>
      <c r="F17" s="32">
        <v>2993</v>
      </c>
      <c r="G17" s="33"/>
      <c r="H17" s="34"/>
      <c r="I17" s="35">
        <f t="shared" si="0"/>
        <v>0</v>
      </c>
      <c r="J17" s="33"/>
      <c r="K17" s="34"/>
      <c r="L17" s="35">
        <f t="shared" si="1"/>
        <v>0</v>
      </c>
      <c r="M17" s="34"/>
      <c r="N17" s="34"/>
      <c r="O17" s="35">
        <f t="shared" si="2"/>
        <v>0</v>
      </c>
      <c r="P17" s="36"/>
    </row>
    <row r="18" spans="2:16" x14ac:dyDescent="0.2">
      <c r="B18" s="28" t="s">
        <v>576</v>
      </c>
      <c r="C18" s="29">
        <v>2024</v>
      </c>
      <c r="D18" s="30" t="s">
        <v>46</v>
      </c>
      <c r="E18" s="31">
        <v>23.61</v>
      </c>
      <c r="F18" s="32">
        <v>2815</v>
      </c>
      <c r="G18" s="33"/>
      <c r="H18" s="34"/>
      <c r="I18" s="35">
        <f t="shared" si="0"/>
        <v>0</v>
      </c>
      <c r="J18" s="33"/>
      <c r="K18" s="34"/>
      <c r="L18" s="35">
        <f t="shared" si="1"/>
        <v>0</v>
      </c>
      <c r="M18" s="34"/>
      <c r="N18" s="34"/>
      <c r="O18" s="35">
        <f t="shared" si="2"/>
        <v>0</v>
      </c>
      <c r="P18" s="36"/>
    </row>
    <row r="19" spans="2:16" x14ac:dyDescent="0.2">
      <c r="B19" s="28" t="s">
        <v>576</v>
      </c>
      <c r="C19" s="29">
        <v>2024</v>
      </c>
      <c r="D19" s="30" t="s">
        <v>47</v>
      </c>
      <c r="E19" s="31">
        <v>23.48</v>
      </c>
      <c r="F19" s="32">
        <v>2849</v>
      </c>
      <c r="G19" s="33"/>
      <c r="H19" s="34"/>
      <c r="I19" s="35">
        <f t="shared" si="0"/>
        <v>0</v>
      </c>
      <c r="J19" s="33"/>
      <c r="K19" s="34"/>
      <c r="L19" s="35">
        <f t="shared" si="1"/>
        <v>0</v>
      </c>
      <c r="M19" s="34"/>
      <c r="N19" s="34"/>
      <c r="O19" s="35">
        <f t="shared" si="2"/>
        <v>0</v>
      </c>
      <c r="P19" s="36"/>
    </row>
    <row r="20" spans="2:16" x14ac:dyDescent="0.2">
      <c r="B20" s="28" t="s">
        <v>576</v>
      </c>
      <c r="C20" s="29">
        <v>2026</v>
      </c>
      <c r="D20" s="30" t="s">
        <v>62</v>
      </c>
      <c r="E20" s="31">
        <v>17.47</v>
      </c>
      <c r="F20" s="32">
        <v>2212</v>
      </c>
      <c r="G20" s="33"/>
      <c r="H20" s="34"/>
      <c r="I20" s="35">
        <f t="shared" si="0"/>
        <v>0</v>
      </c>
      <c r="J20" s="33"/>
      <c r="K20" s="34"/>
      <c r="L20" s="35">
        <f t="shared" si="1"/>
        <v>0</v>
      </c>
      <c r="M20" s="34"/>
      <c r="N20" s="34"/>
      <c r="O20" s="35">
        <f t="shared" si="2"/>
        <v>0</v>
      </c>
      <c r="P20" s="36"/>
    </row>
    <row r="21" spans="2:16" x14ac:dyDescent="0.2">
      <c r="B21" s="28" t="s">
        <v>576</v>
      </c>
      <c r="C21" s="29">
        <v>2026</v>
      </c>
      <c r="D21" s="30" t="s">
        <v>48</v>
      </c>
      <c r="E21" s="31">
        <v>5.57</v>
      </c>
      <c r="F21" s="32">
        <v>794</v>
      </c>
      <c r="G21" s="33"/>
      <c r="H21" s="34"/>
      <c r="I21" s="35">
        <f t="shared" si="0"/>
        <v>0</v>
      </c>
      <c r="J21" s="33"/>
      <c r="K21" s="34"/>
      <c r="L21" s="35">
        <f t="shared" si="1"/>
        <v>0</v>
      </c>
      <c r="M21" s="34"/>
      <c r="N21" s="34"/>
      <c r="O21" s="35">
        <f t="shared" si="2"/>
        <v>0</v>
      </c>
      <c r="P21" s="36"/>
    </row>
    <row r="22" spans="2:16" x14ac:dyDescent="0.2">
      <c r="B22" s="28" t="s">
        <v>576</v>
      </c>
      <c r="C22" s="29">
        <v>2026</v>
      </c>
      <c r="D22" s="30" t="s">
        <v>63</v>
      </c>
      <c r="E22" s="31">
        <v>48.83</v>
      </c>
      <c r="F22" s="32">
        <v>7167</v>
      </c>
      <c r="G22" s="33"/>
      <c r="H22" s="34"/>
      <c r="I22" s="35">
        <f t="shared" si="0"/>
        <v>0</v>
      </c>
      <c r="J22" s="33"/>
      <c r="K22" s="34"/>
      <c r="L22" s="35">
        <f t="shared" si="1"/>
        <v>0</v>
      </c>
      <c r="M22" s="34"/>
      <c r="N22" s="34"/>
      <c r="O22" s="35">
        <f t="shared" si="2"/>
        <v>0</v>
      </c>
      <c r="P22" s="36"/>
    </row>
    <row r="23" spans="2:16" x14ac:dyDescent="0.2">
      <c r="B23" s="28" t="s">
        <v>576</v>
      </c>
      <c r="C23" s="29">
        <v>2026</v>
      </c>
      <c r="D23" s="30" t="s">
        <v>64</v>
      </c>
      <c r="E23" s="31">
        <v>28.89</v>
      </c>
      <c r="F23" s="32">
        <v>3834</v>
      </c>
      <c r="G23" s="33"/>
      <c r="H23" s="34"/>
      <c r="I23" s="35">
        <f t="shared" si="0"/>
        <v>0</v>
      </c>
      <c r="J23" s="33"/>
      <c r="K23" s="34"/>
      <c r="L23" s="35">
        <f t="shared" si="1"/>
        <v>0</v>
      </c>
      <c r="M23" s="34"/>
      <c r="N23" s="34"/>
      <c r="O23" s="35">
        <f t="shared" si="2"/>
        <v>0</v>
      </c>
      <c r="P23" s="36"/>
    </row>
    <row r="24" spans="2:16" x14ac:dyDescent="0.2">
      <c r="B24" s="28" t="s">
        <v>576</v>
      </c>
      <c r="C24" s="29">
        <v>2026</v>
      </c>
      <c r="D24" s="30" t="s">
        <v>65</v>
      </c>
      <c r="E24" s="31">
        <v>28.34</v>
      </c>
      <c r="F24" s="32">
        <v>3635</v>
      </c>
      <c r="G24" s="33"/>
      <c r="H24" s="34"/>
      <c r="I24" s="35">
        <f t="shared" si="0"/>
        <v>0</v>
      </c>
      <c r="J24" s="33"/>
      <c r="K24" s="34"/>
      <c r="L24" s="35">
        <f t="shared" si="1"/>
        <v>0</v>
      </c>
      <c r="M24" s="34"/>
      <c r="N24" s="34"/>
      <c r="O24" s="35">
        <f t="shared" si="2"/>
        <v>0</v>
      </c>
      <c r="P24" s="36"/>
    </row>
    <row r="25" spans="2:16" x14ac:dyDescent="0.2">
      <c r="B25" s="28" t="s">
        <v>576</v>
      </c>
      <c r="C25" s="29">
        <v>2026</v>
      </c>
      <c r="D25" s="30" t="s">
        <v>66</v>
      </c>
      <c r="E25" s="31">
        <v>24.73</v>
      </c>
      <c r="F25" s="32">
        <v>3183</v>
      </c>
      <c r="G25" s="33"/>
      <c r="H25" s="34"/>
      <c r="I25" s="35">
        <f t="shared" si="0"/>
        <v>0</v>
      </c>
      <c r="J25" s="33"/>
      <c r="K25" s="34"/>
      <c r="L25" s="35">
        <f t="shared" si="1"/>
        <v>0</v>
      </c>
      <c r="M25" s="34"/>
      <c r="N25" s="34"/>
      <c r="O25" s="35">
        <f t="shared" si="2"/>
        <v>0</v>
      </c>
      <c r="P25" s="36"/>
    </row>
    <row r="26" spans="2:16" x14ac:dyDescent="0.2">
      <c r="B26" s="28" t="s">
        <v>576</v>
      </c>
      <c r="C26" s="29">
        <v>2026</v>
      </c>
      <c r="D26" s="30" t="s">
        <v>67</v>
      </c>
      <c r="E26" s="31">
        <v>14.35</v>
      </c>
      <c r="F26" s="32">
        <v>1624</v>
      </c>
      <c r="G26" s="33"/>
      <c r="H26" s="34"/>
      <c r="I26" s="35">
        <f t="shared" si="0"/>
        <v>0</v>
      </c>
      <c r="J26" s="33"/>
      <c r="K26" s="34"/>
      <c r="L26" s="35">
        <f t="shared" si="1"/>
        <v>0</v>
      </c>
      <c r="M26" s="34"/>
      <c r="N26" s="34"/>
      <c r="O26" s="35">
        <f t="shared" si="2"/>
        <v>0</v>
      </c>
      <c r="P26" s="36"/>
    </row>
    <row r="27" spans="2:16" x14ac:dyDescent="0.2">
      <c r="B27" s="28" t="s">
        <v>576</v>
      </c>
      <c r="C27" s="29">
        <v>2026</v>
      </c>
      <c r="D27" s="30" t="s">
        <v>68</v>
      </c>
      <c r="E27" s="31">
        <v>38.29</v>
      </c>
      <c r="F27" s="32">
        <v>5614</v>
      </c>
      <c r="G27" s="33"/>
      <c r="H27" s="34"/>
      <c r="I27" s="35">
        <f t="shared" si="0"/>
        <v>0</v>
      </c>
      <c r="J27" s="33"/>
      <c r="K27" s="34"/>
      <c r="L27" s="35">
        <f t="shared" si="1"/>
        <v>0</v>
      </c>
      <c r="M27" s="34"/>
      <c r="N27" s="34"/>
      <c r="O27" s="35">
        <f t="shared" si="2"/>
        <v>0</v>
      </c>
      <c r="P27" s="36"/>
    </row>
    <row r="28" spans="2:16" x14ac:dyDescent="0.2">
      <c r="B28" s="28" t="s">
        <v>576</v>
      </c>
      <c r="C28" s="29">
        <v>2026</v>
      </c>
      <c r="D28" s="30" t="s">
        <v>69</v>
      </c>
      <c r="E28" s="31">
        <v>22.95</v>
      </c>
      <c r="F28" s="32">
        <v>3106</v>
      </c>
      <c r="G28" s="33"/>
      <c r="H28" s="34"/>
      <c r="I28" s="35">
        <f t="shared" si="0"/>
        <v>0</v>
      </c>
      <c r="J28" s="33"/>
      <c r="K28" s="34"/>
      <c r="L28" s="35">
        <f t="shared" si="1"/>
        <v>0</v>
      </c>
      <c r="M28" s="34"/>
      <c r="N28" s="34"/>
      <c r="O28" s="35">
        <f t="shared" si="2"/>
        <v>0</v>
      </c>
      <c r="P28" s="36"/>
    </row>
    <row r="29" spans="2:16" x14ac:dyDescent="0.2">
      <c r="B29" s="28" t="s">
        <v>576</v>
      </c>
      <c r="C29" s="29">
        <v>2026</v>
      </c>
      <c r="D29" s="30" t="s">
        <v>70</v>
      </c>
      <c r="E29" s="31">
        <v>10.119999999999999</v>
      </c>
      <c r="F29" s="32">
        <v>1318</v>
      </c>
      <c r="G29" s="33"/>
      <c r="H29" s="34"/>
      <c r="I29" s="35">
        <f t="shared" si="0"/>
        <v>0</v>
      </c>
      <c r="J29" s="33"/>
      <c r="K29" s="34"/>
      <c r="L29" s="35">
        <f t="shared" si="1"/>
        <v>0</v>
      </c>
      <c r="M29" s="34"/>
      <c r="N29" s="34"/>
      <c r="O29" s="35">
        <f t="shared" si="2"/>
        <v>0</v>
      </c>
      <c r="P29" s="36"/>
    </row>
    <row r="30" spans="2:16" x14ac:dyDescent="0.2">
      <c r="B30" s="28" t="s">
        <v>576</v>
      </c>
      <c r="C30" s="29">
        <v>2025</v>
      </c>
      <c r="D30" s="30" t="s">
        <v>50</v>
      </c>
      <c r="E30" s="31">
        <v>23.19</v>
      </c>
      <c r="F30" s="32">
        <v>2915</v>
      </c>
      <c r="G30" s="33"/>
      <c r="H30" s="34"/>
      <c r="I30" s="35">
        <f t="shared" si="0"/>
        <v>0</v>
      </c>
      <c r="J30" s="33"/>
      <c r="K30" s="34"/>
      <c r="L30" s="35">
        <f t="shared" si="1"/>
        <v>0</v>
      </c>
      <c r="M30" s="34"/>
      <c r="N30" s="34"/>
      <c r="O30" s="35">
        <f t="shared" si="2"/>
        <v>0</v>
      </c>
      <c r="P30" s="36"/>
    </row>
    <row r="31" spans="2:16" x14ac:dyDescent="0.2">
      <c r="B31" s="28" t="s">
        <v>576</v>
      </c>
      <c r="C31" s="29">
        <v>2025</v>
      </c>
      <c r="D31" s="30" t="s">
        <v>51</v>
      </c>
      <c r="E31" s="31">
        <v>11.87</v>
      </c>
      <c r="F31" s="32">
        <v>1386</v>
      </c>
      <c r="G31" s="33"/>
      <c r="H31" s="34"/>
      <c r="I31" s="35">
        <f t="shared" si="0"/>
        <v>0</v>
      </c>
      <c r="J31" s="33"/>
      <c r="K31" s="34"/>
      <c r="L31" s="35">
        <f t="shared" si="1"/>
        <v>0</v>
      </c>
      <c r="M31" s="34"/>
      <c r="N31" s="34"/>
      <c r="O31" s="35">
        <f t="shared" si="2"/>
        <v>0</v>
      </c>
      <c r="P31" s="36"/>
    </row>
    <row r="32" spans="2:16" x14ac:dyDescent="0.2">
      <c r="B32" s="28" t="s">
        <v>576</v>
      </c>
      <c r="C32" s="29">
        <v>2025</v>
      </c>
      <c r="D32" s="30" t="s">
        <v>53</v>
      </c>
      <c r="E32" s="31">
        <v>23.47</v>
      </c>
      <c r="F32" s="32">
        <v>3004</v>
      </c>
      <c r="G32" s="33"/>
      <c r="H32" s="34"/>
      <c r="I32" s="35">
        <f t="shared" si="0"/>
        <v>0</v>
      </c>
      <c r="J32" s="33"/>
      <c r="K32" s="34"/>
      <c r="L32" s="35">
        <f t="shared" si="1"/>
        <v>0</v>
      </c>
      <c r="M32" s="34"/>
      <c r="N32" s="34"/>
      <c r="O32" s="35">
        <f t="shared" si="2"/>
        <v>0</v>
      </c>
      <c r="P32" s="36"/>
    </row>
    <row r="33" spans="2:16" x14ac:dyDescent="0.2">
      <c r="B33" s="28" t="s">
        <v>576</v>
      </c>
      <c r="C33" s="29">
        <v>2025</v>
      </c>
      <c r="D33" s="30" t="s">
        <v>54</v>
      </c>
      <c r="E33" s="31">
        <v>25.26</v>
      </c>
      <c r="F33" s="32">
        <v>3590</v>
      </c>
      <c r="G33" s="33"/>
      <c r="H33" s="34"/>
      <c r="I33" s="35">
        <f t="shared" si="0"/>
        <v>0</v>
      </c>
      <c r="J33" s="33"/>
      <c r="K33" s="34"/>
      <c r="L33" s="35">
        <f t="shared" si="1"/>
        <v>0</v>
      </c>
      <c r="M33" s="34"/>
      <c r="N33" s="34"/>
      <c r="O33" s="35">
        <f t="shared" si="2"/>
        <v>0</v>
      </c>
      <c r="P33" s="36"/>
    </row>
    <row r="34" spans="2:16" x14ac:dyDescent="0.2">
      <c r="B34" s="28" t="s">
        <v>576</v>
      </c>
      <c r="C34" s="29">
        <v>2025</v>
      </c>
      <c r="D34" s="30" t="s">
        <v>55</v>
      </c>
      <c r="E34" s="31">
        <v>21.6</v>
      </c>
      <c r="F34" s="32">
        <v>2683</v>
      </c>
      <c r="G34" s="33"/>
      <c r="H34" s="34"/>
      <c r="I34" s="35">
        <f t="shared" si="0"/>
        <v>0</v>
      </c>
      <c r="J34" s="33"/>
      <c r="K34" s="34"/>
      <c r="L34" s="35">
        <f t="shared" si="1"/>
        <v>0</v>
      </c>
      <c r="M34" s="34"/>
      <c r="N34" s="34"/>
      <c r="O34" s="35">
        <f t="shared" si="2"/>
        <v>0</v>
      </c>
      <c r="P34" s="36"/>
    </row>
    <row r="35" spans="2:16" x14ac:dyDescent="0.2">
      <c r="B35" s="28" t="s">
        <v>576</v>
      </c>
      <c r="C35" s="29">
        <v>2025</v>
      </c>
      <c r="D35" s="30" t="s">
        <v>56</v>
      </c>
      <c r="E35" s="31">
        <v>8.25</v>
      </c>
      <c r="F35" s="32">
        <v>936</v>
      </c>
      <c r="G35" s="33"/>
      <c r="H35" s="34"/>
      <c r="I35" s="35">
        <f t="shared" si="0"/>
        <v>0</v>
      </c>
      <c r="J35" s="33"/>
      <c r="K35" s="34"/>
      <c r="L35" s="35">
        <f t="shared" si="1"/>
        <v>0</v>
      </c>
      <c r="M35" s="34"/>
      <c r="N35" s="34"/>
      <c r="O35" s="35">
        <f t="shared" si="2"/>
        <v>0</v>
      </c>
      <c r="P35" s="36"/>
    </row>
    <row r="36" spans="2:16" x14ac:dyDescent="0.2">
      <c r="B36" s="28" t="s">
        <v>576</v>
      </c>
      <c r="C36" s="29">
        <v>2025</v>
      </c>
      <c r="D36" s="30" t="s">
        <v>58</v>
      </c>
      <c r="E36" s="31">
        <v>25.02</v>
      </c>
      <c r="F36" s="32">
        <v>3019</v>
      </c>
      <c r="G36" s="33"/>
      <c r="H36" s="34"/>
      <c r="I36" s="35">
        <f t="shared" si="0"/>
        <v>0</v>
      </c>
      <c r="J36" s="33"/>
      <c r="K36" s="34"/>
      <c r="L36" s="35">
        <f t="shared" si="1"/>
        <v>0</v>
      </c>
      <c r="M36" s="34"/>
      <c r="N36" s="34"/>
      <c r="O36" s="35">
        <f t="shared" si="2"/>
        <v>0</v>
      </c>
      <c r="P36" s="36"/>
    </row>
    <row r="37" spans="2:16" x14ac:dyDescent="0.2">
      <c r="B37" s="28" t="s">
        <v>576</v>
      </c>
      <c r="C37" s="29">
        <v>2025</v>
      </c>
      <c r="D37" s="30" t="s">
        <v>59</v>
      </c>
      <c r="E37" s="31">
        <v>21.24</v>
      </c>
      <c r="F37" s="32">
        <v>2863</v>
      </c>
      <c r="G37" s="33"/>
      <c r="H37" s="34"/>
      <c r="I37" s="35">
        <f t="shared" si="0"/>
        <v>0</v>
      </c>
      <c r="J37" s="33"/>
      <c r="K37" s="34"/>
      <c r="L37" s="35">
        <f t="shared" si="1"/>
        <v>0</v>
      </c>
      <c r="M37" s="34"/>
      <c r="N37" s="34"/>
      <c r="O37" s="35">
        <f t="shared" si="2"/>
        <v>0</v>
      </c>
      <c r="P37" s="36"/>
    </row>
    <row r="38" spans="2:16" x14ac:dyDescent="0.2">
      <c r="B38" s="28" t="s">
        <v>576</v>
      </c>
      <c r="C38" s="29">
        <v>2025</v>
      </c>
      <c r="D38" s="30" t="s">
        <v>60</v>
      </c>
      <c r="E38" s="31">
        <v>22.69</v>
      </c>
      <c r="F38" s="32">
        <v>2972</v>
      </c>
      <c r="G38" s="33"/>
      <c r="H38" s="34"/>
      <c r="I38" s="35">
        <f t="shared" si="0"/>
        <v>0</v>
      </c>
      <c r="J38" s="33"/>
      <c r="K38" s="34"/>
      <c r="L38" s="35">
        <f t="shared" si="1"/>
        <v>0</v>
      </c>
      <c r="M38" s="34"/>
      <c r="N38" s="34"/>
      <c r="O38" s="35">
        <f t="shared" si="2"/>
        <v>0</v>
      </c>
      <c r="P38" s="36"/>
    </row>
    <row r="39" spans="2:16" x14ac:dyDescent="0.2">
      <c r="B39" s="28" t="s">
        <v>576</v>
      </c>
      <c r="C39" s="29">
        <v>2025</v>
      </c>
      <c r="D39" s="30" t="s">
        <v>61</v>
      </c>
      <c r="E39" s="31">
        <v>24.24</v>
      </c>
      <c r="F39" s="32">
        <v>3136</v>
      </c>
      <c r="G39" s="33"/>
      <c r="H39" s="34"/>
      <c r="I39" s="35">
        <f t="shared" si="0"/>
        <v>0</v>
      </c>
      <c r="J39" s="33"/>
      <c r="K39" s="34"/>
      <c r="L39" s="35">
        <f t="shared" si="1"/>
        <v>0</v>
      </c>
      <c r="M39" s="34"/>
      <c r="N39" s="34"/>
      <c r="O39" s="35">
        <f t="shared" si="2"/>
        <v>0</v>
      </c>
      <c r="P39" s="36"/>
    </row>
    <row r="40" spans="2:16" x14ac:dyDescent="0.2">
      <c r="B40" s="28" t="s">
        <v>576</v>
      </c>
      <c r="C40" s="29">
        <v>1997</v>
      </c>
      <c r="D40" s="30" t="s">
        <v>25</v>
      </c>
      <c r="E40" s="31">
        <v>20.149999999999999</v>
      </c>
      <c r="F40" s="32">
        <v>2633</v>
      </c>
      <c r="G40" s="33"/>
      <c r="H40" s="34"/>
      <c r="I40" s="35">
        <f t="shared" si="0"/>
        <v>0</v>
      </c>
      <c r="J40" s="33"/>
      <c r="K40" s="34"/>
      <c r="L40" s="35">
        <f t="shared" si="1"/>
        <v>0</v>
      </c>
      <c r="M40" s="34"/>
      <c r="N40" s="34"/>
      <c r="O40" s="35">
        <f t="shared" si="2"/>
        <v>0</v>
      </c>
      <c r="P40" s="36"/>
    </row>
    <row r="41" spans="2:16" x14ac:dyDescent="0.2">
      <c r="B41" s="28" t="s">
        <v>576</v>
      </c>
      <c r="C41" s="29">
        <v>1997</v>
      </c>
      <c r="D41" s="30" t="s">
        <v>27</v>
      </c>
      <c r="E41" s="31">
        <v>20.65</v>
      </c>
      <c r="F41" s="32">
        <v>2893</v>
      </c>
      <c r="G41" s="33"/>
      <c r="H41" s="34"/>
      <c r="I41" s="35">
        <f t="shared" si="0"/>
        <v>0</v>
      </c>
      <c r="J41" s="33"/>
      <c r="K41" s="34"/>
      <c r="L41" s="35">
        <f t="shared" si="1"/>
        <v>0</v>
      </c>
      <c r="M41" s="34"/>
      <c r="N41" s="34"/>
      <c r="O41" s="35">
        <f t="shared" si="2"/>
        <v>0</v>
      </c>
      <c r="P41" s="36"/>
    </row>
    <row r="42" spans="2:16" x14ac:dyDescent="0.2">
      <c r="B42" s="28" t="s">
        <v>576</v>
      </c>
      <c r="C42" s="29">
        <v>1997</v>
      </c>
      <c r="D42" s="30" t="s">
        <v>28</v>
      </c>
      <c r="E42" s="31">
        <v>23.8</v>
      </c>
      <c r="F42" s="32">
        <v>3481</v>
      </c>
      <c r="G42" s="33"/>
      <c r="H42" s="34"/>
      <c r="I42" s="35">
        <f t="shared" si="0"/>
        <v>0</v>
      </c>
      <c r="J42" s="33"/>
      <c r="K42" s="34"/>
      <c r="L42" s="35">
        <f t="shared" si="1"/>
        <v>0</v>
      </c>
      <c r="M42" s="34"/>
      <c r="N42" s="34"/>
      <c r="O42" s="35">
        <f t="shared" si="2"/>
        <v>0</v>
      </c>
      <c r="P42" s="36"/>
    </row>
    <row r="43" spans="2:16" x14ac:dyDescent="0.2">
      <c r="B43" s="28" t="s">
        <v>576</v>
      </c>
      <c r="C43" s="29">
        <v>2025</v>
      </c>
      <c r="D43" s="30" t="s">
        <v>49</v>
      </c>
      <c r="E43" s="31">
        <v>27.24</v>
      </c>
      <c r="F43" s="32">
        <v>3663</v>
      </c>
      <c r="G43" s="33"/>
      <c r="H43" s="34"/>
      <c r="I43" s="35">
        <f t="shared" si="0"/>
        <v>0</v>
      </c>
      <c r="J43" s="33"/>
      <c r="K43" s="34"/>
      <c r="L43" s="35">
        <f t="shared" si="1"/>
        <v>0</v>
      </c>
      <c r="M43" s="34"/>
      <c r="N43" s="34"/>
      <c r="O43" s="35">
        <f t="shared" si="2"/>
        <v>0</v>
      </c>
      <c r="P43" s="36"/>
    </row>
    <row r="44" spans="2:16" x14ac:dyDescent="0.2">
      <c r="B44" s="28" t="s">
        <v>576</v>
      </c>
      <c r="C44" s="29">
        <v>2025</v>
      </c>
      <c r="D44" s="30" t="s">
        <v>52</v>
      </c>
      <c r="E44" s="31">
        <v>29.15</v>
      </c>
      <c r="F44" s="32">
        <v>3824</v>
      </c>
      <c r="G44" s="33">
        <v>291.5</v>
      </c>
      <c r="H44" s="34">
        <v>285</v>
      </c>
      <c r="I44" s="35">
        <f t="shared" si="0"/>
        <v>97.770154373927951</v>
      </c>
      <c r="J44" s="33"/>
      <c r="K44" s="34"/>
      <c r="L44" s="35">
        <f t="shared" si="1"/>
        <v>0</v>
      </c>
      <c r="M44" s="34"/>
      <c r="N44" s="34"/>
      <c r="O44" s="35">
        <f t="shared" si="2"/>
        <v>0</v>
      </c>
      <c r="P44" s="36"/>
    </row>
    <row r="45" spans="2:16" x14ac:dyDescent="0.2">
      <c r="B45" s="28" t="s">
        <v>576</v>
      </c>
      <c r="C45" s="29">
        <v>2025</v>
      </c>
      <c r="D45" s="30" t="s">
        <v>57</v>
      </c>
      <c r="E45" s="31">
        <v>30.37</v>
      </c>
      <c r="F45" s="32">
        <v>3962</v>
      </c>
      <c r="G45" s="33">
        <v>303.7</v>
      </c>
      <c r="H45" s="34">
        <v>290</v>
      </c>
      <c r="I45" s="35">
        <f t="shared" si="0"/>
        <v>95.488969377675346</v>
      </c>
      <c r="J45" s="33"/>
      <c r="K45" s="34"/>
      <c r="L45" s="35">
        <f t="shared" si="1"/>
        <v>0</v>
      </c>
      <c r="M45" s="34"/>
      <c r="N45" s="34"/>
      <c r="O45" s="35">
        <f t="shared" si="2"/>
        <v>0</v>
      </c>
      <c r="P45" s="36"/>
    </row>
    <row r="46" spans="2:16" x14ac:dyDescent="0.2">
      <c r="B46" s="28" t="s">
        <v>576</v>
      </c>
      <c r="C46" s="29">
        <v>2021</v>
      </c>
      <c r="D46" s="30" t="s">
        <v>29</v>
      </c>
      <c r="E46" s="31">
        <v>27.64</v>
      </c>
      <c r="F46" s="32">
        <v>3760</v>
      </c>
      <c r="G46" s="33">
        <v>276.39999999999998</v>
      </c>
      <c r="H46" s="34">
        <v>276.39999999999998</v>
      </c>
      <c r="I46" s="35">
        <f t="shared" si="0"/>
        <v>100</v>
      </c>
      <c r="J46" s="33"/>
      <c r="K46" s="34"/>
      <c r="L46" s="35">
        <f t="shared" si="1"/>
        <v>0</v>
      </c>
      <c r="M46" s="34"/>
      <c r="N46" s="34"/>
      <c r="O46" s="35">
        <f t="shared" si="2"/>
        <v>0</v>
      </c>
      <c r="P46" s="36"/>
    </row>
    <row r="47" spans="2:16" x14ac:dyDescent="0.2">
      <c r="B47" s="28" t="s">
        <v>576</v>
      </c>
      <c r="C47" s="29">
        <v>2021</v>
      </c>
      <c r="D47" s="30" t="s">
        <v>30</v>
      </c>
      <c r="E47" s="31">
        <v>24.01</v>
      </c>
      <c r="F47" s="32">
        <v>3265</v>
      </c>
      <c r="G47" s="33">
        <v>240.1</v>
      </c>
      <c r="H47" s="34">
        <v>240.1</v>
      </c>
      <c r="I47" s="35">
        <f t="shared" si="0"/>
        <v>100</v>
      </c>
      <c r="J47" s="33"/>
      <c r="K47" s="34"/>
      <c r="L47" s="35">
        <f t="shared" si="1"/>
        <v>0</v>
      </c>
      <c r="M47" s="34"/>
      <c r="N47" s="34"/>
      <c r="O47" s="35">
        <f t="shared" si="2"/>
        <v>0</v>
      </c>
      <c r="P47" s="36"/>
    </row>
    <row r="48" spans="2:16" x14ac:dyDescent="0.2">
      <c r="B48" s="28" t="s">
        <v>576</v>
      </c>
      <c r="C48" s="29">
        <v>2021</v>
      </c>
      <c r="D48" s="30" t="s">
        <v>31</v>
      </c>
      <c r="E48" s="31">
        <v>24</v>
      </c>
      <c r="F48" s="32">
        <v>3265</v>
      </c>
      <c r="G48" s="33">
        <v>240</v>
      </c>
      <c r="H48" s="34">
        <v>240</v>
      </c>
      <c r="I48" s="35">
        <f t="shared" si="0"/>
        <v>100</v>
      </c>
      <c r="J48" s="33"/>
      <c r="K48" s="34"/>
      <c r="L48" s="35">
        <f t="shared" si="1"/>
        <v>0</v>
      </c>
      <c r="M48" s="34"/>
      <c r="N48" s="34"/>
      <c r="O48" s="35">
        <f t="shared" si="2"/>
        <v>0</v>
      </c>
      <c r="P48" s="36"/>
    </row>
    <row r="49" spans="2:16" x14ac:dyDescent="0.2">
      <c r="B49" s="28" t="s">
        <v>576</v>
      </c>
      <c r="C49" s="29">
        <v>2021</v>
      </c>
      <c r="D49" s="30" t="s">
        <v>32</v>
      </c>
      <c r="E49" s="31">
        <v>24.9</v>
      </c>
      <c r="F49" s="32">
        <v>3387</v>
      </c>
      <c r="G49" s="33">
        <v>249</v>
      </c>
      <c r="H49" s="34">
        <v>235</v>
      </c>
      <c r="I49" s="35">
        <f t="shared" si="0"/>
        <v>94.37751004016063</v>
      </c>
      <c r="J49" s="33"/>
      <c r="K49" s="34"/>
      <c r="L49" s="35">
        <f t="shared" si="1"/>
        <v>0</v>
      </c>
      <c r="M49" s="34"/>
      <c r="N49" s="34"/>
      <c r="O49" s="35">
        <f t="shared" si="2"/>
        <v>0</v>
      </c>
      <c r="P49" s="36"/>
    </row>
    <row r="50" spans="2:16" x14ac:dyDescent="0.2">
      <c r="B50" s="28" t="s">
        <v>576</v>
      </c>
      <c r="C50" s="29">
        <v>2021</v>
      </c>
      <c r="D50" s="30" t="s">
        <v>33</v>
      </c>
      <c r="E50" s="31">
        <v>27.79</v>
      </c>
      <c r="F50" s="32">
        <v>3780</v>
      </c>
      <c r="G50" s="33">
        <v>277.89999999999998</v>
      </c>
      <c r="H50" s="34">
        <v>277.89999999999998</v>
      </c>
      <c r="I50" s="35">
        <f t="shared" si="0"/>
        <v>100</v>
      </c>
      <c r="J50" s="33"/>
      <c r="K50" s="34"/>
      <c r="L50" s="35">
        <f t="shared" si="1"/>
        <v>0</v>
      </c>
      <c r="M50" s="34"/>
      <c r="N50" s="34"/>
      <c r="O50" s="35">
        <f t="shared" si="2"/>
        <v>0</v>
      </c>
      <c r="P50" s="36"/>
    </row>
    <row r="51" spans="2:16" x14ac:dyDescent="0.2">
      <c r="B51" s="28" t="s">
        <v>576</v>
      </c>
      <c r="C51" s="29">
        <v>2021</v>
      </c>
      <c r="D51" s="30" t="s">
        <v>34</v>
      </c>
      <c r="E51" s="31">
        <v>23.54</v>
      </c>
      <c r="F51" s="32">
        <v>3202</v>
      </c>
      <c r="G51" s="33">
        <v>235.4</v>
      </c>
      <c r="H51" s="34">
        <v>235.4</v>
      </c>
      <c r="I51" s="35">
        <f t="shared" si="0"/>
        <v>100</v>
      </c>
      <c r="J51" s="33"/>
      <c r="K51" s="34"/>
      <c r="L51" s="35">
        <f t="shared" si="1"/>
        <v>0</v>
      </c>
      <c r="M51" s="34"/>
      <c r="N51" s="34"/>
      <c r="O51" s="35">
        <f t="shared" si="2"/>
        <v>0</v>
      </c>
      <c r="P51" s="36"/>
    </row>
    <row r="52" spans="2:16" x14ac:dyDescent="0.2">
      <c r="B52" s="28" t="s">
        <v>576</v>
      </c>
      <c r="C52" s="29">
        <v>2021</v>
      </c>
      <c r="D52" s="30" t="s">
        <v>35</v>
      </c>
      <c r="E52" s="31">
        <v>24.41</v>
      </c>
      <c r="F52" s="32">
        <v>3320</v>
      </c>
      <c r="G52" s="33">
        <v>244.1</v>
      </c>
      <c r="H52" s="34">
        <v>244.1</v>
      </c>
      <c r="I52" s="35">
        <f t="shared" si="0"/>
        <v>100</v>
      </c>
      <c r="J52" s="33"/>
      <c r="K52" s="34"/>
      <c r="L52" s="35">
        <f t="shared" si="1"/>
        <v>0</v>
      </c>
      <c r="M52" s="34"/>
      <c r="N52" s="34"/>
      <c r="O52" s="35">
        <f t="shared" si="2"/>
        <v>0</v>
      </c>
      <c r="P52" s="36"/>
    </row>
    <row r="53" spans="2:16" x14ac:dyDescent="0.2">
      <c r="B53" s="28" t="s">
        <v>576</v>
      </c>
      <c r="C53" s="29">
        <v>2021</v>
      </c>
      <c r="D53" s="30" t="s">
        <v>36</v>
      </c>
      <c r="E53" s="31">
        <v>24.35</v>
      </c>
      <c r="F53" s="32">
        <v>3312</v>
      </c>
      <c r="G53" s="33">
        <v>243.5</v>
      </c>
      <c r="H53" s="34">
        <v>225</v>
      </c>
      <c r="I53" s="35">
        <f t="shared" si="0"/>
        <v>92.402464065708415</v>
      </c>
      <c r="J53" s="33"/>
      <c r="K53" s="34"/>
      <c r="L53" s="35">
        <f t="shared" si="1"/>
        <v>0</v>
      </c>
      <c r="M53" s="34"/>
      <c r="N53" s="34"/>
      <c r="O53" s="35">
        <f t="shared" si="2"/>
        <v>0</v>
      </c>
      <c r="P53" s="36"/>
    </row>
    <row r="54" spans="2:16" x14ac:dyDescent="0.2">
      <c r="B54" s="37"/>
      <c r="C54" s="452" t="s">
        <v>577</v>
      </c>
      <c r="D54" s="452"/>
      <c r="E54" s="38">
        <f>SUM(E9:E53)</f>
        <v>1047.0799999999997</v>
      </c>
      <c r="F54" s="38">
        <f t="shared" ref="F54:H54" si="3">SUM(F9:F53)</f>
        <v>139041</v>
      </c>
      <c r="G54" s="39">
        <f t="shared" si="3"/>
        <v>2601.6</v>
      </c>
      <c r="H54" s="38">
        <f t="shared" si="3"/>
        <v>2548.9</v>
      </c>
      <c r="I54" s="38">
        <f t="shared" si="0"/>
        <v>97.974323493234948</v>
      </c>
      <c r="J54" s="39">
        <f t="shared" ref="J54:K54" si="4">SUM(J9:J53)</f>
        <v>0</v>
      </c>
      <c r="K54" s="38">
        <f t="shared" si="4"/>
        <v>0</v>
      </c>
      <c r="L54" s="38">
        <f t="shared" si="1"/>
        <v>0</v>
      </c>
      <c r="M54" s="38">
        <f t="shared" ref="M54:N54" si="5">SUM(M9:M53)</f>
        <v>0</v>
      </c>
      <c r="N54" s="38">
        <f t="shared" si="5"/>
        <v>0</v>
      </c>
      <c r="O54" s="38">
        <f t="shared" si="2"/>
        <v>0</v>
      </c>
      <c r="P54" s="40"/>
    </row>
    <row r="55" spans="2:16" x14ac:dyDescent="0.2">
      <c r="B55" s="41" t="s">
        <v>578</v>
      </c>
      <c r="C55" s="42">
        <v>1996</v>
      </c>
      <c r="D55" s="41" t="s">
        <v>95</v>
      </c>
      <c r="E55" s="31">
        <v>30.58</v>
      </c>
      <c r="F55" s="32">
        <v>4067</v>
      </c>
      <c r="G55" s="33">
        <v>1000</v>
      </c>
      <c r="H55" s="34"/>
      <c r="I55" s="35">
        <f t="shared" si="0"/>
        <v>0</v>
      </c>
      <c r="J55" s="33">
        <v>300</v>
      </c>
      <c r="K55" s="34"/>
      <c r="L55" s="35">
        <f t="shared" si="1"/>
        <v>0</v>
      </c>
      <c r="M55" s="34"/>
      <c r="N55" s="34"/>
      <c r="O55" s="35">
        <f t="shared" si="2"/>
        <v>0</v>
      </c>
      <c r="P55" s="36"/>
    </row>
    <row r="56" spans="2:16" x14ac:dyDescent="0.2">
      <c r="B56" s="41" t="s">
        <v>578</v>
      </c>
      <c r="C56" s="42">
        <v>1996</v>
      </c>
      <c r="D56" s="41" t="s">
        <v>96</v>
      </c>
      <c r="E56" s="31">
        <v>29.91</v>
      </c>
      <c r="F56" s="32">
        <v>4128</v>
      </c>
      <c r="G56" s="33">
        <v>1000</v>
      </c>
      <c r="H56" s="34"/>
      <c r="I56" s="35">
        <f t="shared" si="0"/>
        <v>0</v>
      </c>
      <c r="J56" s="33">
        <v>300</v>
      </c>
      <c r="K56" s="34"/>
      <c r="L56" s="35">
        <f t="shared" si="1"/>
        <v>0</v>
      </c>
      <c r="M56" s="34"/>
      <c r="N56" s="34"/>
      <c r="O56" s="35">
        <f t="shared" si="2"/>
        <v>0</v>
      </c>
      <c r="P56" s="36"/>
    </row>
    <row r="57" spans="2:16" x14ac:dyDescent="0.2">
      <c r="B57" s="41" t="s">
        <v>578</v>
      </c>
      <c r="C57" s="42">
        <v>1996</v>
      </c>
      <c r="D57" s="41" t="s">
        <v>108</v>
      </c>
      <c r="E57" s="31">
        <v>29.95</v>
      </c>
      <c r="F57" s="32">
        <v>4052</v>
      </c>
      <c r="G57" s="33">
        <v>1000</v>
      </c>
      <c r="H57" s="34"/>
      <c r="I57" s="35">
        <f t="shared" si="0"/>
        <v>0</v>
      </c>
      <c r="J57" s="33">
        <v>300</v>
      </c>
      <c r="K57" s="34"/>
      <c r="L57" s="35">
        <f t="shared" si="1"/>
        <v>0</v>
      </c>
      <c r="M57" s="34"/>
      <c r="N57" s="34"/>
      <c r="O57" s="35">
        <f t="shared" si="2"/>
        <v>0</v>
      </c>
      <c r="P57" s="36"/>
    </row>
    <row r="58" spans="2:16" x14ac:dyDescent="0.2">
      <c r="B58" s="41" t="s">
        <v>578</v>
      </c>
      <c r="C58" s="42">
        <v>1996</v>
      </c>
      <c r="D58" s="41" t="s">
        <v>109</v>
      </c>
      <c r="E58" s="31">
        <v>28.23</v>
      </c>
      <c r="F58" s="32">
        <v>2828</v>
      </c>
      <c r="G58" s="33">
        <v>1000</v>
      </c>
      <c r="H58" s="34"/>
      <c r="I58" s="35">
        <f t="shared" si="0"/>
        <v>0</v>
      </c>
      <c r="J58" s="33">
        <v>300</v>
      </c>
      <c r="K58" s="34"/>
      <c r="L58" s="35">
        <f t="shared" si="1"/>
        <v>0</v>
      </c>
      <c r="M58" s="34"/>
      <c r="N58" s="34"/>
      <c r="O58" s="35">
        <f t="shared" si="2"/>
        <v>0</v>
      </c>
      <c r="P58" s="36"/>
    </row>
    <row r="59" spans="2:16" x14ac:dyDescent="0.2">
      <c r="B59" s="41" t="s">
        <v>578</v>
      </c>
      <c r="C59" s="42">
        <v>1996</v>
      </c>
      <c r="D59" s="41" t="s">
        <v>77</v>
      </c>
      <c r="E59" s="31">
        <v>35.94</v>
      </c>
      <c r="F59" s="32">
        <v>4457</v>
      </c>
      <c r="G59" s="33">
        <v>1000</v>
      </c>
      <c r="H59" s="34"/>
      <c r="I59" s="35">
        <f t="shared" si="0"/>
        <v>0</v>
      </c>
      <c r="J59" s="33">
        <v>300</v>
      </c>
      <c r="K59" s="34"/>
      <c r="L59" s="35">
        <f t="shared" si="1"/>
        <v>0</v>
      </c>
      <c r="M59" s="34"/>
      <c r="N59" s="34"/>
      <c r="O59" s="35">
        <f t="shared" si="2"/>
        <v>0</v>
      </c>
      <c r="P59" s="36"/>
    </row>
    <row r="60" spans="2:16" x14ac:dyDescent="0.2">
      <c r="B60" s="41" t="s">
        <v>578</v>
      </c>
      <c r="C60" s="42">
        <v>1996</v>
      </c>
      <c r="D60" s="41" t="s">
        <v>79</v>
      </c>
      <c r="E60" s="31">
        <v>36.6</v>
      </c>
      <c r="F60" s="32">
        <v>4587</v>
      </c>
      <c r="G60" s="33">
        <v>1000</v>
      </c>
      <c r="H60" s="34"/>
      <c r="I60" s="35">
        <f t="shared" si="0"/>
        <v>0</v>
      </c>
      <c r="J60" s="33">
        <v>300</v>
      </c>
      <c r="K60" s="34"/>
      <c r="L60" s="35">
        <f t="shared" si="1"/>
        <v>0</v>
      </c>
      <c r="M60" s="34"/>
      <c r="N60" s="34"/>
      <c r="O60" s="35">
        <f t="shared" si="2"/>
        <v>0</v>
      </c>
      <c r="P60" s="36"/>
    </row>
    <row r="61" spans="2:16" x14ac:dyDescent="0.2">
      <c r="B61" s="41" t="s">
        <v>578</v>
      </c>
      <c r="C61" s="42">
        <v>1996</v>
      </c>
      <c r="D61" s="41" t="s">
        <v>80</v>
      </c>
      <c r="E61" s="31">
        <v>33.03</v>
      </c>
      <c r="F61" s="32">
        <v>4170</v>
      </c>
      <c r="G61" s="33">
        <v>1000</v>
      </c>
      <c r="H61" s="34"/>
      <c r="I61" s="35">
        <f t="shared" si="0"/>
        <v>0</v>
      </c>
      <c r="J61" s="33">
        <v>300</v>
      </c>
      <c r="K61" s="34"/>
      <c r="L61" s="35">
        <f t="shared" si="1"/>
        <v>0</v>
      </c>
      <c r="M61" s="34"/>
      <c r="N61" s="34"/>
      <c r="O61" s="35">
        <f t="shared" si="2"/>
        <v>0</v>
      </c>
      <c r="P61" s="36"/>
    </row>
    <row r="62" spans="2:16" x14ac:dyDescent="0.2">
      <c r="B62" s="41" t="s">
        <v>578</v>
      </c>
      <c r="C62" s="42">
        <v>1996</v>
      </c>
      <c r="D62" s="41" t="s">
        <v>81</v>
      </c>
      <c r="E62" s="31">
        <v>33.15</v>
      </c>
      <c r="F62" s="32">
        <v>4204</v>
      </c>
      <c r="G62" s="33">
        <v>1000</v>
      </c>
      <c r="H62" s="34"/>
      <c r="I62" s="35">
        <f t="shared" si="0"/>
        <v>0</v>
      </c>
      <c r="J62" s="33">
        <v>300</v>
      </c>
      <c r="K62" s="34"/>
      <c r="L62" s="35">
        <f t="shared" si="1"/>
        <v>0</v>
      </c>
      <c r="M62" s="34"/>
      <c r="N62" s="34"/>
      <c r="O62" s="35">
        <f t="shared" si="2"/>
        <v>0</v>
      </c>
      <c r="P62" s="36"/>
    </row>
    <row r="63" spans="2:16" x14ac:dyDescent="0.2">
      <c r="B63" s="41" t="s">
        <v>578</v>
      </c>
      <c r="C63" s="42">
        <v>1996</v>
      </c>
      <c r="D63" s="41" t="s">
        <v>90</v>
      </c>
      <c r="E63" s="31">
        <v>33.07</v>
      </c>
      <c r="F63" s="32">
        <v>4031</v>
      </c>
      <c r="G63" s="33">
        <v>1000</v>
      </c>
      <c r="H63" s="34"/>
      <c r="I63" s="35">
        <f t="shared" si="0"/>
        <v>0</v>
      </c>
      <c r="J63" s="33">
        <v>300</v>
      </c>
      <c r="K63" s="34"/>
      <c r="L63" s="35">
        <f t="shared" si="1"/>
        <v>0</v>
      </c>
      <c r="M63" s="34"/>
      <c r="N63" s="34"/>
      <c r="O63" s="35">
        <f t="shared" si="2"/>
        <v>0</v>
      </c>
      <c r="P63" s="36"/>
    </row>
    <row r="64" spans="2:16" x14ac:dyDescent="0.2">
      <c r="B64" s="41" t="s">
        <v>578</v>
      </c>
      <c r="C64" s="42">
        <v>1996</v>
      </c>
      <c r="D64" s="41" t="s">
        <v>91</v>
      </c>
      <c r="E64" s="31">
        <v>31.59</v>
      </c>
      <c r="F64" s="32">
        <v>4013</v>
      </c>
      <c r="G64" s="33">
        <v>1000</v>
      </c>
      <c r="H64" s="34"/>
      <c r="I64" s="35">
        <f t="shared" si="0"/>
        <v>0</v>
      </c>
      <c r="J64" s="33">
        <v>300</v>
      </c>
      <c r="K64" s="34"/>
      <c r="L64" s="35">
        <f t="shared" si="1"/>
        <v>0</v>
      </c>
      <c r="M64" s="34"/>
      <c r="N64" s="34"/>
      <c r="O64" s="35">
        <f t="shared" si="2"/>
        <v>0</v>
      </c>
      <c r="P64" s="36"/>
    </row>
    <row r="65" spans="2:16" x14ac:dyDescent="0.2">
      <c r="B65" s="41" t="s">
        <v>578</v>
      </c>
      <c r="C65" s="42">
        <v>1996</v>
      </c>
      <c r="D65" s="41" t="s">
        <v>92</v>
      </c>
      <c r="E65" s="31">
        <v>33.049999999999997</v>
      </c>
      <c r="F65" s="32">
        <v>4170</v>
      </c>
      <c r="G65" s="33">
        <v>1000</v>
      </c>
      <c r="H65" s="34"/>
      <c r="I65" s="35">
        <f t="shared" si="0"/>
        <v>0</v>
      </c>
      <c r="J65" s="33">
        <v>300</v>
      </c>
      <c r="K65" s="34"/>
      <c r="L65" s="35">
        <f t="shared" si="1"/>
        <v>0</v>
      </c>
      <c r="M65" s="34"/>
      <c r="N65" s="34"/>
      <c r="O65" s="35">
        <f t="shared" si="2"/>
        <v>0</v>
      </c>
      <c r="P65" s="36"/>
    </row>
    <row r="66" spans="2:16" x14ac:dyDescent="0.2">
      <c r="B66" s="41" t="s">
        <v>578</v>
      </c>
      <c r="C66" s="42">
        <v>1996</v>
      </c>
      <c r="D66" s="41" t="s">
        <v>93</v>
      </c>
      <c r="E66" s="31">
        <v>30.13</v>
      </c>
      <c r="F66" s="32">
        <v>4283</v>
      </c>
      <c r="G66" s="33">
        <v>1000</v>
      </c>
      <c r="H66" s="34"/>
      <c r="I66" s="35">
        <f t="shared" si="0"/>
        <v>0</v>
      </c>
      <c r="J66" s="33">
        <v>300</v>
      </c>
      <c r="K66" s="34"/>
      <c r="L66" s="35">
        <f t="shared" si="1"/>
        <v>0</v>
      </c>
      <c r="M66" s="34"/>
      <c r="N66" s="34"/>
      <c r="O66" s="35">
        <f t="shared" si="2"/>
        <v>0</v>
      </c>
      <c r="P66" s="36"/>
    </row>
    <row r="67" spans="2:16" x14ac:dyDescent="0.2">
      <c r="B67" s="41" t="s">
        <v>578</v>
      </c>
      <c r="C67" s="42">
        <v>1996</v>
      </c>
      <c r="D67" s="41" t="s">
        <v>94</v>
      </c>
      <c r="E67" s="31">
        <v>30.41</v>
      </c>
      <c r="F67" s="32">
        <v>4005</v>
      </c>
      <c r="G67" s="33">
        <v>1000</v>
      </c>
      <c r="H67" s="34"/>
      <c r="I67" s="35">
        <f t="shared" si="0"/>
        <v>0</v>
      </c>
      <c r="J67" s="33">
        <v>300</v>
      </c>
      <c r="K67" s="34"/>
      <c r="L67" s="35">
        <f t="shared" si="1"/>
        <v>0</v>
      </c>
      <c r="M67" s="34"/>
      <c r="N67" s="34"/>
      <c r="O67" s="35">
        <f t="shared" si="2"/>
        <v>0</v>
      </c>
      <c r="P67" s="36"/>
    </row>
    <row r="68" spans="2:16" x14ac:dyDescent="0.2">
      <c r="B68" s="41" t="s">
        <v>578</v>
      </c>
      <c r="C68" s="42">
        <v>1996</v>
      </c>
      <c r="D68" s="41" t="s">
        <v>100</v>
      </c>
      <c r="E68" s="31">
        <v>27.82</v>
      </c>
      <c r="F68" s="32">
        <v>3636</v>
      </c>
      <c r="G68" s="33">
        <v>1000</v>
      </c>
      <c r="H68" s="34"/>
      <c r="I68" s="35">
        <f t="shared" si="0"/>
        <v>0</v>
      </c>
      <c r="J68" s="33">
        <v>450</v>
      </c>
      <c r="K68" s="34"/>
      <c r="L68" s="35">
        <f t="shared" si="1"/>
        <v>0</v>
      </c>
      <c r="M68" s="34"/>
      <c r="N68" s="34"/>
      <c r="O68" s="35">
        <f t="shared" si="2"/>
        <v>0</v>
      </c>
      <c r="P68" s="36"/>
    </row>
    <row r="69" spans="2:16" x14ac:dyDescent="0.2">
      <c r="B69" s="41" t="s">
        <v>578</v>
      </c>
      <c r="C69" s="42">
        <v>1996</v>
      </c>
      <c r="D69" s="41" t="s">
        <v>101</v>
      </c>
      <c r="E69" s="31">
        <v>27.68</v>
      </c>
      <c r="F69" s="32">
        <v>3213</v>
      </c>
      <c r="G69" s="33">
        <v>1000</v>
      </c>
      <c r="H69" s="34"/>
      <c r="I69" s="35">
        <f t="shared" si="0"/>
        <v>0</v>
      </c>
      <c r="J69" s="33">
        <v>300</v>
      </c>
      <c r="K69" s="34"/>
      <c r="L69" s="35">
        <f t="shared" si="1"/>
        <v>0</v>
      </c>
      <c r="M69" s="34"/>
      <c r="N69" s="34"/>
      <c r="O69" s="35">
        <f t="shared" si="2"/>
        <v>0</v>
      </c>
      <c r="P69" s="36"/>
    </row>
    <row r="70" spans="2:16" x14ac:dyDescent="0.2">
      <c r="B70" s="41" t="s">
        <v>578</v>
      </c>
      <c r="C70" s="42">
        <v>1996</v>
      </c>
      <c r="D70" s="41" t="s">
        <v>102</v>
      </c>
      <c r="E70" s="31">
        <v>27.83</v>
      </c>
      <c r="F70" s="32">
        <v>3426</v>
      </c>
      <c r="G70" s="33">
        <v>1000</v>
      </c>
      <c r="H70" s="34"/>
      <c r="I70" s="35">
        <f t="shared" si="0"/>
        <v>0</v>
      </c>
      <c r="J70" s="33">
        <v>300</v>
      </c>
      <c r="K70" s="34"/>
      <c r="L70" s="35">
        <f t="shared" si="1"/>
        <v>0</v>
      </c>
      <c r="M70" s="34"/>
      <c r="N70" s="34"/>
      <c r="O70" s="35">
        <f t="shared" si="2"/>
        <v>0</v>
      </c>
      <c r="P70" s="36"/>
    </row>
    <row r="71" spans="2:16" x14ac:dyDescent="0.2">
      <c r="B71" s="41" t="s">
        <v>578</v>
      </c>
      <c r="C71" s="42">
        <v>1996</v>
      </c>
      <c r="D71" s="41" t="s">
        <v>103</v>
      </c>
      <c r="E71" s="31">
        <v>27.51</v>
      </c>
      <c r="F71" s="32">
        <v>3214</v>
      </c>
      <c r="G71" s="33">
        <v>1000</v>
      </c>
      <c r="H71" s="34">
        <v>1000</v>
      </c>
      <c r="I71" s="35">
        <f t="shared" si="0"/>
        <v>100</v>
      </c>
      <c r="J71" s="33">
        <v>300</v>
      </c>
      <c r="K71" s="34">
        <v>50</v>
      </c>
      <c r="L71" s="35">
        <f t="shared" si="1"/>
        <v>16.666666666666668</v>
      </c>
      <c r="M71" s="34"/>
      <c r="N71" s="34"/>
      <c r="O71" s="35">
        <f t="shared" si="2"/>
        <v>0</v>
      </c>
      <c r="P71" s="36"/>
    </row>
    <row r="72" spans="2:16" x14ac:dyDescent="0.2">
      <c r="B72" s="41" t="s">
        <v>578</v>
      </c>
      <c r="C72" s="42">
        <v>1996</v>
      </c>
      <c r="D72" s="41" t="s">
        <v>105</v>
      </c>
      <c r="E72" s="31">
        <v>28.92</v>
      </c>
      <c r="F72" s="32">
        <v>3635</v>
      </c>
      <c r="G72" s="33">
        <v>1000</v>
      </c>
      <c r="H72" s="34"/>
      <c r="I72" s="35">
        <f t="shared" si="0"/>
        <v>0</v>
      </c>
      <c r="J72" s="33">
        <v>300</v>
      </c>
      <c r="K72" s="34">
        <v>300</v>
      </c>
      <c r="L72" s="35">
        <f t="shared" si="1"/>
        <v>100</v>
      </c>
      <c r="M72" s="34"/>
      <c r="N72" s="34"/>
      <c r="O72" s="35">
        <f t="shared" si="2"/>
        <v>0</v>
      </c>
      <c r="P72" s="36"/>
    </row>
    <row r="73" spans="2:16" x14ac:dyDescent="0.2">
      <c r="B73" s="41" t="s">
        <v>578</v>
      </c>
      <c r="C73" s="42">
        <v>1996</v>
      </c>
      <c r="D73" s="41" t="s">
        <v>106</v>
      </c>
      <c r="E73" s="31">
        <v>28.55</v>
      </c>
      <c r="F73" s="32">
        <v>3768</v>
      </c>
      <c r="G73" s="33">
        <v>1000</v>
      </c>
      <c r="H73" s="34"/>
      <c r="I73" s="35">
        <f t="shared" si="0"/>
        <v>0</v>
      </c>
      <c r="J73" s="33">
        <v>300</v>
      </c>
      <c r="K73" s="34">
        <v>300</v>
      </c>
      <c r="L73" s="35">
        <f t="shared" si="1"/>
        <v>100</v>
      </c>
      <c r="M73" s="34"/>
      <c r="N73" s="34"/>
      <c r="O73" s="35">
        <f t="shared" si="2"/>
        <v>0</v>
      </c>
      <c r="P73" s="36"/>
    </row>
    <row r="74" spans="2:16" x14ac:dyDescent="0.2">
      <c r="B74" s="41" t="s">
        <v>578</v>
      </c>
      <c r="C74" s="42">
        <v>1996</v>
      </c>
      <c r="D74" s="41" t="s">
        <v>107</v>
      </c>
      <c r="E74" s="31">
        <v>28.47</v>
      </c>
      <c r="F74" s="32">
        <v>3626</v>
      </c>
      <c r="G74" s="33">
        <v>1000</v>
      </c>
      <c r="H74" s="34"/>
      <c r="I74" s="35">
        <f t="shared" ref="I74:I137" si="6">IFERROR(H74/G74%,0)</f>
        <v>0</v>
      </c>
      <c r="J74" s="33">
        <v>300</v>
      </c>
      <c r="K74" s="34"/>
      <c r="L74" s="35">
        <f t="shared" ref="L74:L137" si="7">IFERROR(K74/J74%,0)</f>
        <v>0</v>
      </c>
      <c r="M74" s="34"/>
      <c r="N74" s="34"/>
      <c r="O74" s="35">
        <f t="shared" ref="O74:O137" si="8">IFERROR(N74/M74%,0)</f>
        <v>0</v>
      </c>
      <c r="P74" s="36"/>
    </row>
    <row r="75" spans="2:16" x14ac:dyDescent="0.2">
      <c r="B75" s="41" t="s">
        <v>578</v>
      </c>
      <c r="C75" s="29">
        <v>1997</v>
      </c>
      <c r="D75" s="41" t="s">
        <v>82</v>
      </c>
      <c r="E75" s="31">
        <v>35.58</v>
      </c>
      <c r="F75" s="32">
        <v>4483</v>
      </c>
      <c r="G75" s="33">
        <v>1000</v>
      </c>
      <c r="H75" s="34"/>
      <c r="I75" s="35">
        <f t="shared" si="6"/>
        <v>0</v>
      </c>
      <c r="J75" s="33">
        <v>300</v>
      </c>
      <c r="K75" s="34"/>
      <c r="L75" s="35">
        <f t="shared" si="7"/>
        <v>0</v>
      </c>
      <c r="M75" s="34"/>
      <c r="N75" s="34"/>
      <c r="O75" s="35">
        <f t="shared" si="8"/>
        <v>0</v>
      </c>
      <c r="P75" s="36"/>
    </row>
    <row r="76" spans="2:16" x14ac:dyDescent="0.2">
      <c r="B76" s="41" t="s">
        <v>578</v>
      </c>
      <c r="C76" s="29">
        <v>1997</v>
      </c>
      <c r="D76" s="41" t="s">
        <v>83</v>
      </c>
      <c r="E76" s="31">
        <v>36.58</v>
      </c>
      <c r="F76" s="32">
        <v>4641</v>
      </c>
      <c r="G76" s="33">
        <v>1000</v>
      </c>
      <c r="H76" s="34"/>
      <c r="I76" s="35">
        <f t="shared" si="6"/>
        <v>0</v>
      </c>
      <c r="J76" s="33">
        <v>300</v>
      </c>
      <c r="K76" s="34"/>
      <c r="L76" s="35">
        <f t="shared" si="7"/>
        <v>0</v>
      </c>
      <c r="M76" s="34"/>
      <c r="N76" s="34"/>
      <c r="O76" s="35">
        <f t="shared" si="8"/>
        <v>0</v>
      </c>
      <c r="P76" s="36"/>
    </row>
    <row r="77" spans="2:16" x14ac:dyDescent="0.2">
      <c r="B77" s="41" t="s">
        <v>578</v>
      </c>
      <c r="C77" s="29">
        <v>1997</v>
      </c>
      <c r="D77" s="41" t="s">
        <v>74</v>
      </c>
      <c r="E77" s="31">
        <v>25.5</v>
      </c>
      <c r="F77" s="32">
        <v>2788</v>
      </c>
      <c r="G77" s="33">
        <v>1000</v>
      </c>
      <c r="H77" s="34"/>
      <c r="I77" s="35">
        <f t="shared" si="6"/>
        <v>0</v>
      </c>
      <c r="J77" s="33">
        <v>0</v>
      </c>
      <c r="K77" s="34"/>
      <c r="L77" s="35">
        <f t="shared" si="7"/>
        <v>0</v>
      </c>
      <c r="M77" s="34"/>
      <c r="N77" s="34"/>
      <c r="O77" s="35">
        <f t="shared" si="8"/>
        <v>0</v>
      </c>
      <c r="P77" s="36"/>
    </row>
    <row r="78" spans="2:16" x14ac:dyDescent="0.2">
      <c r="B78" s="41" t="s">
        <v>578</v>
      </c>
      <c r="C78" s="29">
        <v>1997</v>
      </c>
      <c r="D78" s="41" t="s">
        <v>75</v>
      </c>
      <c r="E78" s="31">
        <v>33.6</v>
      </c>
      <c r="F78" s="32">
        <v>4138</v>
      </c>
      <c r="G78" s="33">
        <v>1000</v>
      </c>
      <c r="H78" s="34"/>
      <c r="I78" s="35">
        <f t="shared" si="6"/>
        <v>0</v>
      </c>
      <c r="J78" s="33">
        <v>300</v>
      </c>
      <c r="K78" s="34"/>
      <c r="L78" s="35">
        <f t="shared" si="7"/>
        <v>0</v>
      </c>
      <c r="M78" s="34"/>
      <c r="N78" s="34"/>
      <c r="O78" s="35">
        <f t="shared" si="8"/>
        <v>0</v>
      </c>
      <c r="P78" s="36"/>
    </row>
    <row r="79" spans="2:16" x14ac:dyDescent="0.2">
      <c r="B79" s="41" t="s">
        <v>578</v>
      </c>
      <c r="C79" s="29">
        <v>1997</v>
      </c>
      <c r="D79" s="41" t="s">
        <v>76</v>
      </c>
      <c r="E79" s="31">
        <v>32.25</v>
      </c>
      <c r="F79" s="32">
        <v>3978</v>
      </c>
      <c r="G79" s="33">
        <v>1000</v>
      </c>
      <c r="H79" s="34"/>
      <c r="I79" s="35">
        <f t="shared" si="6"/>
        <v>0</v>
      </c>
      <c r="J79" s="33">
        <v>300</v>
      </c>
      <c r="K79" s="34"/>
      <c r="L79" s="35">
        <f t="shared" si="7"/>
        <v>0</v>
      </c>
      <c r="M79" s="34"/>
      <c r="N79" s="34"/>
      <c r="O79" s="35">
        <f t="shared" si="8"/>
        <v>0</v>
      </c>
      <c r="P79" s="36"/>
    </row>
    <row r="80" spans="2:16" x14ac:dyDescent="0.2">
      <c r="B80" s="41" t="s">
        <v>578</v>
      </c>
      <c r="C80" s="29">
        <v>1997</v>
      </c>
      <c r="D80" s="41" t="s">
        <v>78</v>
      </c>
      <c r="E80" s="31">
        <v>32.69</v>
      </c>
      <c r="F80" s="32">
        <v>4204</v>
      </c>
      <c r="G80" s="33">
        <v>1000</v>
      </c>
      <c r="H80" s="34"/>
      <c r="I80" s="35">
        <f t="shared" si="6"/>
        <v>0</v>
      </c>
      <c r="J80" s="33">
        <v>300</v>
      </c>
      <c r="K80" s="34"/>
      <c r="L80" s="35">
        <f t="shared" si="7"/>
        <v>0</v>
      </c>
      <c r="M80" s="34"/>
      <c r="N80" s="34"/>
      <c r="O80" s="35">
        <f t="shared" si="8"/>
        <v>0</v>
      </c>
      <c r="P80" s="36"/>
    </row>
    <row r="81" spans="2:16" x14ac:dyDescent="0.2">
      <c r="B81" s="41" t="s">
        <v>578</v>
      </c>
      <c r="C81" s="29">
        <v>1997</v>
      </c>
      <c r="D81" s="41" t="s">
        <v>87</v>
      </c>
      <c r="E81" s="31">
        <v>32.36</v>
      </c>
      <c r="F81" s="32">
        <v>3686</v>
      </c>
      <c r="G81" s="33">
        <v>1000</v>
      </c>
      <c r="H81" s="34"/>
      <c r="I81" s="35">
        <f t="shared" si="6"/>
        <v>0</v>
      </c>
      <c r="J81" s="33">
        <v>300</v>
      </c>
      <c r="K81" s="34"/>
      <c r="L81" s="35">
        <f t="shared" si="7"/>
        <v>0</v>
      </c>
      <c r="M81" s="34"/>
      <c r="N81" s="34"/>
      <c r="O81" s="35">
        <f t="shared" si="8"/>
        <v>0</v>
      </c>
      <c r="P81" s="36"/>
    </row>
    <row r="82" spans="2:16" x14ac:dyDescent="0.2">
      <c r="B82" s="41" t="s">
        <v>578</v>
      </c>
      <c r="C82" s="29">
        <v>1997</v>
      </c>
      <c r="D82" s="41" t="s">
        <v>88</v>
      </c>
      <c r="E82" s="31">
        <v>32.520000000000003</v>
      </c>
      <c r="F82" s="32">
        <v>3944</v>
      </c>
      <c r="G82" s="33">
        <v>1000</v>
      </c>
      <c r="H82" s="34"/>
      <c r="I82" s="35">
        <f t="shared" si="6"/>
        <v>0</v>
      </c>
      <c r="J82" s="33">
        <v>300</v>
      </c>
      <c r="K82" s="34"/>
      <c r="L82" s="35">
        <f t="shared" si="7"/>
        <v>0</v>
      </c>
      <c r="M82" s="34"/>
      <c r="N82" s="34"/>
      <c r="O82" s="35">
        <f t="shared" si="8"/>
        <v>0</v>
      </c>
      <c r="P82" s="36"/>
    </row>
    <row r="83" spans="2:16" x14ac:dyDescent="0.2">
      <c r="B83" s="41" t="s">
        <v>578</v>
      </c>
      <c r="C83" s="29">
        <v>1997</v>
      </c>
      <c r="D83" s="41" t="s">
        <v>89</v>
      </c>
      <c r="E83" s="31">
        <v>31.73</v>
      </c>
      <c r="F83" s="32">
        <v>4080</v>
      </c>
      <c r="G83" s="33">
        <v>1000</v>
      </c>
      <c r="H83" s="34">
        <v>500</v>
      </c>
      <c r="I83" s="35">
        <f t="shared" si="6"/>
        <v>50</v>
      </c>
      <c r="J83" s="33">
        <v>300</v>
      </c>
      <c r="K83" s="34"/>
      <c r="L83" s="35">
        <f t="shared" si="7"/>
        <v>0</v>
      </c>
      <c r="M83" s="34"/>
      <c r="N83" s="34"/>
      <c r="O83" s="35">
        <f t="shared" si="8"/>
        <v>0</v>
      </c>
      <c r="P83" s="36"/>
    </row>
    <row r="84" spans="2:16" x14ac:dyDescent="0.2">
      <c r="B84" s="41" t="s">
        <v>578</v>
      </c>
      <c r="C84" s="29">
        <v>1997</v>
      </c>
      <c r="D84" s="41" t="s">
        <v>104</v>
      </c>
      <c r="E84" s="31">
        <v>26.43</v>
      </c>
      <c r="F84" s="32">
        <v>3317</v>
      </c>
      <c r="G84" s="33">
        <v>1000</v>
      </c>
      <c r="H84" s="34"/>
      <c r="I84" s="35">
        <f t="shared" si="6"/>
        <v>0</v>
      </c>
      <c r="J84" s="33">
        <v>300</v>
      </c>
      <c r="K84" s="34">
        <v>300</v>
      </c>
      <c r="L84" s="35">
        <f t="shared" si="7"/>
        <v>100</v>
      </c>
      <c r="M84" s="34"/>
      <c r="N84" s="34"/>
      <c r="O84" s="35">
        <f t="shared" si="8"/>
        <v>0</v>
      </c>
      <c r="P84" s="36"/>
    </row>
    <row r="85" spans="2:16" x14ac:dyDescent="0.2">
      <c r="B85" s="41" t="s">
        <v>578</v>
      </c>
      <c r="C85" s="29">
        <v>1997</v>
      </c>
      <c r="D85" s="41" t="s">
        <v>72</v>
      </c>
      <c r="E85" s="31">
        <v>2.83</v>
      </c>
      <c r="F85" s="32">
        <v>366</v>
      </c>
      <c r="G85" s="33">
        <v>240</v>
      </c>
      <c r="H85" s="34"/>
      <c r="I85" s="35">
        <f t="shared" si="6"/>
        <v>0</v>
      </c>
      <c r="J85" s="33">
        <v>0</v>
      </c>
      <c r="K85" s="34"/>
      <c r="L85" s="35">
        <f t="shared" si="7"/>
        <v>0</v>
      </c>
      <c r="M85" s="34"/>
      <c r="N85" s="34"/>
      <c r="O85" s="35">
        <f t="shared" si="8"/>
        <v>0</v>
      </c>
      <c r="P85" s="36"/>
    </row>
    <row r="86" spans="2:16" x14ac:dyDescent="0.2">
      <c r="B86" s="41" t="s">
        <v>578</v>
      </c>
      <c r="C86" s="29">
        <v>1997</v>
      </c>
      <c r="D86" s="41" t="s">
        <v>73</v>
      </c>
      <c r="E86" s="31">
        <v>13.72</v>
      </c>
      <c r="F86" s="32">
        <v>1557</v>
      </c>
      <c r="G86" s="33">
        <v>600</v>
      </c>
      <c r="H86" s="34"/>
      <c r="I86" s="35">
        <f t="shared" si="6"/>
        <v>0</v>
      </c>
      <c r="J86" s="33">
        <v>0</v>
      </c>
      <c r="K86" s="34"/>
      <c r="L86" s="35">
        <f t="shared" si="7"/>
        <v>0</v>
      </c>
      <c r="M86" s="34"/>
      <c r="N86" s="34"/>
      <c r="O86" s="35">
        <f t="shared" si="8"/>
        <v>0</v>
      </c>
      <c r="P86" s="36"/>
    </row>
    <row r="87" spans="2:16" x14ac:dyDescent="0.2">
      <c r="B87" s="41" t="s">
        <v>578</v>
      </c>
      <c r="C87" s="29">
        <v>1997</v>
      </c>
      <c r="D87" s="41" t="s">
        <v>84</v>
      </c>
      <c r="E87" s="31">
        <v>22.62</v>
      </c>
      <c r="F87" s="32">
        <v>2761</v>
      </c>
      <c r="G87" s="33">
        <v>870</v>
      </c>
      <c r="H87" s="34"/>
      <c r="I87" s="35">
        <f t="shared" si="6"/>
        <v>0</v>
      </c>
      <c r="J87" s="33">
        <v>0</v>
      </c>
      <c r="K87" s="34"/>
      <c r="L87" s="35">
        <f t="shared" si="7"/>
        <v>0</v>
      </c>
      <c r="M87" s="34"/>
      <c r="N87" s="34"/>
      <c r="O87" s="35">
        <f t="shared" si="8"/>
        <v>0</v>
      </c>
      <c r="P87" s="36"/>
    </row>
    <row r="88" spans="2:16" x14ac:dyDescent="0.2">
      <c r="B88" s="41" t="s">
        <v>578</v>
      </c>
      <c r="C88" s="29">
        <v>1997</v>
      </c>
      <c r="D88" s="41" t="s">
        <v>85</v>
      </c>
      <c r="E88" s="31">
        <v>30.83</v>
      </c>
      <c r="F88" s="32">
        <v>3084</v>
      </c>
      <c r="G88" s="33">
        <v>1000</v>
      </c>
      <c r="H88" s="34"/>
      <c r="I88" s="35">
        <f t="shared" si="6"/>
        <v>0</v>
      </c>
      <c r="J88" s="33">
        <v>0</v>
      </c>
      <c r="K88" s="34"/>
      <c r="L88" s="35">
        <f t="shared" si="7"/>
        <v>0</v>
      </c>
      <c r="M88" s="34"/>
      <c r="N88" s="34"/>
      <c r="O88" s="35">
        <f t="shared" si="8"/>
        <v>0</v>
      </c>
      <c r="P88" s="36"/>
    </row>
    <row r="89" spans="2:16" x14ac:dyDescent="0.2">
      <c r="B89" s="41" t="s">
        <v>578</v>
      </c>
      <c r="C89" s="29">
        <v>1997</v>
      </c>
      <c r="D89" s="41" t="s">
        <v>86</v>
      </c>
      <c r="E89" s="31">
        <v>29.14</v>
      </c>
      <c r="F89" s="32">
        <v>3207</v>
      </c>
      <c r="G89" s="33">
        <v>1000</v>
      </c>
      <c r="H89" s="34"/>
      <c r="I89" s="35">
        <f t="shared" si="6"/>
        <v>0</v>
      </c>
      <c r="J89" s="33">
        <v>0</v>
      </c>
      <c r="K89" s="34"/>
      <c r="L89" s="35">
        <f t="shared" si="7"/>
        <v>0</v>
      </c>
      <c r="M89" s="34"/>
      <c r="N89" s="34"/>
      <c r="O89" s="35">
        <f t="shared" si="8"/>
        <v>0</v>
      </c>
      <c r="P89" s="36"/>
    </row>
    <row r="90" spans="2:16" x14ac:dyDescent="0.2">
      <c r="B90" s="41" t="s">
        <v>578</v>
      </c>
      <c r="C90" s="29">
        <v>1997</v>
      </c>
      <c r="D90" s="41" t="s">
        <v>97</v>
      </c>
      <c r="E90" s="31">
        <v>30.33</v>
      </c>
      <c r="F90" s="32">
        <v>3326</v>
      </c>
      <c r="G90" s="33">
        <v>1000</v>
      </c>
      <c r="H90" s="34"/>
      <c r="I90" s="35">
        <f t="shared" si="6"/>
        <v>0</v>
      </c>
      <c r="J90" s="33">
        <v>300</v>
      </c>
      <c r="K90" s="34"/>
      <c r="L90" s="35">
        <f t="shared" si="7"/>
        <v>0</v>
      </c>
      <c r="M90" s="34"/>
      <c r="N90" s="34"/>
      <c r="O90" s="35">
        <f t="shared" si="8"/>
        <v>0</v>
      </c>
      <c r="P90" s="36"/>
    </row>
    <row r="91" spans="2:16" x14ac:dyDescent="0.2">
      <c r="B91" s="41" t="s">
        <v>578</v>
      </c>
      <c r="C91" s="29">
        <v>1997</v>
      </c>
      <c r="D91" s="41" t="s">
        <v>98</v>
      </c>
      <c r="E91" s="31">
        <v>30.55</v>
      </c>
      <c r="F91" s="32">
        <v>3354</v>
      </c>
      <c r="G91" s="33">
        <v>1000</v>
      </c>
      <c r="H91" s="34"/>
      <c r="I91" s="35">
        <f t="shared" si="6"/>
        <v>0</v>
      </c>
      <c r="J91" s="33">
        <v>300</v>
      </c>
      <c r="K91" s="34"/>
      <c r="L91" s="35">
        <f t="shared" si="7"/>
        <v>0</v>
      </c>
      <c r="M91" s="34"/>
      <c r="N91" s="34"/>
      <c r="O91" s="35">
        <f t="shared" si="8"/>
        <v>0</v>
      </c>
      <c r="P91" s="36"/>
    </row>
    <row r="92" spans="2:16" x14ac:dyDescent="0.2">
      <c r="B92" s="41" t="s">
        <v>578</v>
      </c>
      <c r="C92" s="29">
        <v>1997</v>
      </c>
      <c r="D92" s="41" t="s">
        <v>99</v>
      </c>
      <c r="E92" s="31">
        <v>29.63</v>
      </c>
      <c r="F92" s="32">
        <v>3819</v>
      </c>
      <c r="G92" s="33">
        <v>1000</v>
      </c>
      <c r="H92" s="34"/>
      <c r="I92" s="35">
        <f t="shared" si="6"/>
        <v>0</v>
      </c>
      <c r="J92" s="33">
        <v>300</v>
      </c>
      <c r="K92" s="34"/>
      <c r="L92" s="35">
        <f t="shared" si="7"/>
        <v>0</v>
      </c>
      <c r="M92" s="34"/>
      <c r="N92" s="34"/>
      <c r="O92" s="35">
        <f t="shared" si="8"/>
        <v>0</v>
      </c>
      <c r="P92" s="36"/>
    </row>
    <row r="93" spans="2:16" x14ac:dyDescent="0.2">
      <c r="B93" s="43"/>
      <c r="C93" s="452" t="s">
        <v>579</v>
      </c>
      <c r="D93" s="452"/>
      <c r="E93" s="44">
        <f>SUM(E55:E92)</f>
        <v>1121.3100000000002</v>
      </c>
      <c r="F93" s="45">
        <f>SUM(F55:F92)</f>
        <v>138246</v>
      </c>
      <c r="G93" s="39">
        <f t="shared" ref="G93:H93" si="9">SUM(G55:G92)</f>
        <v>36710</v>
      </c>
      <c r="H93" s="46">
        <f t="shared" si="9"/>
        <v>1500</v>
      </c>
      <c r="I93" s="46">
        <f t="shared" si="6"/>
        <v>4.0860800871697078</v>
      </c>
      <c r="J93" s="39">
        <f t="shared" ref="J93:K93" si="10">SUM(J55:J92)</f>
        <v>9750</v>
      </c>
      <c r="K93" s="46">
        <f t="shared" si="10"/>
        <v>950</v>
      </c>
      <c r="L93" s="46">
        <f t="shared" si="7"/>
        <v>9.7435897435897427</v>
      </c>
      <c r="M93" s="46">
        <f t="shared" ref="M93:N93" si="11">SUM(M55:M92)</f>
        <v>0</v>
      </c>
      <c r="N93" s="46">
        <f t="shared" si="11"/>
        <v>0</v>
      </c>
      <c r="O93" s="46">
        <f t="shared" si="8"/>
        <v>0</v>
      </c>
      <c r="P93" s="40"/>
    </row>
    <row r="94" spans="2:16" x14ac:dyDescent="0.2">
      <c r="B94" s="41" t="s">
        <v>580</v>
      </c>
      <c r="C94" s="42">
        <v>1996</v>
      </c>
      <c r="D94" s="30" t="s">
        <v>121</v>
      </c>
      <c r="E94" s="31">
        <v>30.61</v>
      </c>
      <c r="F94" s="32">
        <v>3827</v>
      </c>
      <c r="G94" s="33">
        <v>1000</v>
      </c>
      <c r="H94" s="34"/>
      <c r="I94" s="35">
        <f t="shared" si="6"/>
        <v>0</v>
      </c>
      <c r="J94" s="33">
        <v>300</v>
      </c>
      <c r="K94" s="34"/>
      <c r="L94" s="35">
        <f t="shared" si="7"/>
        <v>0</v>
      </c>
      <c r="M94" s="34"/>
      <c r="N94" s="34"/>
      <c r="O94" s="35">
        <f t="shared" si="8"/>
        <v>0</v>
      </c>
      <c r="P94" s="36"/>
    </row>
    <row r="95" spans="2:16" x14ac:dyDescent="0.2">
      <c r="B95" s="41" t="s">
        <v>580</v>
      </c>
      <c r="C95" s="42">
        <v>1996</v>
      </c>
      <c r="D95" s="47" t="s">
        <v>122</v>
      </c>
      <c r="E95" s="31">
        <v>29.7</v>
      </c>
      <c r="F95" s="32">
        <v>3770</v>
      </c>
      <c r="G95" s="33">
        <v>1000</v>
      </c>
      <c r="H95" s="34"/>
      <c r="I95" s="35">
        <f t="shared" si="6"/>
        <v>0</v>
      </c>
      <c r="J95" s="33">
        <v>300</v>
      </c>
      <c r="K95" s="34"/>
      <c r="L95" s="35">
        <f t="shared" si="7"/>
        <v>0</v>
      </c>
      <c r="M95" s="34"/>
      <c r="N95" s="34"/>
      <c r="O95" s="35">
        <f t="shared" si="8"/>
        <v>0</v>
      </c>
      <c r="P95" s="36"/>
    </row>
    <row r="96" spans="2:16" x14ac:dyDescent="0.2">
      <c r="B96" s="41" t="s">
        <v>580</v>
      </c>
      <c r="C96" s="42">
        <v>1996</v>
      </c>
      <c r="D96" s="47" t="s">
        <v>134</v>
      </c>
      <c r="E96" s="31">
        <v>29.85</v>
      </c>
      <c r="F96" s="32">
        <v>3646</v>
      </c>
      <c r="G96" s="33">
        <v>1000</v>
      </c>
      <c r="H96" s="34"/>
      <c r="I96" s="35">
        <f t="shared" si="6"/>
        <v>0</v>
      </c>
      <c r="J96" s="33">
        <v>300</v>
      </c>
      <c r="K96" s="34"/>
      <c r="L96" s="35">
        <f t="shared" si="7"/>
        <v>0</v>
      </c>
      <c r="M96" s="34"/>
      <c r="N96" s="34"/>
      <c r="O96" s="35">
        <f t="shared" si="8"/>
        <v>0</v>
      </c>
      <c r="P96" s="36"/>
    </row>
    <row r="97" spans="2:16" x14ac:dyDescent="0.2">
      <c r="B97" s="41" t="s">
        <v>580</v>
      </c>
      <c r="C97" s="42">
        <v>1996</v>
      </c>
      <c r="D97" s="30" t="s">
        <v>135</v>
      </c>
      <c r="E97" s="31">
        <v>29.45</v>
      </c>
      <c r="F97" s="32">
        <v>4043</v>
      </c>
      <c r="G97" s="33">
        <v>1000</v>
      </c>
      <c r="H97" s="34"/>
      <c r="I97" s="35">
        <f t="shared" si="6"/>
        <v>0</v>
      </c>
      <c r="J97" s="33">
        <v>300</v>
      </c>
      <c r="K97" s="34"/>
      <c r="L97" s="35">
        <f t="shared" si="7"/>
        <v>0</v>
      </c>
      <c r="M97" s="34"/>
      <c r="N97" s="34"/>
      <c r="O97" s="35">
        <f t="shared" si="8"/>
        <v>0</v>
      </c>
      <c r="P97" s="36"/>
    </row>
    <row r="98" spans="2:16" x14ac:dyDescent="0.2">
      <c r="B98" s="41" t="s">
        <v>580</v>
      </c>
      <c r="C98" s="42">
        <v>1996</v>
      </c>
      <c r="D98" s="47" t="s">
        <v>147</v>
      </c>
      <c r="E98" s="31">
        <v>30.89</v>
      </c>
      <c r="F98" s="32">
        <v>4024</v>
      </c>
      <c r="G98" s="33">
        <v>1000</v>
      </c>
      <c r="H98" s="34"/>
      <c r="I98" s="35">
        <f t="shared" si="6"/>
        <v>0</v>
      </c>
      <c r="J98" s="33"/>
      <c r="K98" s="34"/>
      <c r="L98" s="35">
        <f t="shared" si="7"/>
        <v>0</v>
      </c>
      <c r="M98" s="34">
        <v>300</v>
      </c>
      <c r="N98" s="34">
        <v>300</v>
      </c>
      <c r="O98" s="35">
        <f t="shared" si="8"/>
        <v>100</v>
      </c>
      <c r="P98" s="36"/>
    </row>
    <row r="99" spans="2:16" x14ac:dyDescent="0.2">
      <c r="B99" s="41" t="s">
        <v>580</v>
      </c>
      <c r="C99" s="42">
        <v>1996</v>
      </c>
      <c r="D99" s="47" t="s">
        <v>148</v>
      </c>
      <c r="E99" s="31">
        <v>31.76</v>
      </c>
      <c r="F99" s="32">
        <v>4158</v>
      </c>
      <c r="G99" s="33">
        <v>1000</v>
      </c>
      <c r="H99" s="34"/>
      <c r="I99" s="35">
        <f t="shared" si="6"/>
        <v>0</v>
      </c>
      <c r="J99" s="33"/>
      <c r="K99" s="34"/>
      <c r="L99" s="35">
        <f t="shared" si="7"/>
        <v>0</v>
      </c>
      <c r="M99" s="34">
        <v>300</v>
      </c>
      <c r="N99" s="34"/>
      <c r="O99" s="35">
        <f t="shared" si="8"/>
        <v>0</v>
      </c>
      <c r="P99" s="36"/>
    </row>
    <row r="100" spans="2:16" x14ac:dyDescent="0.2">
      <c r="B100" s="41" t="s">
        <v>580</v>
      </c>
      <c r="C100" s="42">
        <v>1996</v>
      </c>
      <c r="D100" s="47" t="s">
        <v>113</v>
      </c>
      <c r="E100" s="31">
        <v>28.38</v>
      </c>
      <c r="F100" s="32">
        <v>3802</v>
      </c>
      <c r="G100" s="33">
        <v>1000</v>
      </c>
      <c r="H100" s="34"/>
      <c r="I100" s="35">
        <f t="shared" si="6"/>
        <v>0</v>
      </c>
      <c r="J100" s="33">
        <v>300</v>
      </c>
      <c r="K100" s="34"/>
      <c r="L100" s="35">
        <f t="shared" si="7"/>
        <v>0</v>
      </c>
      <c r="M100" s="34"/>
      <c r="N100" s="34"/>
      <c r="O100" s="35">
        <f t="shared" si="8"/>
        <v>0</v>
      </c>
      <c r="P100" s="36"/>
    </row>
    <row r="101" spans="2:16" x14ac:dyDescent="0.2">
      <c r="B101" s="41" t="s">
        <v>580</v>
      </c>
      <c r="C101" s="42">
        <v>1996</v>
      </c>
      <c r="D101" s="47" t="s">
        <v>114</v>
      </c>
      <c r="E101" s="31">
        <v>30.21</v>
      </c>
      <c r="F101" s="32">
        <v>3764</v>
      </c>
      <c r="G101" s="33">
        <v>1000</v>
      </c>
      <c r="H101" s="34"/>
      <c r="I101" s="35">
        <f t="shared" si="6"/>
        <v>0</v>
      </c>
      <c r="J101" s="33">
        <v>300</v>
      </c>
      <c r="K101" s="34"/>
      <c r="L101" s="35">
        <f t="shared" si="7"/>
        <v>0</v>
      </c>
      <c r="M101" s="34"/>
      <c r="N101" s="34"/>
      <c r="O101" s="35">
        <f t="shared" si="8"/>
        <v>0</v>
      </c>
      <c r="P101" s="36"/>
    </row>
    <row r="102" spans="2:16" x14ac:dyDescent="0.2">
      <c r="B102" s="41" t="s">
        <v>580</v>
      </c>
      <c r="C102" s="42">
        <v>1996</v>
      </c>
      <c r="D102" s="47" t="s">
        <v>115</v>
      </c>
      <c r="E102" s="31">
        <v>29.59</v>
      </c>
      <c r="F102" s="32">
        <v>4012</v>
      </c>
      <c r="G102" s="33">
        <v>1000</v>
      </c>
      <c r="H102" s="34"/>
      <c r="I102" s="35">
        <f t="shared" si="6"/>
        <v>0</v>
      </c>
      <c r="J102" s="33">
        <v>300</v>
      </c>
      <c r="K102" s="34"/>
      <c r="L102" s="35">
        <f t="shared" si="7"/>
        <v>0</v>
      </c>
      <c r="M102" s="34"/>
      <c r="N102" s="34"/>
      <c r="O102" s="35">
        <f t="shared" si="8"/>
        <v>0</v>
      </c>
      <c r="P102" s="36"/>
    </row>
    <row r="103" spans="2:16" x14ac:dyDescent="0.2">
      <c r="B103" s="41" t="s">
        <v>580</v>
      </c>
      <c r="C103" s="42">
        <v>1996</v>
      </c>
      <c r="D103" s="47" t="s">
        <v>116</v>
      </c>
      <c r="E103" s="31">
        <v>29.73</v>
      </c>
      <c r="F103" s="32">
        <v>3872</v>
      </c>
      <c r="G103" s="33"/>
      <c r="H103" s="34"/>
      <c r="I103" s="35">
        <f t="shared" si="6"/>
        <v>0</v>
      </c>
      <c r="J103" s="33">
        <v>300</v>
      </c>
      <c r="K103" s="34"/>
      <c r="L103" s="35">
        <f t="shared" si="7"/>
        <v>0</v>
      </c>
      <c r="M103" s="34">
        <v>1000</v>
      </c>
      <c r="N103" s="34">
        <v>1000</v>
      </c>
      <c r="O103" s="35">
        <f>IFERROR(N103/M103%,0)</f>
        <v>100</v>
      </c>
      <c r="P103" s="36"/>
    </row>
    <row r="104" spans="2:16" x14ac:dyDescent="0.2">
      <c r="B104" s="41" t="s">
        <v>580</v>
      </c>
      <c r="C104" s="42">
        <v>1996</v>
      </c>
      <c r="D104" s="47" t="s">
        <v>118</v>
      </c>
      <c r="E104" s="31">
        <v>30.01</v>
      </c>
      <c r="F104" s="32">
        <v>3780</v>
      </c>
      <c r="G104" s="33">
        <v>1000</v>
      </c>
      <c r="H104" s="34"/>
      <c r="I104" s="35">
        <f t="shared" si="6"/>
        <v>0</v>
      </c>
      <c r="J104" s="33">
        <v>300</v>
      </c>
      <c r="K104" s="34"/>
      <c r="L104" s="35">
        <f t="shared" si="7"/>
        <v>0</v>
      </c>
      <c r="M104" s="34"/>
      <c r="N104" s="34"/>
      <c r="O104" s="35">
        <f t="shared" si="8"/>
        <v>0</v>
      </c>
      <c r="P104" s="36"/>
    </row>
    <row r="105" spans="2:16" x14ac:dyDescent="0.2">
      <c r="B105" s="41" t="s">
        <v>580</v>
      </c>
      <c r="C105" s="42">
        <v>1996</v>
      </c>
      <c r="D105" s="47" t="s">
        <v>120</v>
      </c>
      <c r="E105" s="31">
        <v>30.38</v>
      </c>
      <c r="F105" s="32">
        <v>4074</v>
      </c>
      <c r="G105" s="33">
        <v>1000</v>
      </c>
      <c r="H105" s="34"/>
      <c r="I105" s="35">
        <f t="shared" si="6"/>
        <v>0</v>
      </c>
      <c r="J105" s="33">
        <v>300</v>
      </c>
      <c r="K105" s="34"/>
      <c r="L105" s="35">
        <f t="shared" si="7"/>
        <v>0</v>
      </c>
      <c r="M105" s="34"/>
      <c r="N105" s="34"/>
      <c r="O105" s="35">
        <f t="shared" si="8"/>
        <v>0</v>
      </c>
      <c r="P105" s="36"/>
    </row>
    <row r="106" spans="2:16" x14ac:dyDescent="0.2">
      <c r="B106" s="41" t="s">
        <v>580</v>
      </c>
      <c r="C106" s="42">
        <v>1996</v>
      </c>
      <c r="D106" s="47" t="s">
        <v>128</v>
      </c>
      <c r="E106" s="31">
        <v>31.15</v>
      </c>
      <c r="F106" s="32">
        <v>3898</v>
      </c>
      <c r="G106" s="33">
        <v>1000</v>
      </c>
      <c r="H106" s="34"/>
      <c r="I106" s="35">
        <f t="shared" si="6"/>
        <v>0</v>
      </c>
      <c r="J106" s="33">
        <v>300</v>
      </c>
      <c r="K106" s="34"/>
      <c r="L106" s="35">
        <f t="shared" si="7"/>
        <v>0</v>
      </c>
      <c r="M106" s="34"/>
      <c r="N106" s="34"/>
      <c r="O106" s="35">
        <f t="shared" si="8"/>
        <v>0</v>
      </c>
      <c r="P106" s="36"/>
    </row>
    <row r="107" spans="2:16" x14ac:dyDescent="0.2">
      <c r="B107" s="41" t="s">
        <v>580</v>
      </c>
      <c r="C107" s="42">
        <v>1996</v>
      </c>
      <c r="D107" s="47" t="s">
        <v>129</v>
      </c>
      <c r="E107" s="31">
        <v>30.26</v>
      </c>
      <c r="F107" s="32">
        <v>3939</v>
      </c>
      <c r="G107" s="33"/>
      <c r="H107" s="34"/>
      <c r="I107" s="35">
        <f t="shared" si="6"/>
        <v>0</v>
      </c>
      <c r="J107" s="33">
        <v>300</v>
      </c>
      <c r="K107" s="34"/>
      <c r="L107" s="35">
        <f t="shared" si="7"/>
        <v>0</v>
      </c>
      <c r="M107" s="34">
        <v>1000</v>
      </c>
      <c r="N107" s="34">
        <v>1000</v>
      </c>
      <c r="O107" s="35">
        <f t="shared" si="8"/>
        <v>100</v>
      </c>
      <c r="P107" s="36"/>
    </row>
    <row r="108" spans="2:16" x14ac:dyDescent="0.2">
      <c r="B108" s="41" t="s">
        <v>580</v>
      </c>
      <c r="C108" s="42">
        <v>1996</v>
      </c>
      <c r="D108" s="47" t="s">
        <v>130</v>
      </c>
      <c r="E108" s="31">
        <v>30.35</v>
      </c>
      <c r="F108" s="32">
        <v>3830</v>
      </c>
      <c r="G108" s="33">
        <v>1000</v>
      </c>
      <c r="H108" s="34"/>
      <c r="I108" s="35">
        <f t="shared" si="6"/>
        <v>0</v>
      </c>
      <c r="J108" s="33">
        <v>300</v>
      </c>
      <c r="K108" s="34"/>
      <c r="L108" s="35">
        <f t="shared" si="7"/>
        <v>0</v>
      </c>
      <c r="M108" s="34"/>
      <c r="N108" s="34"/>
      <c r="O108" s="35">
        <f t="shared" si="8"/>
        <v>0</v>
      </c>
      <c r="P108" s="36"/>
    </row>
    <row r="109" spans="2:16" x14ac:dyDescent="0.2">
      <c r="B109" s="41" t="s">
        <v>580</v>
      </c>
      <c r="C109" s="42">
        <v>1996</v>
      </c>
      <c r="D109" s="47" t="s">
        <v>131</v>
      </c>
      <c r="E109" s="31">
        <v>30.17</v>
      </c>
      <c r="F109" s="32">
        <v>3895</v>
      </c>
      <c r="G109" s="33">
        <v>1000</v>
      </c>
      <c r="H109" s="34"/>
      <c r="I109" s="35">
        <f t="shared" si="6"/>
        <v>0</v>
      </c>
      <c r="J109" s="33">
        <v>300</v>
      </c>
      <c r="K109" s="34"/>
      <c r="L109" s="35">
        <f t="shared" si="7"/>
        <v>0</v>
      </c>
      <c r="M109" s="34"/>
      <c r="N109" s="34"/>
      <c r="O109" s="35">
        <f t="shared" si="8"/>
        <v>0</v>
      </c>
      <c r="P109" s="36"/>
    </row>
    <row r="110" spans="2:16" x14ac:dyDescent="0.2">
      <c r="B110" s="41" t="s">
        <v>580</v>
      </c>
      <c r="C110" s="42">
        <v>1996</v>
      </c>
      <c r="D110" s="47" t="s">
        <v>132</v>
      </c>
      <c r="E110" s="31">
        <v>29.46</v>
      </c>
      <c r="F110" s="32">
        <v>3970</v>
      </c>
      <c r="G110" s="33">
        <v>1000</v>
      </c>
      <c r="H110" s="34"/>
      <c r="I110" s="35">
        <f t="shared" si="6"/>
        <v>0</v>
      </c>
      <c r="J110" s="33">
        <v>300</v>
      </c>
      <c r="K110" s="34"/>
      <c r="L110" s="35">
        <f t="shared" si="7"/>
        <v>0</v>
      </c>
      <c r="M110" s="34"/>
      <c r="N110" s="34"/>
      <c r="O110" s="35">
        <f t="shared" si="8"/>
        <v>0</v>
      </c>
      <c r="P110" s="36"/>
    </row>
    <row r="111" spans="2:16" x14ac:dyDescent="0.2">
      <c r="B111" s="41" t="s">
        <v>580</v>
      </c>
      <c r="C111" s="42">
        <v>1996</v>
      </c>
      <c r="D111" s="47" t="s">
        <v>133</v>
      </c>
      <c r="E111" s="31">
        <v>30.44</v>
      </c>
      <c r="F111" s="32">
        <v>4146</v>
      </c>
      <c r="G111" s="33">
        <v>1000</v>
      </c>
      <c r="H111" s="34"/>
      <c r="I111" s="35">
        <f t="shared" si="6"/>
        <v>0</v>
      </c>
      <c r="J111" s="33">
        <v>300</v>
      </c>
      <c r="K111" s="34"/>
      <c r="L111" s="35">
        <f t="shared" si="7"/>
        <v>0</v>
      </c>
      <c r="M111" s="34"/>
      <c r="N111" s="34"/>
      <c r="O111" s="35">
        <f t="shared" si="8"/>
        <v>0</v>
      </c>
      <c r="P111" s="36"/>
    </row>
    <row r="112" spans="2:16" x14ac:dyDescent="0.2">
      <c r="B112" s="41" t="s">
        <v>580</v>
      </c>
      <c r="C112" s="42">
        <v>1996</v>
      </c>
      <c r="D112" s="47" t="s">
        <v>141</v>
      </c>
      <c r="E112" s="31">
        <v>31.14</v>
      </c>
      <c r="F112" s="32">
        <v>4111</v>
      </c>
      <c r="G112" s="33">
        <v>1000</v>
      </c>
      <c r="H112" s="34"/>
      <c r="I112" s="35">
        <f t="shared" si="6"/>
        <v>0</v>
      </c>
      <c r="J112" s="33"/>
      <c r="K112" s="34"/>
      <c r="L112" s="35">
        <f t="shared" si="7"/>
        <v>0</v>
      </c>
      <c r="M112" s="34">
        <v>300</v>
      </c>
      <c r="N112" s="34">
        <v>300</v>
      </c>
      <c r="O112" s="35">
        <f t="shared" si="8"/>
        <v>100</v>
      </c>
      <c r="P112" s="36"/>
    </row>
    <row r="113" spans="2:16" x14ac:dyDescent="0.2">
      <c r="B113" s="41" t="s">
        <v>580</v>
      </c>
      <c r="C113" s="42">
        <v>1996</v>
      </c>
      <c r="D113" s="47" t="s">
        <v>145</v>
      </c>
      <c r="E113" s="31">
        <v>29.62</v>
      </c>
      <c r="F113" s="32">
        <v>4290</v>
      </c>
      <c r="G113" s="33">
        <v>1000</v>
      </c>
      <c r="H113" s="34"/>
      <c r="I113" s="35">
        <f t="shared" si="6"/>
        <v>0</v>
      </c>
      <c r="J113" s="33"/>
      <c r="K113" s="34"/>
      <c r="L113" s="35">
        <f t="shared" si="7"/>
        <v>0</v>
      </c>
      <c r="M113" s="34">
        <v>300</v>
      </c>
      <c r="N113" s="34">
        <v>300</v>
      </c>
      <c r="O113" s="35">
        <f t="shared" si="8"/>
        <v>100</v>
      </c>
      <c r="P113" s="36"/>
    </row>
    <row r="114" spans="2:16" x14ac:dyDescent="0.2">
      <c r="B114" s="41" t="s">
        <v>580</v>
      </c>
      <c r="C114" s="42">
        <v>1996</v>
      </c>
      <c r="D114" s="47" t="s">
        <v>146</v>
      </c>
      <c r="E114" s="31">
        <v>30.55</v>
      </c>
      <c r="F114" s="32">
        <v>4362</v>
      </c>
      <c r="G114" s="33">
        <v>1000</v>
      </c>
      <c r="H114" s="34"/>
      <c r="I114" s="35">
        <f t="shared" si="6"/>
        <v>0</v>
      </c>
      <c r="J114" s="33"/>
      <c r="K114" s="34"/>
      <c r="L114" s="35">
        <f t="shared" si="7"/>
        <v>0</v>
      </c>
      <c r="M114" s="34">
        <v>300</v>
      </c>
      <c r="N114" s="34">
        <v>300</v>
      </c>
      <c r="O114" s="35">
        <f t="shared" si="8"/>
        <v>100</v>
      </c>
      <c r="P114" s="36"/>
    </row>
    <row r="115" spans="2:16" ht="17" x14ac:dyDescent="0.2">
      <c r="B115" s="41" t="s">
        <v>580</v>
      </c>
      <c r="C115" s="42">
        <v>1997</v>
      </c>
      <c r="D115" s="48" t="s">
        <v>117</v>
      </c>
      <c r="E115" s="31">
        <v>29.87</v>
      </c>
      <c r="F115" s="32">
        <v>3839</v>
      </c>
      <c r="G115" s="33">
        <v>1000</v>
      </c>
      <c r="H115" s="34"/>
      <c r="I115" s="35">
        <f t="shared" si="6"/>
        <v>0</v>
      </c>
      <c r="J115" s="33">
        <v>300</v>
      </c>
      <c r="K115" s="34"/>
      <c r="L115" s="35">
        <f t="shared" si="7"/>
        <v>0</v>
      </c>
      <c r="M115" s="34"/>
      <c r="N115" s="34"/>
      <c r="O115" s="35">
        <f t="shared" si="8"/>
        <v>0</v>
      </c>
      <c r="P115" s="36"/>
    </row>
    <row r="116" spans="2:16" ht="17" x14ac:dyDescent="0.2">
      <c r="B116" s="41" t="s">
        <v>580</v>
      </c>
      <c r="C116" s="42">
        <v>1997</v>
      </c>
      <c r="D116" s="48" t="s">
        <v>119</v>
      </c>
      <c r="E116" s="31">
        <v>29.74</v>
      </c>
      <c r="F116" s="32">
        <v>4162</v>
      </c>
      <c r="G116" s="33">
        <v>1000</v>
      </c>
      <c r="H116" s="34"/>
      <c r="I116" s="35">
        <f t="shared" si="6"/>
        <v>0</v>
      </c>
      <c r="J116" s="33">
        <v>300</v>
      </c>
      <c r="K116" s="34"/>
      <c r="L116" s="35">
        <f t="shared" si="7"/>
        <v>0</v>
      </c>
      <c r="M116" s="34"/>
      <c r="N116" s="34"/>
      <c r="O116" s="35">
        <f t="shared" si="8"/>
        <v>0</v>
      </c>
      <c r="P116" s="36"/>
    </row>
    <row r="117" spans="2:16" ht="17" x14ac:dyDescent="0.2">
      <c r="B117" s="41" t="s">
        <v>580</v>
      </c>
      <c r="C117" s="42">
        <v>1997</v>
      </c>
      <c r="D117" s="48" t="s">
        <v>126</v>
      </c>
      <c r="E117" s="31">
        <v>30.46</v>
      </c>
      <c r="F117" s="32">
        <v>3868</v>
      </c>
      <c r="G117" s="33">
        <v>1000</v>
      </c>
      <c r="H117" s="34"/>
      <c r="I117" s="35">
        <f t="shared" si="6"/>
        <v>0</v>
      </c>
      <c r="J117" s="33">
        <v>300</v>
      </c>
      <c r="K117" s="34"/>
      <c r="L117" s="35">
        <f t="shared" si="7"/>
        <v>0</v>
      </c>
      <c r="M117" s="34"/>
      <c r="N117" s="34"/>
      <c r="O117" s="35">
        <f t="shared" si="8"/>
        <v>0</v>
      </c>
      <c r="P117" s="36"/>
    </row>
    <row r="118" spans="2:16" ht="17" x14ac:dyDescent="0.2">
      <c r="B118" s="41" t="s">
        <v>580</v>
      </c>
      <c r="C118" s="42">
        <v>1997</v>
      </c>
      <c r="D118" s="48" t="s">
        <v>127</v>
      </c>
      <c r="E118" s="31">
        <v>30.31</v>
      </c>
      <c r="F118" s="32">
        <v>3813</v>
      </c>
      <c r="G118" s="33">
        <v>1000</v>
      </c>
      <c r="H118" s="34"/>
      <c r="I118" s="35">
        <f t="shared" si="6"/>
        <v>0</v>
      </c>
      <c r="J118" s="33">
        <v>300</v>
      </c>
      <c r="K118" s="34"/>
      <c r="L118" s="35">
        <f t="shared" si="7"/>
        <v>0</v>
      </c>
      <c r="M118" s="34"/>
      <c r="N118" s="34"/>
      <c r="O118" s="35">
        <f t="shared" si="8"/>
        <v>0</v>
      </c>
      <c r="P118" s="36"/>
    </row>
    <row r="119" spans="2:16" ht="17" x14ac:dyDescent="0.2">
      <c r="B119" s="41" t="s">
        <v>580</v>
      </c>
      <c r="C119" s="42">
        <v>1997</v>
      </c>
      <c r="D119" s="48" t="s">
        <v>139</v>
      </c>
      <c r="E119" s="31">
        <v>31.29</v>
      </c>
      <c r="F119" s="32">
        <v>4206</v>
      </c>
      <c r="G119" s="33">
        <v>1000</v>
      </c>
      <c r="H119" s="34"/>
      <c r="I119" s="35">
        <f t="shared" si="6"/>
        <v>0</v>
      </c>
      <c r="J119" s="33"/>
      <c r="K119" s="34"/>
      <c r="L119" s="35">
        <f t="shared" si="7"/>
        <v>0</v>
      </c>
      <c r="M119" s="34">
        <v>300</v>
      </c>
      <c r="N119" s="34">
        <v>300</v>
      </c>
      <c r="O119" s="35">
        <f t="shared" si="8"/>
        <v>100</v>
      </c>
      <c r="P119" s="36"/>
    </row>
    <row r="120" spans="2:16" ht="17" x14ac:dyDescent="0.2">
      <c r="B120" s="41" t="s">
        <v>580</v>
      </c>
      <c r="C120" s="42">
        <v>1997</v>
      </c>
      <c r="D120" s="48" t="s">
        <v>140</v>
      </c>
      <c r="E120" s="31">
        <v>29.26</v>
      </c>
      <c r="F120" s="32">
        <v>3825</v>
      </c>
      <c r="G120" s="33">
        <v>1000</v>
      </c>
      <c r="H120" s="34"/>
      <c r="I120" s="35">
        <f t="shared" si="6"/>
        <v>0</v>
      </c>
      <c r="J120" s="33"/>
      <c r="K120" s="34"/>
      <c r="L120" s="35">
        <f t="shared" si="7"/>
        <v>0</v>
      </c>
      <c r="M120" s="34">
        <v>300</v>
      </c>
      <c r="N120" s="34">
        <v>300</v>
      </c>
      <c r="O120" s="35">
        <f t="shared" si="8"/>
        <v>100</v>
      </c>
      <c r="P120" s="36"/>
    </row>
    <row r="121" spans="2:16" ht="17" x14ac:dyDescent="0.2">
      <c r="B121" s="41" t="s">
        <v>580</v>
      </c>
      <c r="C121" s="42">
        <v>1997</v>
      </c>
      <c r="D121" s="48" t="s">
        <v>142</v>
      </c>
      <c r="E121" s="31">
        <v>30.04</v>
      </c>
      <c r="F121" s="32">
        <v>3988</v>
      </c>
      <c r="G121" s="33">
        <v>1000</v>
      </c>
      <c r="H121" s="34">
        <v>1000</v>
      </c>
      <c r="I121" s="35">
        <f t="shared" si="6"/>
        <v>100</v>
      </c>
      <c r="J121" s="33"/>
      <c r="K121" s="34"/>
      <c r="L121" s="35">
        <f t="shared" si="7"/>
        <v>0</v>
      </c>
      <c r="M121" s="34">
        <v>300</v>
      </c>
      <c r="N121" s="34">
        <v>300</v>
      </c>
      <c r="O121" s="35">
        <f t="shared" si="8"/>
        <v>100</v>
      </c>
      <c r="P121" s="36"/>
    </row>
    <row r="122" spans="2:16" ht="17" x14ac:dyDescent="0.2">
      <c r="B122" s="41" t="s">
        <v>580</v>
      </c>
      <c r="C122" s="42">
        <v>1997</v>
      </c>
      <c r="D122" s="48" t="s">
        <v>143</v>
      </c>
      <c r="E122" s="31">
        <v>29.36</v>
      </c>
      <c r="F122" s="32">
        <v>3755</v>
      </c>
      <c r="G122" s="33">
        <v>1000</v>
      </c>
      <c r="H122" s="34"/>
      <c r="I122" s="35">
        <f t="shared" si="6"/>
        <v>0</v>
      </c>
      <c r="J122" s="33"/>
      <c r="K122" s="34"/>
      <c r="L122" s="35">
        <f t="shared" si="7"/>
        <v>0</v>
      </c>
      <c r="M122" s="34">
        <v>300</v>
      </c>
      <c r="N122" s="34">
        <v>300</v>
      </c>
      <c r="O122" s="35">
        <f t="shared" si="8"/>
        <v>100</v>
      </c>
      <c r="P122" s="36"/>
    </row>
    <row r="123" spans="2:16" ht="17" x14ac:dyDescent="0.2">
      <c r="B123" s="41" t="s">
        <v>580</v>
      </c>
      <c r="C123" s="42">
        <v>1997</v>
      </c>
      <c r="D123" s="48" t="s">
        <v>144</v>
      </c>
      <c r="E123" s="31">
        <v>30.39</v>
      </c>
      <c r="F123" s="32">
        <v>3916</v>
      </c>
      <c r="G123" s="33">
        <v>1000</v>
      </c>
      <c r="H123" s="34"/>
      <c r="I123" s="35">
        <f t="shared" si="6"/>
        <v>0</v>
      </c>
      <c r="J123" s="33"/>
      <c r="K123" s="34"/>
      <c r="L123" s="35">
        <f t="shared" si="7"/>
        <v>0</v>
      </c>
      <c r="M123" s="34">
        <v>300</v>
      </c>
      <c r="N123" s="34">
        <v>300</v>
      </c>
      <c r="O123" s="35">
        <f t="shared" si="8"/>
        <v>100</v>
      </c>
      <c r="P123" s="36"/>
    </row>
    <row r="124" spans="2:16" ht="17" x14ac:dyDescent="0.2">
      <c r="B124" s="41" t="s">
        <v>580</v>
      </c>
      <c r="C124" s="42">
        <v>1997</v>
      </c>
      <c r="D124" s="48" t="s">
        <v>110</v>
      </c>
      <c r="E124" s="31">
        <v>27.66</v>
      </c>
      <c r="F124" s="32">
        <v>3168</v>
      </c>
      <c r="G124" s="33">
        <v>2000</v>
      </c>
      <c r="H124" s="34"/>
      <c r="I124" s="35">
        <f t="shared" si="6"/>
        <v>0</v>
      </c>
      <c r="J124" s="33">
        <v>300</v>
      </c>
      <c r="K124" s="34"/>
      <c r="L124" s="35">
        <f t="shared" si="7"/>
        <v>0</v>
      </c>
      <c r="M124" s="34"/>
      <c r="N124" s="34"/>
      <c r="O124" s="35">
        <f t="shared" si="8"/>
        <v>0</v>
      </c>
      <c r="P124" s="36"/>
    </row>
    <row r="125" spans="2:16" ht="17" x14ac:dyDescent="0.2">
      <c r="B125" s="41" t="s">
        <v>580</v>
      </c>
      <c r="C125" s="42">
        <v>1997</v>
      </c>
      <c r="D125" s="48" t="s">
        <v>111</v>
      </c>
      <c r="E125" s="31">
        <v>28.78</v>
      </c>
      <c r="F125" s="32">
        <v>3653</v>
      </c>
      <c r="G125" s="33">
        <v>1000</v>
      </c>
      <c r="H125" s="34"/>
      <c r="I125" s="35">
        <f t="shared" si="6"/>
        <v>0</v>
      </c>
      <c r="J125" s="33">
        <v>300</v>
      </c>
      <c r="K125" s="34"/>
      <c r="L125" s="35">
        <f t="shared" si="7"/>
        <v>0</v>
      </c>
      <c r="M125" s="34"/>
      <c r="N125" s="34"/>
      <c r="O125" s="35">
        <f t="shared" si="8"/>
        <v>0</v>
      </c>
      <c r="P125" s="36"/>
    </row>
    <row r="126" spans="2:16" ht="17" x14ac:dyDescent="0.2">
      <c r="B126" s="41" t="s">
        <v>580</v>
      </c>
      <c r="C126" s="42">
        <v>1997</v>
      </c>
      <c r="D126" s="48" t="s">
        <v>112</v>
      </c>
      <c r="E126" s="31">
        <v>29.35</v>
      </c>
      <c r="F126" s="32">
        <v>3639</v>
      </c>
      <c r="G126" s="33">
        <v>1000</v>
      </c>
      <c r="H126" s="34"/>
      <c r="I126" s="35">
        <f t="shared" si="6"/>
        <v>0</v>
      </c>
      <c r="J126" s="33">
        <v>300</v>
      </c>
      <c r="K126" s="34"/>
      <c r="L126" s="35">
        <f t="shared" si="7"/>
        <v>0</v>
      </c>
      <c r="M126" s="34"/>
      <c r="N126" s="34"/>
      <c r="O126" s="35">
        <f t="shared" si="8"/>
        <v>0</v>
      </c>
      <c r="P126" s="36"/>
    </row>
    <row r="127" spans="2:16" ht="17" x14ac:dyDescent="0.2">
      <c r="B127" s="41" t="s">
        <v>580</v>
      </c>
      <c r="C127" s="42">
        <v>1997</v>
      </c>
      <c r="D127" s="48" t="s">
        <v>123</v>
      </c>
      <c r="E127" s="31">
        <v>28.71</v>
      </c>
      <c r="F127" s="32">
        <v>3673</v>
      </c>
      <c r="G127" s="33">
        <v>1865</v>
      </c>
      <c r="H127" s="34"/>
      <c r="I127" s="35">
        <f t="shared" si="6"/>
        <v>0</v>
      </c>
      <c r="J127" s="33">
        <v>300</v>
      </c>
      <c r="K127" s="34"/>
      <c r="L127" s="35">
        <f t="shared" si="7"/>
        <v>0</v>
      </c>
      <c r="M127" s="34"/>
      <c r="N127" s="34"/>
      <c r="O127" s="35">
        <f t="shared" si="8"/>
        <v>0</v>
      </c>
      <c r="P127" s="36"/>
    </row>
    <row r="128" spans="2:16" ht="17" x14ac:dyDescent="0.2">
      <c r="B128" s="41" t="s">
        <v>580</v>
      </c>
      <c r="C128" s="42">
        <v>1997</v>
      </c>
      <c r="D128" s="48" t="s">
        <v>124</v>
      </c>
      <c r="E128" s="31">
        <v>30.04</v>
      </c>
      <c r="F128" s="32">
        <v>3882</v>
      </c>
      <c r="G128" s="33">
        <v>1000</v>
      </c>
      <c r="H128" s="34"/>
      <c r="I128" s="35">
        <f t="shared" si="6"/>
        <v>0</v>
      </c>
      <c r="J128" s="33">
        <v>300</v>
      </c>
      <c r="K128" s="34"/>
      <c r="L128" s="35">
        <f t="shared" si="7"/>
        <v>0</v>
      </c>
      <c r="M128" s="34"/>
      <c r="N128" s="34"/>
      <c r="O128" s="35">
        <f t="shared" si="8"/>
        <v>0</v>
      </c>
      <c r="P128" s="36"/>
    </row>
    <row r="129" spans="2:16" ht="17" x14ac:dyDescent="0.2">
      <c r="B129" s="41" t="s">
        <v>580</v>
      </c>
      <c r="C129" s="42">
        <v>1997</v>
      </c>
      <c r="D129" s="48" t="s">
        <v>125</v>
      </c>
      <c r="E129" s="31">
        <v>30.11</v>
      </c>
      <c r="F129" s="32">
        <v>3864</v>
      </c>
      <c r="G129" s="33">
        <v>1000</v>
      </c>
      <c r="H129" s="34"/>
      <c r="I129" s="35">
        <f t="shared" si="6"/>
        <v>0</v>
      </c>
      <c r="J129" s="33">
        <v>300</v>
      </c>
      <c r="K129" s="34"/>
      <c r="L129" s="35">
        <f t="shared" si="7"/>
        <v>0</v>
      </c>
      <c r="M129" s="34"/>
      <c r="N129" s="34"/>
      <c r="O129" s="35">
        <f t="shared" si="8"/>
        <v>0</v>
      </c>
      <c r="P129" s="36"/>
    </row>
    <row r="130" spans="2:16" ht="17" x14ac:dyDescent="0.2">
      <c r="B130" s="41" t="s">
        <v>580</v>
      </c>
      <c r="C130" s="42">
        <v>1997</v>
      </c>
      <c r="D130" s="48" t="s">
        <v>136</v>
      </c>
      <c r="E130" s="31">
        <v>32.07</v>
      </c>
      <c r="F130" s="32">
        <v>4062</v>
      </c>
      <c r="G130" s="33">
        <v>1000</v>
      </c>
      <c r="H130" s="34"/>
      <c r="I130" s="35">
        <f t="shared" si="6"/>
        <v>0</v>
      </c>
      <c r="J130" s="33">
        <v>300</v>
      </c>
      <c r="K130" s="34"/>
      <c r="L130" s="35">
        <f t="shared" si="7"/>
        <v>0</v>
      </c>
      <c r="M130" s="34">
        <v>1000</v>
      </c>
      <c r="N130" s="34"/>
      <c r="O130" s="35">
        <f t="shared" si="8"/>
        <v>0</v>
      </c>
      <c r="P130" s="36"/>
    </row>
    <row r="131" spans="2:16" ht="17" x14ac:dyDescent="0.2">
      <c r="B131" s="41" t="s">
        <v>580</v>
      </c>
      <c r="C131" s="42">
        <v>1997</v>
      </c>
      <c r="D131" s="48" t="s">
        <v>137</v>
      </c>
      <c r="E131" s="31">
        <v>28.24</v>
      </c>
      <c r="F131" s="32">
        <v>3113</v>
      </c>
      <c r="G131" s="33">
        <v>1000</v>
      </c>
      <c r="H131" s="34"/>
      <c r="I131" s="35">
        <f t="shared" si="6"/>
        <v>0</v>
      </c>
      <c r="J131" s="33"/>
      <c r="K131" s="34"/>
      <c r="L131" s="35">
        <f t="shared" si="7"/>
        <v>0</v>
      </c>
      <c r="M131" s="34">
        <v>300</v>
      </c>
      <c r="N131" s="34">
        <v>300</v>
      </c>
      <c r="O131" s="35">
        <f t="shared" si="8"/>
        <v>100</v>
      </c>
      <c r="P131" s="36"/>
    </row>
    <row r="132" spans="2:16" ht="17" x14ac:dyDescent="0.2">
      <c r="B132" s="41" t="s">
        <v>580</v>
      </c>
      <c r="C132" s="42">
        <v>1997</v>
      </c>
      <c r="D132" s="48" t="s">
        <v>138</v>
      </c>
      <c r="E132" s="31">
        <v>28.72</v>
      </c>
      <c r="F132" s="32">
        <v>3513</v>
      </c>
      <c r="G132" s="33">
        <v>1000</v>
      </c>
      <c r="H132" s="34"/>
      <c r="I132" s="35">
        <f t="shared" si="6"/>
        <v>0</v>
      </c>
      <c r="J132" s="33"/>
      <c r="K132" s="34"/>
      <c r="L132" s="35">
        <f t="shared" si="7"/>
        <v>0</v>
      </c>
      <c r="M132" s="34">
        <v>300</v>
      </c>
      <c r="N132" s="34">
        <v>300</v>
      </c>
      <c r="O132" s="35">
        <f t="shared" si="8"/>
        <v>100</v>
      </c>
      <c r="P132" s="36"/>
    </row>
    <row r="133" spans="2:16" ht="17" x14ac:dyDescent="0.2">
      <c r="B133" s="49"/>
      <c r="C133" s="50" t="s">
        <v>579</v>
      </c>
      <c r="D133" s="50"/>
      <c r="E133" s="51">
        <f>SUM(E94:E132)</f>
        <v>1168.0999999999997</v>
      </c>
      <c r="F133" s="52">
        <f>SUM(F94:F132)</f>
        <v>151152</v>
      </c>
      <c r="G133" s="39">
        <f t="shared" ref="G133:H133" si="12">SUM(G94:G132)</f>
        <v>38865</v>
      </c>
      <c r="H133" s="53">
        <f t="shared" si="12"/>
        <v>1000</v>
      </c>
      <c r="I133" s="53">
        <f t="shared" si="6"/>
        <v>2.5730091341824264</v>
      </c>
      <c r="J133" s="39">
        <f t="shared" ref="J133:K133" si="13">SUM(J94:J132)</f>
        <v>8100</v>
      </c>
      <c r="K133" s="53">
        <f t="shared" si="13"/>
        <v>0</v>
      </c>
      <c r="L133" s="53">
        <f t="shared" si="7"/>
        <v>0</v>
      </c>
      <c r="M133" s="53">
        <f t="shared" ref="M133:N133" si="14">SUM(M94:M132)</f>
        <v>6600</v>
      </c>
      <c r="N133" s="53">
        <f t="shared" si="14"/>
        <v>5300</v>
      </c>
      <c r="O133" s="53">
        <f t="shared" si="8"/>
        <v>80.303030303030297</v>
      </c>
      <c r="P133" s="40"/>
    </row>
    <row r="134" spans="2:16" ht="17" x14ac:dyDescent="0.2">
      <c r="B134" s="42" t="s">
        <v>581</v>
      </c>
      <c r="C134" s="42">
        <v>1997</v>
      </c>
      <c r="D134" s="54" t="s">
        <v>149</v>
      </c>
      <c r="E134" s="31">
        <v>0.99</v>
      </c>
      <c r="F134" s="32">
        <v>110</v>
      </c>
      <c r="G134" s="33"/>
      <c r="H134" s="34"/>
      <c r="I134" s="35">
        <f t="shared" si="6"/>
        <v>0</v>
      </c>
      <c r="J134" s="33"/>
      <c r="K134" s="34"/>
      <c r="L134" s="35">
        <f t="shared" si="7"/>
        <v>0</v>
      </c>
      <c r="M134" s="34"/>
      <c r="N134" s="34"/>
      <c r="O134" s="35">
        <f t="shared" si="8"/>
        <v>0</v>
      </c>
      <c r="P134" s="36"/>
    </row>
    <row r="135" spans="2:16" ht="17" x14ac:dyDescent="0.2">
      <c r="B135" s="42" t="s">
        <v>581</v>
      </c>
      <c r="C135" s="42">
        <v>1997</v>
      </c>
      <c r="D135" s="54" t="s">
        <v>150</v>
      </c>
      <c r="E135" s="31">
        <v>10.15</v>
      </c>
      <c r="F135" s="32">
        <v>1277</v>
      </c>
      <c r="G135" s="33"/>
      <c r="H135" s="34"/>
      <c r="I135" s="35">
        <f t="shared" si="6"/>
        <v>0</v>
      </c>
      <c r="J135" s="33"/>
      <c r="K135" s="34"/>
      <c r="L135" s="35">
        <f t="shared" si="7"/>
        <v>0</v>
      </c>
      <c r="M135" s="34"/>
      <c r="N135" s="34"/>
      <c r="O135" s="35">
        <f t="shared" si="8"/>
        <v>0</v>
      </c>
      <c r="P135" s="36"/>
    </row>
    <row r="136" spans="2:16" ht="17" x14ac:dyDescent="0.2">
      <c r="B136" s="42" t="s">
        <v>581</v>
      </c>
      <c r="C136" s="42">
        <v>1997</v>
      </c>
      <c r="D136" s="54" t="s">
        <v>151</v>
      </c>
      <c r="E136" s="31">
        <v>1.9</v>
      </c>
      <c r="F136" s="32">
        <v>249</v>
      </c>
      <c r="G136" s="33"/>
      <c r="H136" s="34"/>
      <c r="I136" s="35">
        <f t="shared" si="6"/>
        <v>0</v>
      </c>
      <c r="J136" s="33"/>
      <c r="K136" s="34"/>
      <c r="L136" s="35">
        <f t="shared" si="7"/>
        <v>0</v>
      </c>
      <c r="M136" s="34"/>
      <c r="N136" s="34"/>
      <c r="O136" s="35">
        <f t="shared" si="8"/>
        <v>0</v>
      </c>
      <c r="P136" s="36"/>
    </row>
    <row r="137" spans="2:16" ht="17" x14ac:dyDescent="0.2">
      <c r="B137" s="42" t="s">
        <v>581</v>
      </c>
      <c r="C137" s="42">
        <v>1997</v>
      </c>
      <c r="D137" s="54" t="s">
        <v>152</v>
      </c>
      <c r="E137" s="31">
        <v>14.17</v>
      </c>
      <c r="F137" s="32">
        <v>2035</v>
      </c>
      <c r="G137" s="33"/>
      <c r="H137" s="34"/>
      <c r="I137" s="35">
        <f t="shared" si="6"/>
        <v>0</v>
      </c>
      <c r="J137" s="33"/>
      <c r="K137" s="34"/>
      <c r="L137" s="35">
        <f t="shared" si="7"/>
        <v>0</v>
      </c>
      <c r="M137" s="34"/>
      <c r="N137" s="34"/>
      <c r="O137" s="35">
        <f t="shared" si="8"/>
        <v>0</v>
      </c>
      <c r="P137" s="36"/>
    </row>
    <row r="138" spans="2:16" ht="17" x14ac:dyDescent="0.2">
      <c r="B138" s="42" t="s">
        <v>581</v>
      </c>
      <c r="C138" s="42">
        <v>1997</v>
      </c>
      <c r="D138" s="54" t="s">
        <v>153</v>
      </c>
      <c r="E138" s="31">
        <v>27.74</v>
      </c>
      <c r="F138" s="32">
        <v>3307</v>
      </c>
      <c r="G138" s="33"/>
      <c r="H138" s="34"/>
      <c r="I138" s="35">
        <f t="shared" ref="I138:I201" si="15">IFERROR(H138/G138%,0)</f>
        <v>0</v>
      </c>
      <c r="J138" s="33"/>
      <c r="K138" s="34"/>
      <c r="L138" s="35">
        <f t="shared" ref="L138:L201" si="16">IFERROR(K138/J138%,0)</f>
        <v>0</v>
      </c>
      <c r="M138" s="34"/>
      <c r="N138" s="34"/>
      <c r="O138" s="35">
        <f t="shared" ref="O138:O201" si="17">IFERROR(N138/M138%,0)</f>
        <v>0</v>
      </c>
      <c r="P138" s="36"/>
    </row>
    <row r="139" spans="2:16" ht="17" x14ac:dyDescent="0.2">
      <c r="B139" s="42" t="s">
        <v>581</v>
      </c>
      <c r="C139" s="42">
        <v>1997</v>
      </c>
      <c r="D139" s="54" t="s">
        <v>154</v>
      </c>
      <c r="E139" s="31">
        <v>29.3</v>
      </c>
      <c r="F139" s="32">
        <v>3749</v>
      </c>
      <c r="G139" s="33"/>
      <c r="H139" s="34"/>
      <c r="I139" s="35">
        <f t="shared" si="15"/>
        <v>0</v>
      </c>
      <c r="J139" s="33"/>
      <c r="K139" s="34"/>
      <c r="L139" s="35">
        <f t="shared" si="16"/>
        <v>0</v>
      </c>
      <c r="M139" s="34"/>
      <c r="N139" s="34"/>
      <c r="O139" s="35">
        <f t="shared" si="17"/>
        <v>0</v>
      </c>
      <c r="P139" s="36"/>
    </row>
    <row r="140" spans="2:16" ht="17" x14ac:dyDescent="0.2">
      <c r="B140" s="42" t="s">
        <v>581</v>
      </c>
      <c r="C140" s="42">
        <v>1997</v>
      </c>
      <c r="D140" s="54" t="s">
        <v>155</v>
      </c>
      <c r="E140" s="31">
        <v>1.48</v>
      </c>
      <c r="F140" s="32">
        <v>186</v>
      </c>
      <c r="G140" s="33"/>
      <c r="H140" s="34"/>
      <c r="I140" s="35">
        <f t="shared" si="15"/>
        <v>0</v>
      </c>
      <c r="J140" s="33"/>
      <c r="K140" s="34"/>
      <c r="L140" s="35">
        <f t="shared" si="16"/>
        <v>0</v>
      </c>
      <c r="M140" s="34"/>
      <c r="N140" s="34"/>
      <c r="O140" s="35">
        <f t="shared" si="17"/>
        <v>0</v>
      </c>
      <c r="P140" s="36"/>
    </row>
    <row r="141" spans="2:16" ht="17" x14ac:dyDescent="0.2">
      <c r="B141" s="42" t="s">
        <v>581</v>
      </c>
      <c r="C141" s="42">
        <v>1997</v>
      </c>
      <c r="D141" s="54" t="s">
        <v>156</v>
      </c>
      <c r="E141" s="31">
        <v>13.88</v>
      </c>
      <c r="F141" s="32">
        <v>1694</v>
      </c>
      <c r="G141" s="33"/>
      <c r="H141" s="34"/>
      <c r="I141" s="35">
        <f t="shared" si="15"/>
        <v>0</v>
      </c>
      <c r="J141" s="33"/>
      <c r="K141" s="34"/>
      <c r="L141" s="35">
        <f t="shared" si="16"/>
        <v>0</v>
      </c>
      <c r="M141" s="34"/>
      <c r="N141" s="34"/>
      <c r="O141" s="35">
        <f t="shared" si="17"/>
        <v>0</v>
      </c>
      <c r="P141" s="36"/>
    </row>
    <row r="142" spans="2:16" ht="17" x14ac:dyDescent="0.2">
      <c r="B142" s="42" t="s">
        <v>581</v>
      </c>
      <c r="C142" s="42">
        <v>1997</v>
      </c>
      <c r="D142" s="54" t="s">
        <v>157</v>
      </c>
      <c r="E142" s="31">
        <v>27.64</v>
      </c>
      <c r="F142" s="32">
        <v>3415</v>
      </c>
      <c r="G142" s="33"/>
      <c r="H142" s="34"/>
      <c r="I142" s="35">
        <f t="shared" si="15"/>
        <v>0</v>
      </c>
      <c r="J142" s="33"/>
      <c r="K142" s="34"/>
      <c r="L142" s="35">
        <f t="shared" si="16"/>
        <v>0</v>
      </c>
      <c r="M142" s="34"/>
      <c r="N142" s="34"/>
      <c r="O142" s="35">
        <f t="shared" si="17"/>
        <v>0</v>
      </c>
      <c r="P142" s="36"/>
    </row>
    <row r="143" spans="2:16" ht="17" x14ac:dyDescent="0.2">
      <c r="B143" s="42" t="s">
        <v>581</v>
      </c>
      <c r="C143" s="42">
        <v>1997</v>
      </c>
      <c r="D143" s="54" t="s">
        <v>158</v>
      </c>
      <c r="E143" s="31">
        <v>28.08</v>
      </c>
      <c r="F143" s="32">
        <v>3667</v>
      </c>
      <c r="G143" s="33"/>
      <c r="H143" s="34"/>
      <c r="I143" s="35">
        <f t="shared" si="15"/>
        <v>0</v>
      </c>
      <c r="J143" s="33"/>
      <c r="K143" s="34"/>
      <c r="L143" s="35">
        <f t="shared" si="16"/>
        <v>0</v>
      </c>
      <c r="M143" s="34"/>
      <c r="N143" s="34"/>
      <c r="O143" s="35">
        <f t="shared" si="17"/>
        <v>0</v>
      </c>
      <c r="P143" s="36"/>
    </row>
    <row r="144" spans="2:16" ht="17" x14ac:dyDescent="0.2">
      <c r="B144" s="42" t="s">
        <v>581</v>
      </c>
      <c r="C144" s="42">
        <v>1997</v>
      </c>
      <c r="D144" s="54" t="s">
        <v>159</v>
      </c>
      <c r="E144" s="31">
        <v>28.21</v>
      </c>
      <c r="F144" s="32">
        <v>3656</v>
      </c>
      <c r="G144" s="33"/>
      <c r="H144" s="34"/>
      <c r="I144" s="35">
        <f t="shared" si="15"/>
        <v>0</v>
      </c>
      <c r="J144" s="33"/>
      <c r="K144" s="34"/>
      <c r="L144" s="35">
        <f t="shared" si="16"/>
        <v>0</v>
      </c>
      <c r="M144" s="34"/>
      <c r="N144" s="34"/>
      <c r="O144" s="35">
        <f t="shared" si="17"/>
        <v>0</v>
      </c>
      <c r="P144" s="36"/>
    </row>
    <row r="145" spans="2:16" ht="17" x14ac:dyDescent="0.2">
      <c r="B145" s="42" t="s">
        <v>581</v>
      </c>
      <c r="C145" s="42">
        <v>1997</v>
      </c>
      <c r="D145" s="54" t="s">
        <v>160</v>
      </c>
      <c r="E145" s="31">
        <v>27.4</v>
      </c>
      <c r="F145" s="32">
        <v>3474</v>
      </c>
      <c r="G145" s="33"/>
      <c r="H145" s="34"/>
      <c r="I145" s="35">
        <f t="shared" si="15"/>
        <v>0</v>
      </c>
      <c r="J145" s="33"/>
      <c r="K145" s="34"/>
      <c r="L145" s="35">
        <f t="shared" si="16"/>
        <v>0</v>
      </c>
      <c r="M145" s="34"/>
      <c r="N145" s="34"/>
      <c r="O145" s="35">
        <f t="shared" si="17"/>
        <v>0</v>
      </c>
      <c r="P145" s="36"/>
    </row>
    <row r="146" spans="2:16" ht="17" x14ac:dyDescent="0.2">
      <c r="B146" s="42" t="s">
        <v>581</v>
      </c>
      <c r="C146" s="42">
        <v>1997</v>
      </c>
      <c r="D146" s="54" t="s">
        <v>161</v>
      </c>
      <c r="E146" s="31">
        <v>3.92</v>
      </c>
      <c r="F146" s="32">
        <v>273</v>
      </c>
      <c r="G146" s="33"/>
      <c r="H146" s="34"/>
      <c r="I146" s="35">
        <f t="shared" si="15"/>
        <v>0</v>
      </c>
      <c r="J146" s="33"/>
      <c r="K146" s="34"/>
      <c r="L146" s="35">
        <f t="shared" si="16"/>
        <v>0</v>
      </c>
      <c r="M146" s="34"/>
      <c r="N146" s="34"/>
      <c r="O146" s="35">
        <f t="shared" si="17"/>
        <v>0</v>
      </c>
      <c r="P146" s="36"/>
    </row>
    <row r="147" spans="2:16" ht="17" x14ac:dyDescent="0.2">
      <c r="B147" s="42" t="s">
        <v>581</v>
      </c>
      <c r="C147" s="42">
        <v>1997</v>
      </c>
      <c r="D147" s="54" t="s">
        <v>162</v>
      </c>
      <c r="E147" s="31">
        <v>16.7</v>
      </c>
      <c r="F147" s="32">
        <v>2126</v>
      </c>
      <c r="G147" s="33"/>
      <c r="H147" s="34"/>
      <c r="I147" s="35">
        <f t="shared" si="15"/>
        <v>0</v>
      </c>
      <c r="J147" s="33"/>
      <c r="K147" s="34"/>
      <c r="L147" s="35">
        <f t="shared" si="16"/>
        <v>0</v>
      </c>
      <c r="M147" s="34"/>
      <c r="N147" s="34"/>
      <c r="O147" s="35">
        <f t="shared" si="17"/>
        <v>0</v>
      </c>
      <c r="P147" s="36"/>
    </row>
    <row r="148" spans="2:16" ht="17" x14ac:dyDescent="0.2">
      <c r="B148" s="42" t="s">
        <v>581</v>
      </c>
      <c r="C148" s="42">
        <v>1997</v>
      </c>
      <c r="D148" s="54" t="s">
        <v>163</v>
      </c>
      <c r="E148" s="31">
        <v>29.13</v>
      </c>
      <c r="F148" s="32">
        <v>3725</v>
      </c>
      <c r="G148" s="33"/>
      <c r="H148" s="34"/>
      <c r="I148" s="35">
        <f t="shared" si="15"/>
        <v>0</v>
      </c>
      <c r="J148" s="33"/>
      <c r="K148" s="34"/>
      <c r="L148" s="35">
        <f t="shared" si="16"/>
        <v>0</v>
      </c>
      <c r="M148" s="34"/>
      <c r="N148" s="34"/>
      <c r="O148" s="35">
        <f t="shared" si="17"/>
        <v>0</v>
      </c>
      <c r="P148" s="36"/>
    </row>
    <row r="149" spans="2:16" ht="17" x14ac:dyDescent="0.2">
      <c r="B149" s="42" t="s">
        <v>581</v>
      </c>
      <c r="C149" s="42">
        <v>1997</v>
      </c>
      <c r="D149" s="54" t="s">
        <v>164</v>
      </c>
      <c r="E149" s="31">
        <v>31.27</v>
      </c>
      <c r="F149" s="32">
        <v>4151</v>
      </c>
      <c r="G149" s="33"/>
      <c r="H149" s="34"/>
      <c r="I149" s="35">
        <f t="shared" si="15"/>
        <v>0</v>
      </c>
      <c r="J149" s="33"/>
      <c r="K149" s="34"/>
      <c r="L149" s="35">
        <f t="shared" si="16"/>
        <v>0</v>
      </c>
      <c r="M149" s="34"/>
      <c r="N149" s="34"/>
      <c r="O149" s="35">
        <f t="shared" si="17"/>
        <v>0</v>
      </c>
      <c r="P149" s="36"/>
    </row>
    <row r="150" spans="2:16" ht="17" x14ac:dyDescent="0.2">
      <c r="B150" s="42" t="s">
        <v>581</v>
      </c>
      <c r="C150" s="42">
        <v>1997</v>
      </c>
      <c r="D150" s="54" t="s">
        <v>165</v>
      </c>
      <c r="E150" s="31">
        <v>31.22</v>
      </c>
      <c r="F150" s="32">
        <v>4099</v>
      </c>
      <c r="G150" s="33"/>
      <c r="H150" s="34"/>
      <c r="I150" s="35">
        <f t="shared" si="15"/>
        <v>0</v>
      </c>
      <c r="J150" s="33"/>
      <c r="K150" s="34"/>
      <c r="L150" s="35">
        <f t="shared" si="16"/>
        <v>0</v>
      </c>
      <c r="M150" s="34"/>
      <c r="N150" s="34"/>
      <c r="O150" s="35">
        <f t="shared" si="17"/>
        <v>0</v>
      </c>
      <c r="P150" s="36"/>
    </row>
    <row r="151" spans="2:16" ht="17" x14ac:dyDescent="0.2">
      <c r="B151" s="42" t="s">
        <v>581</v>
      </c>
      <c r="C151" s="42">
        <v>1997</v>
      </c>
      <c r="D151" s="54" t="s">
        <v>166</v>
      </c>
      <c r="E151" s="31">
        <v>31.24</v>
      </c>
      <c r="F151" s="32">
        <v>3995</v>
      </c>
      <c r="G151" s="33">
        <v>1000</v>
      </c>
      <c r="H151" s="34">
        <v>700</v>
      </c>
      <c r="I151" s="35">
        <f t="shared" si="15"/>
        <v>70</v>
      </c>
      <c r="J151" s="33"/>
      <c r="K151" s="34"/>
      <c r="L151" s="35">
        <f t="shared" si="16"/>
        <v>0</v>
      </c>
      <c r="M151" s="34"/>
      <c r="N151" s="34"/>
      <c r="O151" s="35">
        <f t="shared" si="17"/>
        <v>0</v>
      </c>
      <c r="P151" s="36"/>
    </row>
    <row r="152" spans="2:16" ht="17" x14ac:dyDescent="0.2">
      <c r="B152" s="42" t="s">
        <v>581</v>
      </c>
      <c r="C152" s="42">
        <v>1997</v>
      </c>
      <c r="D152" s="54" t="s">
        <v>167</v>
      </c>
      <c r="E152" s="31">
        <v>30.91</v>
      </c>
      <c r="F152" s="32">
        <v>4024</v>
      </c>
      <c r="G152" s="33"/>
      <c r="H152" s="34"/>
      <c r="I152" s="35">
        <f t="shared" si="15"/>
        <v>0</v>
      </c>
      <c r="J152" s="33"/>
      <c r="K152" s="34"/>
      <c r="L152" s="35">
        <f t="shared" si="16"/>
        <v>0</v>
      </c>
      <c r="M152" s="34"/>
      <c r="N152" s="34"/>
      <c r="O152" s="35">
        <f t="shared" si="17"/>
        <v>0</v>
      </c>
      <c r="P152" s="36"/>
    </row>
    <row r="153" spans="2:16" ht="17" x14ac:dyDescent="0.2">
      <c r="B153" s="42" t="s">
        <v>581</v>
      </c>
      <c r="C153" s="42">
        <v>1997</v>
      </c>
      <c r="D153" s="54" t="s">
        <v>168</v>
      </c>
      <c r="E153" s="31">
        <v>30.15</v>
      </c>
      <c r="F153" s="32">
        <v>3763</v>
      </c>
      <c r="G153" s="33"/>
      <c r="H153" s="34"/>
      <c r="I153" s="35">
        <f t="shared" si="15"/>
        <v>0</v>
      </c>
      <c r="J153" s="33"/>
      <c r="K153" s="34"/>
      <c r="L153" s="35">
        <f t="shared" si="16"/>
        <v>0</v>
      </c>
      <c r="M153" s="34"/>
      <c r="N153" s="34"/>
      <c r="O153" s="35">
        <f t="shared" si="17"/>
        <v>0</v>
      </c>
      <c r="P153" s="36"/>
    </row>
    <row r="154" spans="2:16" ht="17" x14ac:dyDescent="0.2">
      <c r="B154" s="42" t="s">
        <v>581</v>
      </c>
      <c r="C154" s="42">
        <v>1997</v>
      </c>
      <c r="D154" s="54" t="s">
        <v>169</v>
      </c>
      <c r="E154" s="31">
        <v>33.74</v>
      </c>
      <c r="F154" s="32">
        <v>4691</v>
      </c>
      <c r="G154" s="33"/>
      <c r="H154" s="34"/>
      <c r="I154" s="35">
        <f t="shared" si="15"/>
        <v>0</v>
      </c>
      <c r="J154" s="33"/>
      <c r="K154" s="34"/>
      <c r="L154" s="35">
        <f t="shared" si="16"/>
        <v>0</v>
      </c>
      <c r="M154" s="34"/>
      <c r="N154" s="34"/>
      <c r="O154" s="35">
        <f t="shared" si="17"/>
        <v>0</v>
      </c>
      <c r="P154" s="36"/>
    </row>
    <row r="155" spans="2:16" ht="17" x14ac:dyDescent="0.2">
      <c r="B155" s="42" t="s">
        <v>581</v>
      </c>
      <c r="C155" s="42">
        <v>1997</v>
      </c>
      <c r="D155" s="54" t="s">
        <v>170</v>
      </c>
      <c r="E155" s="31">
        <v>31.46</v>
      </c>
      <c r="F155" s="32">
        <v>4363</v>
      </c>
      <c r="G155" s="33"/>
      <c r="H155" s="34"/>
      <c r="I155" s="35">
        <f t="shared" si="15"/>
        <v>0</v>
      </c>
      <c r="J155" s="33"/>
      <c r="K155" s="34"/>
      <c r="L155" s="35">
        <f t="shared" si="16"/>
        <v>0</v>
      </c>
      <c r="M155" s="34"/>
      <c r="N155" s="34"/>
      <c r="O155" s="35">
        <f t="shared" si="17"/>
        <v>0</v>
      </c>
      <c r="P155" s="36"/>
    </row>
    <row r="156" spans="2:16" ht="17" x14ac:dyDescent="0.2">
      <c r="B156" s="42" t="s">
        <v>581</v>
      </c>
      <c r="C156" s="42">
        <v>1997</v>
      </c>
      <c r="D156" s="54" t="s">
        <v>171</v>
      </c>
      <c r="E156" s="31">
        <v>34.21</v>
      </c>
      <c r="F156" s="32">
        <v>4249</v>
      </c>
      <c r="G156" s="33"/>
      <c r="H156" s="34"/>
      <c r="I156" s="35">
        <f t="shared" si="15"/>
        <v>0</v>
      </c>
      <c r="J156" s="33"/>
      <c r="K156" s="34"/>
      <c r="L156" s="35">
        <f t="shared" si="16"/>
        <v>0</v>
      </c>
      <c r="M156" s="34"/>
      <c r="N156" s="34"/>
      <c r="O156" s="35">
        <f t="shared" si="17"/>
        <v>0</v>
      </c>
      <c r="P156" s="36"/>
    </row>
    <row r="157" spans="2:16" ht="17" x14ac:dyDescent="0.2">
      <c r="B157" s="42" t="s">
        <v>581</v>
      </c>
      <c r="C157" s="42">
        <v>1997</v>
      </c>
      <c r="D157" s="54" t="s">
        <v>172</v>
      </c>
      <c r="E157" s="31">
        <v>33.81</v>
      </c>
      <c r="F157" s="32">
        <v>4105</v>
      </c>
      <c r="G157" s="33"/>
      <c r="H157" s="34"/>
      <c r="I157" s="35">
        <f t="shared" si="15"/>
        <v>0</v>
      </c>
      <c r="J157" s="33"/>
      <c r="K157" s="34"/>
      <c r="L157" s="35">
        <f t="shared" si="16"/>
        <v>0</v>
      </c>
      <c r="M157" s="34"/>
      <c r="N157" s="34"/>
      <c r="O157" s="35">
        <f t="shared" si="17"/>
        <v>0</v>
      </c>
      <c r="P157" s="36"/>
    </row>
    <row r="158" spans="2:16" ht="17" x14ac:dyDescent="0.2">
      <c r="B158" s="42" t="s">
        <v>581</v>
      </c>
      <c r="C158" s="42">
        <v>1997</v>
      </c>
      <c r="D158" s="54" t="s">
        <v>173</v>
      </c>
      <c r="E158" s="31">
        <v>31.48</v>
      </c>
      <c r="F158" s="32">
        <v>4177</v>
      </c>
      <c r="G158" s="33"/>
      <c r="H158" s="34">
        <v>300</v>
      </c>
      <c r="I158" s="35">
        <f t="shared" si="15"/>
        <v>0</v>
      </c>
      <c r="J158" s="33"/>
      <c r="K158" s="34"/>
      <c r="L158" s="35">
        <f t="shared" si="16"/>
        <v>0</v>
      </c>
      <c r="M158" s="34"/>
      <c r="N158" s="34"/>
      <c r="O158" s="35">
        <f t="shared" si="17"/>
        <v>0</v>
      </c>
      <c r="P158" s="36"/>
    </row>
    <row r="159" spans="2:16" ht="17" x14ac:dyDescent="0.2">
      <c r="B159" s="42" t="s">
        <v>581</v>
      </c>
      <c r="C159" s="42">
        <v>1997</v>
      </c>
      <c r="D159" s="54" t="s">
        <v>174</v>
      </c>
      <c r="E159" s="31">
        <v>30.7</v>
      </c>
      <c r="F159" s="32">
        <v>3921</v>
      </c>
      <c r="G159" s="33">
        <v>1000</v>
      </c>
      <c r="H159" s="34">
        <v>200</v>
      </c>
      <c r="I159" s="35">
        <f t="shared" si="15"/>
        <v>20</v>
      </c>
      <c r="J159" s="33"/>
      <c r="K159" s="34"/>
      <c r="L159" s="35">
        <f t="shared" si="16"/>
        <v>0</v>
      </c>
      <c r="M159" s="34"/>
      <c r="N159" s="34"/>
      <c r="O159" s="35">
        <f t="shared" si="17"/>
        <v>0</v>
      </c>
      <c r="P159" s="36"/>
    </row>
    <row r="160" spans="2:16" ht="17" x14ac:dyDescent="0.2">
      <c r="B160" s="42" t="s">
        <v>581</v>
      </c>
      <c r="C160" s="42">
        <v>1997</v>
      </c>
      <c r="D160" s="54" t="s">
        <v>175</v>
      </c>
      <c r="E160" s="31">
        <v>31.98</v>
      </c>
      <c r="F160" s="32">
        <v>4138</v>
      </c>
      <c r="G160" s="33"/>
      <c r="H160" s="34"/>
      <c r="I160" s="35">
        <f t="shared" si="15"/>
        <v>0</v>
      </c>
      <c r="J160" s="33"/>
      <c r="K160" s="34"/>
      <c r="L160" s="35">
        <f t="shared" si="16"/>
        <v>0</v>
      </c>
      <c r="M160" s="34"/>
      <c r="N160" s="34"/>
      <c r="O160" s="35">
        <f t="shared" si="17"/>
        <v>0</v>
      </c>
      <c r="P160" s="36"/>
    </row>
    <row r="161" spans="2:16" ht="17" x14ac:dyDescent="0.2">
      <c r="B161" s="42" t="s">
        <v>581</v>
      </c>
      <c r="C161" s="42">
        <v>1997</v>
      </c>
      <c r="D161" s="54" t="s">
        <v>176</v>
      </c>
      <c r="E161" s="31">
        <v>31.15</v>
      </c>
      <c r="F161" s="32">
        <v>4033</v>
      </c>
      <c r="G161" s="33"/>
      <c r="H161" s="34"/>
      <c r="I161" s="35">
        <f t="shared" si="15"/>
        <v>0</v>
      </c>
      <c r="J161" s="33"/>
      <c r="K161" s="34"/>
      <c r="L161" s="35">
        <f t="shared" si="16"/>
        <v>0</v>
      </c>
      <c r="M161" s="34"/>
      <c r="N161" s="34"/>
      <c r="O161" s="35">
        <f t="shared" si="17"/>
        <v>0</v>
      </c>
      <c r="P161" s="36"/>
    </row>
    <row r="162" spans="2:16" ht="17" x14ac:dyDescent="0.2">
      <c r="B162" s="42" t="s">
        <v>581</v>
      </c>
      <c r="C162" s="42">
        <v>1997</v>
      </c>
      <c r="D162" s="54" t="s">
        <v>177</v>
      </c>
      <c r="E162" s="31">
        <v>31.97</v>
      </c>
      <c r="F162" s="32">
        <v>4286</v>
      </c>
      <c r="G162" s="33"/>
      <c r="H162" s="34"/>
      <c r="I162" s="35">
        <f t="shared" si="15"/>
        <v>0</v>
      </c>
      <c r="J162" s="33"/>
      <c r="K162" s="34"/>
      <c r="L162" s="35">
        <f t="shared" si="16"/>
        <v>0</v>
      </c>
      <c r="M162" s="34"/>
      <c r="N162" s="34"/>
      <c r="O162" s="35">
        <f t="shared" si="17"/>
        <v>0</v>
      </c>
      <c r="P162" s="36"/>
    </row>
    <row r="163" spans="2:16" ht="17" x14ac:dyDescent="0.2">
      <c r="B163" s="42" t="s">
        <v>581</v>
      </c>
      <c r="C163" s="42">
        <v>1997</v>
      </c>
      <c r="D163" s="54" t="s">
        <v>178</v>
      </c>
      <c r="E163" s="31">
        <v>30.79</v>
      </c>
      <c r="F163" s="32">
        <v>3990</v>
      </c>
      <c r="G163" s="33"/>
      <c r="H163" s="34"/>
      <c r="I163" s="35">
        <f t="shared" si="15"/>
        <v>0</v>
      </c>
      <c r="J163" s="33"/>
      <c r="K163" s="34"/>
      <c r="L163" s="35">
        <f t="shared" si="16"/>
        <v>0</v>
      </c>
      <c r="M163" s="34"/>
      <c r="N163" s="34"/>
      <c r="O163" s="35">
        <f t="shared" si="17"/>
        <v>0</v>
      </c>
      <c r="P163" s="36"/>
    </row>
    <row r="164" spans="2:16" ht="17" x14ac:dyDescent="0.2">
      <c r="B164" s="42" t="s">
        <v>581</v>
      </c>
      <c r="C164" s="42">
        <v>1997</v>
      </c>
      <c r="D164" s="54" t="s">
        <v>179</v>
      </c>
      <c r="E164" s="31">
        <v>29.13</v>
      </c>
      <c r="F164" s="32">
        <v>3290</v>
      </c>
      <c r="G164" s="33"/>
      <c r="H164" s="34"/>
      <c r="I164" s="35">
        <f t="shared" si="15"/>
        <v>0</v>
      </c>
      <c r="J164" s="33"/>
      <c r="K164" s="34"/>
      <c r="L164" s="35">
        <f t="shared" si="16"/>
        <v>0</v>
      </c>
      <c r="M164" s="34"/>
      <c r="N164" s="34"/>
      <c r="O164" s="35">
        <f t="shared" si="17"/>
        <v>0</v>
      </c>
      <c r="P164" s="36"/>
    </row>
    <row r="165" spans="2:16" ht="17" x14ac:dyDescent="0.2">
      <c r="B165" s="42" t="s">
        <v>581</v>
      </c>
      <c r="C165" s="42">
        <v>1997</v>
      </c>
      <c r="D165" s="54" t="s">
        <v>180</v>
      </c>
      <c r="E165" s="31">
        <v>28.99</v>
      </c>
      <c r="F165" s="32">
        <v>4050</v>
      </c>
      <c r="G165" s="33"/>
      <c r="H165" s="34"/>
      <c r="I165" s="35">
        <f t="shared" si="15"/>
        <v>0</v>
      </c>
      <c r="J165" s="33"/>
      <c r="K165" s="34"/>
      <c r="L165" s="35">
        <f t="shared" si="16"/>
        <v>0</v>
      </c>
      <c r="M165" s="34"/>
      <c r="N165" s="34"/>
      <c r="O165" s="35">
        <f t="shared" si="17"/>
        <v>0</v>
      </c>
      <c r="P165" s="36"/>
    </row>
    <row r="166" spans="2:16" ht="17" x14ac:dyDescent="0.2">
      <c r="B166" s="42" t="s">
        <v>581</v>
      </c>
      <c r="C166" s="42">
        <v>1997</v>
      </c>
      <c r="D166" s="54" t="s">
        <v>181</v>
      </c>
      <c r="E166" s="31">
        <v>29.09</v>
      </c>
      <c r="F166" s="32">
        <v>3824</v>
      </c>
      <c r="G166" s="33"/>
      <c r="H166" s="34"/>
      <c r="I166" s="35">
        <f t="shared" si="15"/>
        <v>0</v>
      </c>
      <c r="J166" s="33"/>
      <c r="K166" s="34"/>
      <c r="L166" s="35">
        <f t="shared" si="16"/>
        <v>0</v>
      </c>
      <c r="M166" s="34"/>
      <c r="N166" s="34"/>
      <c r="O166" s="35">
        <f t="shared" si="17"/>
        <v>0</v>
      </c>
      <c r="P166" s="36"/>
    </row>
    <row r="167" spans="2:16" ht="17" x14ac:dyDescent="0.2">
      <c r="B167" s="42" t="s">
        <v>581</v>
      </c>
      <c r="C167" s="42">
        <v>1997</v>
      </c>
      <c r="D167" s="54" t="s">
        <v>182</v>
      </c>
      <c r="E167" s="31">
        <v>29.76</v>
      </c>
      <c r="F167" s="32">
        <v>3858</v>
      </c>
      <c r="G167" s="33"/>
      <c r="H167" s="34"/>
      <c r="I167" s="35">
        <f t="shared" si="15"/>
        <v>0</v>
      </c>
      <c r="J167" s="33"/>
      <c r="K167" s="34"/>
      <c r="L167" s="35">
        <f t="shared" si="16"/>
        <v>0</v>
      </c>
      <c r="M167" s="34"/>
      <c r="N167" s="34"/>
      <c r="O167" s="35">
        <f t="shared" si="17"/>
        <v>0</v>
      </c>
      <c r="P167" s="36"/>
    </row>
    <row r="168" spans="2:16" ht="17" x14ac:dyDescent="0.2">
      <c r="B168" s="42" t="s">
        <v>581</v>
      </c>
      <c r="C168" s="42">
        <v>1997</v>
      </c>
      <c r="D168" s="54" t="s">
        <v>183</v>
      </c>
      <c r="E168" s="31">
        <v>29.74</v>
      </c>
      <c r="F168" s="32">
        <v>3918</v>
      </c>
      <c r="G168" s="33"/>
      <c r="H168" s="34"/>
      <c r="I168" s="35">
        <f t="shared" si="15"/>
        <v>0</v>
      </c>
      <c r="J168" s="33"/>
      <c r="K168" s="34"/>
      <c r="L168" s="35">
        <f t="shared" si="16"/>
        <v>0</v>
      </c>
      <c r="M168" s="34"/>
      <c r="N168" s="34"/>
      <c r="O168" s="35">
        <f t="shared" si="17"/>
        <v>0</v>
      </c>
      <c r="P168" s="36"/>
    </row>
    <row r="169" spans="2:16" ht="17" x14ac:dyDescent="0.2">
      <c r="B169" s="42" t="s">
        <v>581</v>
      </c>
      <c r="C169" s="42">
        <v>1997</v>
      </c>
      <c r="D169" s="54" t="s">
        <v>184</v>
      </c>
      <c r="E169" s="31">
        <v>29.93</v>
      </c>
      <c r="F169" s="32">
        <v>3968</v>
      </c>
      <c r="G169" s="33"/>
      <c r="H169" s="34"/>
      <c r="I169" s="35">
        <f t="shared" si="15"/>
        <v>0</v>
      </c>
      <c r="J169" s="33"/>
      <c r="K169" s="34"/>
      <c r="L169" s="35">
        <f t="shared" si="16"/>
        <v>0</v>
      </c>
      <c r="M169" s="34"/>
      <c r="N169" s="34"/>
      <c r="O169" s="35">
        <f t="shared" si="17"/>
        <v>0</v>
      </c>
      <c r="P169" s="36"/>
    </row>
    <row r="170" spans="2:16" ht="17" x14ac:dyDescent="0.2">
      <c r="B170" s="42" t="s">
        <v>581</v>
      </c>
      <c r="C170" s="42">
        <v>1997</v>
      </c>
      <c r="D170" s="54" t="s">
        <v>185</v>
      </c>
      <c r="E170" s="31">
        <v>27.65</v>
      </c>
      <c r="F170" s="32">
        <v>3647</v>
      </c>
      <c r="G170" s="33">
        <v>1000</v>
      </c>
      <c r="H170" s="34">
        <v>1000</v>
      </c>
      <c r="I170" s="35">
        <f t="shared" si="15"/>
        <v>100</v>
      </c>
      <c r="J170" s="33"/>
      <c r="K170" s="34"/>
      <c r="L170" s="35">
        <f t="shared" si="16"/>
        <v>0</v>
      </c>
      <c r="M170" s="34"/>
      <c r="N170" s="34"/>
      <c r="O170" s="35">
        <f t="shared" si="17"/>
        <v>0</v>
      </c>
      <c r="P170" s="36"/>
    </row>
    <row r="171" spans="2:16" ht="17" x14ac:dyDescent="0.2">
      <c r="B171" s="42" t="s">
        <v>581</v>
      </c>
      <c r="C171" s="42">
        <v>1997</v>
      </c>
      <c r="D171" s="54" t="s">
        <v>186</v>
      </c>
      <c r="E171" s="31">
        <v>30.55</v>
      </c>
      <c r="F171" s="32">
        <v>4070</v>
      </c>
      <c r="G171" s="33"/>
      <c r="H171" s="34"/>
      <c r="I171" s="35">
        <f t="shared" si="15"/>
        <v>0</v>
      </c>
      <c r="J171" s="33"/>
      <c r="K171" s="34"/>
      <c r="L171" s="35">
        <f t="shared" si="16"/>
        <v>0</v>
      </c>
      <c r="M171" s="34"/>
      <c r="N171" s="34"/>
      <c r="O171" s="35">
        <f t="shared" si="17"/>
        <v>0</v>
      </c>
      <c r="P171" s="36"/>
    </row>
    <row r="172" spans="2:16" ht="17" x14ac:dyDescent="0.2">
      <c r="B172" s="42" t="s">
        <v>581</v>
      </c>
      <c r="C172" s="42">
        <v>1997</v>
      </c>
      <c r="D172" s="54" t="s">
        <v>187</v>
      </c>
      <c r="E172" s="31">
        <v>31.22</v>
      </c>
      <c r="F172" s="32">
        <v>3941</v>
      </c>
      <c r="G172" s="33"/>
      <c r="H172" s="34"/>
      <c r="I172" s="35">
        <f t="shared" si="15"/>
        <v>0</v>
      </c>
      <c r="J172" s="33">
        <v>300</v>
      </c>
      <c r="K172" s="34">
        <v>300</v>
      </c>
      <c r="L172" s="35">
        <f t="shared" si="16"/>
        <v>100</v>
      </c>
      <c r="M172" s="34"/>
      <c r="N172" s="34"/>
      <c r="O172" s="35">
        <f t="shared" si="17"/>
        <v>0</v>
      </c>
      <c r="P172" s="36"/>
    </row>
    <row r="173" spans="2:16" ht="17" x14ac:dyDescent="0.2">
      <c r="B173" s="42" t="s">
        <v>581</v>
      </c>
      <c r="C173" s="42">
        <v>1997</v>
      </c>
      <c r="D173" s="54" t="s">
        <v>188</v>
      </c>
      <c r="E173" s="31">
        <v>28.55</v>
      </c>
      <c r="F173" s="32">
        <v>3571</v>
      </c>
      <c r="G173" s="33"/>
      <c r="H173" s="34"/>
      <c r="I173" s="35">
        <f t="shared" si="15"/>
        <v>0</v>
      </c>
      <c r="J173" s="33">
        <v>300</v>
      </c>
      <c r="K173" s="34">
        <v>300</v>
      </c>
      <c r="L173" s="35">
        <f t="shared" si="16"/>
        <v>100</v>
      </c>
      <c r="M173" s="34"/>
      <c r="N173" s="34"/>
      <c r="O173" s="35">
        <f t="shared" si="17"/>
        <v>0</v>
      </c>
      <c r="P173" s="36"/>
    </row>
    <row r="174" spans="2:16" ht="17" x14ac:dyDescent="0.2">
      <c r="B174" s="42" t="s">
        <v>581</v>
      </c>
      <c r="C174" s="42">
        <v>1997</v>
      </c>
      <c r="D174" s="54" t="s">
        <v>189</v>
      </c>
      <c r="E174" s="31">
        <v>26.15</v>
      </c>
      <c r="F174" s="32">
        <v>3329</v>
      </c>
      <c r="G174" s="33"/>
      <c r="H174" s="34"/>
      <c r="I174" s="35">
        <f t="shared" si="15"/>
        <v>0</v>
      </c>
      <c r="J174" s="33"/>
      <c r="K174" s="34"/>
      <c r="L174" s="35">
        <f t="shared" si="16"/>
        <v>0</v>
      </c>
      <c r="M174" s="34"/>
      <c r="N174" s="34"/>
      <c r="O174" s="35">
        <f t="shared" si="17"/>
        <v>0</v>
      </c>
      <c r="P174" s="36"/>
    </row>
    <row r="175" spans="2:16" ht="17" x14ac:dyDescent="0.2">
      <c r="B175" s="42" t="s">
        <v>581</v>
      </c>
      <c r="C175" s="42">
        <v>1997</v>
      </c>
      <c r="D175" s="54" t="s">
        <v>190</v>
      </c>
      <c r="E175" s="31">
        <v>25.94</v>
      </c>
      <c r="F175" s="32">
        <v>3400</v>
      </c>
      <c r="G175" s="33"/>
      <c r="H175" s="34"/>
      <c r="I175" s="35">
        <f t="shared" si="15"/>
        <v>0</v>
      </c>
      <c r="J175" s="33"/>
      <c r="K175" s="34"/>
      <c r="L175" s="35">
        <f t="shared" si="16"/>
        <v>0</v>
      </c>
      <c r="M175" s="34"/>
      <c r="N175" s="34"/>
      <c r="O175" s="35">
        <f t="shared" si="17"/>
        <v>0</v>
      </c>
      <c r="P175" s="36"/>
    </row>
    <row r="176" spans="2:16" ht="17" x14ac:dyDescent="0.2">
      <c r="B176" s="43"/>
      <c r="C176" s="50" t="s">
        <v>579</v>
      </c>
      <c r="D176" s="50"/>
      <c r="E176" s="55">
        <f>SUM(E134:E175)</f>
        <v>1083.4700000000003</v>
      </c>
      <c r="F176" s="56">
        <f>SUM(F134:F175)</f>
        <v>139794</v>
      </c>
      <c r="G176" s="57">
        <f t="shared" ref="G176:H176" si="18">SUM(G134:G175)</f>
        <v>3000</v>
      </c>
      <c r="H176" s="58">
        <f t="shared" si="18"/>
        <v>2200</v>
      </c>
      <c r="I176" s="58">
        <f t="shared" si="15"/>
        <v>73.333333333333329</v>
      </c>
      <c r="J176" s="57"/>
      <c r="K176" s="58"/>
      <c r="L176" s="58">
        <f t="shared" si="16"/>
        <v>0</v>
      </c>
      <c r="M176" s="58">
        <f t="shared" ref="M176:N176" si="19">SUM(M134:M175)</f>
        <v>0</v>
      </c>
      <c r="N176" s="58">
        <f t="shared" si="19"/>
        <v>0</v>
      </c>
      <c r="O176" s="58">
        <f t="shared" si="17"/>
        <v>0</v>
      </c>
      <c r="P176" s="40"/>
    </row>
    <row r="177" spans="2:16" x14ac:dyDescent="0.2">
      <c r="B177" s="41" t="s">
        <v>582</v>
      </c>
      <c r="C177" s="42">
        <v>1997</v>
      </c>
      <c r="D177" s="30" t="s">
        <v>198</v>
      </c>
      <c r="E177" s="31">
        <v>29.83</v>
      </c>
      <c r="F177" s="32">
        <v>3887</v>
      </c>
      <c r="G177" s="33"/>
      <c r="H177" s="34"/>
      <c r="I177" s="35">
        <f t="shared" si="15"/>
        <v>0</v>
      </c>
      <c r="J177" s="33"/>
      <c r="K177" s="34"/>
      <c r="L177" s="35">
        <f t="shared" si="16"/>
        <v>0</v>
      </c>
      <c r="M177" s="34"/>
      <c r="N177" s="34"/>
      <c r="O177" s="35">
        <f t="shared" si="17"/>
        <v>0</v>
      </c>
      <c r="P177" s="36"/>
    </row>
    <row r="178" spans="2:16" x14ac:dyDescent="0.2">
      <c r="B178" s="41" t="s">
        <v>582</v>
      </c>
      <c r="C178" s="42">
        <v>1997</v>
      </c>
      <c r="D178" s="59" t="s">
        <v>199</v>
      </c>
      <c r="E178" s="31">
        <v>9.02</v>
      </c>
      <c r="F178" s="32">
        <v>1075</v>
      </c>
      <c r="G178" s="33"/>
      <c r="H178" s="34"/>
      <c r="I178" s="35">
        <f t="shared" si="15"/>
        <v>0</v>
      </c>
      <c r="J178" s="33"/>
      <c r="K178" s="34"/>
      <c r="L178" s="35">
        <f t="shared" si="16"/>
        <v>0</v>
      </c>
      <c r="M178" s="34"/>
      <c r="N178" s="34"/>
      <c r="O178" s="35">
        <f t="shared" si="17"/>
        <v>0</v>
      </c>
      <c r="P178" s="36"/>
    </row>
    <row r="179" spans="2:16" x14ac:dyDescent="0.2">
      <c r="B179" s="41" t="s">
        <v>582</v>
      </c>
      <c r="C179" s="42">
        <v>1997</v>
      </c>
      <c r="D179" s="59" t="s">
        <v>191</v>
      </c>
      <c r="E179" s="31">
        <v>29.8</v>
      </c>
      <c r="F179" s="32">
        <v>3920</v>
      </c>
      <c r="G179" s="33"/>
      <c r="H179" s="34"/>
      <c r="I179" s="35">
        <f t="shared" si="15"/>
        <v>0</v>
      </c>
      <c r="J179" s="33"/>
      <c r="K179" s="34"/>
      <c r="L179" s="35">
        <f t="shared" si="16"/>
        <v>0</v>
      </c>
      <c r="M179" s="34"/>
      <c r="N179" s="34"/>
      <c r="O179" s="35">
        <f t="shared" si="17"/>
        <v>0</v>
      </c>
      <c r="P179" s="36"/>
    </row>
    <row r="180" spans="2:16" x14ac:dyDescent="0.2">
      <c r="B180" s="41" t="s">
        <v>582</v>
      </c>
      <c r="C180" s="42">
        <v>1997</v>
      </c>
      <c r="D180" s="59" t="s">
        <v>192</v>
      </c>
      <c r="E180" s="31">
        <v>33.049999999999997</v>
      </c>
      <c r="F180" s="32">
        <v>4398</v>
      </c>
      <c r="G180" s="33"/>
      <c r="H180" s="34"/>
      <c r="I180" s="35">
        <f t="shared" si="15"/>
        <v>0</v>
      </c>
      <c r="J180" s="33"/>
      <c r="K180" s="34"/>
      <c r="L180" s="35">
        <f t="shared" si="16"/>
        <v>0</v>
      </c>
      <c r="M180" s="34"/>
      <c r="N180" s="34"/>
      <c r="O180" s="35">
        <f t="shared" si="17"/>
        <v>0</v>
      </c>
      <c r="P180" s="36"/>
    </row>
    <row r="181" spans="2:16" x14ac:dyDescent="0.2">
      <c r="B181" s="41" t="s">
        <v>582</v>
      </c>
      <c r="C181" s="42">
        <v>1997</v>
      </c>
      <c r="D181" s="59" t="s">
        <v>193</v>
      </c>
      <c r="E181" s="31">
        <v>31.59</v>
      </c>
      <c r="F181" s="32">
        <v>4193</v>
      </c>
      <c r="G181" s="33"/>
      <c r="H181" s="34"/>
      <c r="I181" s="35">
        <f t="shared" si="15"/>
        <v>0</v>
      </c>
      <c r="J181" s="33"/>
      <c r="K181" s="34"/>
      <c r="L181" s="35">
        <f t="shared" si="16"/>
        <v>0</v>
      </c>
      <c r="M181" s="34"/>
      <c r="N181" s="34"/>
      <c r="O181" s="35">
        <f t="shared" si="17"/>
        <v>0</v>
      </c>
      <c r="P181" s="36"/>
    </row>
    <row r="182" spans="2:16" x14ac:dyDescent="0.2">
      <c r="B182" s="41" t="s">
        <v>582</v>
      </c>
      <c r="C182" s="42">
        <v>1997</v>
      </c>
      <c r="D182" s="59" t="s">
        <v>194</v>
      </c>
      <c r="E182" s="31">
        <v>32.659999999999997</v>
      </c>
      <c r="F182" s="32">
        <v>4277</v>
      </c>
      <c r="G182" s="33"/>
      <c r="H182" s="34"/>
      <c r="I182" s="35">
        <f t="shared" si="15"/>
        <v>0</v>
      </c>
      <c r="J182" s="33"/>
      <c r="K182" s="34"/>
      <c r="L182" s="35">
        <f t="shared" si="16"/>
        <v>0</v>
      </c>
      <c r="M182" s="34"/>
      <c r="N182" s="34"/>
      <c r="O182" s="35">
        <f t="shared" si="17"/>
        <v>0</v>
      </c>
      <c r="P182" s="36"/>
    </row>
    <row r="183" spans="2:16" x14ac:dyDescent="0.2">
      <c r="B183" s="41" t="s">
        <v>582</v>
      </c>
      <c r="C183" s="42">
        <v>1997</v>
      </c>
      <c r="D183" s="30" t="s">
        <v>195</v>
      </c>
      <c r="E183" s="31">
        <v>30.89</v>
      </c>
      <c r="F183" s="32">
        <v>3868</v>
      </c>
      <c r="G183" s="33"/>
      <c r="H183" s="34"/>
      <c r="I183" s="35">
        <f t="shared" si="15"/>
        <v>0</v>
      </c>
      <c r="J183" s="33"/>
      <c r="K183" s="34"/>
      <c r="L183" s="35">
        <f t="shared" si="16"/>
        <v>0</v>
      </c>
      <c r="M183" s="34"/>
      <c r="N183" s="34"/>
      <c r="O183" s="35">
        <f t="shared" si="17"/>
        <v>0</v>
      </c>
      <c r="P183" s="36"/>
    </row>
    <row r="184" spans="2:16" x14ac:dyDescent="0.2">
      <c r="B184" s="41" t="s">
        <v>582</v>
      </c>
      <c r="C184" s="42">
        <v>1997</v>
      </c>
      <c r="D184" s="60" t="s">
        <v>196</v>
      </c>
      <c r="E184" s="31">
        <v>31.54</v>
      </c>
      <c r="F184" s="32">
        <v>3941</v>
      </c>
      <c r="G184" s="33"/>
      <c r="H184" s="34"/>
      <c r="I184" s="35">
        <f t="shared" si="15"/>
        <v>0</v>
      </c>
      <c r="J184" s="33"/>
      <c r="K184" s="34"/>
      <c r="L184" s="35">
        <f t="shared" si="16"/>
        <v>0</v>
      </c>
      <c r="M184" s="34"/>
      <c r="N184" s="34"/>
      <c r="O184" s="35">
        <f t="shared" si="17"/>
        <v>0</v>
      </c>
      <c r="P184" s="36"/>
    </row>
    <row r="185" spans="2:16" x14ac:dyDescent="0.2">
      <c r="B185" s="41" t="s">
        <v>582</v>
      </c>
      <c r="C185" s="42">
        <v>1997</v>
      </c>
      <c r="D185" s="60" t="s">
        <v>197</v>
      </c>
      <c r="E185" s="31">
        <v>30.18</v>
      </c>
      <c r="F185" s="32">
        <v>3936</v>
      </c>
      <c r="G185" s="33"/>
      <c r="H185" s="34"/>
      <c r="I185" s="35">
        <f t="shared" si="15"/>
        <v>0</v>
      </c>
      <c r="J185" s="33"/>
      <c r="K185" s="34"/>
      <c r="L185" s="35">
        <f t="shared" si="16"/>
        <v>0</v>
      </c>
      <c r="M185" s="34"/>
      <c r="N185" s="34"/>
      <c r="O185" s="35">
        <f t="shared" si="17"/>
        <v>0</v>
      </c>
      <c r="P185" s="36"/>
    </row>
    <row r="186" spans="2:16" x14ac:dyDescent="0.2">
      <c r="B186" s="41" t="s">
        <v>582</v>
      </c>
      <c r="C186" s="42">
        <v>1997</v>
      </c>
      <c r="D186" s="60" t="s">
        <v>200</v>
      </c>
      <c r="E186" s="31">
        <v>31.88</v>
      </c>
      <c r="F186" s="32">
        <v>3953</v>
      </c>
      <c r="G186" s="33"/>
      <c r="H186" s="34"/>
      <c r="I186" s="35">
        <f t="shared" si="15"/>
        <v>0</v>
      </c>
      <c r="J186" s="33"/>
      <c r="K186" s="34"/>
      <c r="L186" s="35">
        <f t="shared" si="16"/>
        <v>0</v>
      </c>
      <c r="M186" s="34"/>
      <c r="N186" s="34"/>
      <c r="O186" s="35">
        <f t="shared" si="17"/>
        <v>0</v>
      </c>
      <c r="P186" s="36"/>
    </row>
    <row r="187" spans="2:16" x14ac:dyDescent="0.2">
      <c r="B187" s="41" t="s">
        <v>582</v>
      </c>
      <c r="C187" s="42">
        <v>1997</v>
      </c>
      <c r="D187" s="60" t="s">
        <v>201</v>
      </c>
      <c r="E187" s="31">
        <v>26.81</v>
      </c>
      <c r="F187" s="32">
        <v>3677</v>
      </c>
      <c r="G187" s="33"/>
      <c r="H187" s="34"/>
      <c r="I187" s="35">
        <f t="shared" si="15"/>
        <v>0</v>
      </c>
      <c r="J187" s="33"/>
      <c r="K187" s="34"/>
      <c r="L187" s="35">
        <f t="shared" si="16"/>
        <v>0</v>
      </c>
      <c r="M187" s="34"/>
      <c r="N187" s="34"/>
      <c r="O187" s="35">
        <f t="shared" si="17"/>
        <v>0</v>
      </c>
      <c r="P187" s="36"/>
    </row>
    <row r="188" spans="2:16" x14ac:dyDescent="0.2">
      <c r="B188" s="41" t="s">
        <v>582</v>
      </c>
      <c r="C188" s="42">
        <v>1997</v>
      </c>
      <c r="D188" s="60" t="s">
        <v>202</v>
      </c>
      <c r="E188" s="31">
        <v>27.6</v>
      </c>
      <c r="F188" s="32">
        <v>3696</v>
      </c>
      <c r="G188" s="33"/>
      <c r="H188" s="34"/>
      <c r="I188" s="35">
        <f t="shared" si="15"/>
        <v>0</v>
      </c>
      <c r="J188" s="33"/>
      <c r="K188" s="34"/>
      <c r="L188" s="35">
        <f t="shared" si="16"/>
        <v>0</v>
      </c>
      <c r="M188" s="34"/>
      <c r="N188" s="34"/>
      <c r="O188" s="35">
        <f t="shared" si="17"/>
        <v>0</v>
      </c>
      <c r="P188" s="36"/>
    </row>
    <row r="189" spans="2:16" x14ac:dyDescent="0.2">
      <c r="B189" s="41" t="s">
        <v>582</v>
      </c>
      <c r="C189" s="42">
        <v>1997</v>
      </c>
      <c r="D189" s="60" t="s">
        <v>203</v>
      </c>
      <c r="E189" s="31">
        <v>27.88</v>
      </c>
      <c r="F189" s="32">
        <v>3551</v>
      </c>
      <c r="G189" s="33">
        <v>500</v>
      </c>
      <c r="H189" s="34"/>
      <c r="I189" s="35">
        <f t="shared" si="15"/>
        <v>0</v>
      </c>
      <c r="J189" s="33"/>
      <c r="K189" s="34"/>
      <c r="L189" s="35">
        <f t="shared" si="16"/>
        <v>0</v>
      </c>
      <c r="M189" s="34"/>
      <c r="N189" s="34"/>
      <c r="O189" s="35">
        <f t="shared" si="17"/>
        <v>0</v>
      </c>
      <c r="P189" s="36"/>
    </row>
    <row r="190" spans="2:16" x14ac:dyDescent="0.2">
      <c r="B190" s="41" t="s">
        <v>582</v>
      </c>
      <c r="C190" s="42">
        <v>1997</v>
      </c>
      <c r="D190" s="60" t="s">
        <v>204</v>
      </c>
      <c r="E190" s="31">
        <v>28.2</v>
      </c>
      <c r="F190" s="32">
        <v>3696</v>
      </c>
      <c r="G190" s="33"/>
      <c r="H190" s="34"/>
      <c r="I190" s="35">
        <f t="shared" si="15"/>
        <v>0</v>
      </c>
      <c r="J190" s="33"/>
      <c r="K190" s="34"/>
      <c r="L190" s="35">
        <f t="shared" si="16"/>
        <v>0</v>
      </c>
      <c r="M190" s="34"/>
      <c r="N190" s="34"/>
      <c r="O190" s="35">
        <f t="shared" si="17"/>
        <v>0</v>
      </c>
      <c r="P190" s="36"/>
    </row>
    <row r="191" spans="2:16" x14ac:dyDescent="0.2">
      <c r="B191" s="41" t="s">
        <v>582</v>
      </c>
      <c r="C191" s="42">
        <v>1997</v>
      </c>
      <c r="D191" s="60" t="s">
        <v>205</v>
      </c>
      <c r="E191" s="31">
        <v>27.98</v>
      </c>
      <c r="F191" s="32">
        <v>3709</v>
      </c>
      <c r="G191" s="33"/>
      <c r="H191" s="34"/>
      <c r="I191" s="35">
        <f t="shared" si="15"/>
        <v>0</v>
      </c>
      <c r="J191" s="33"/>
      <c r="K191" s="34"/>
      <c r="L191" s="35">
        <f t="shared" si="16"/>
        <v>0</v>
      </c>
      <c r="M191" s="34"/>
      <c r="N191" s="34"/>
      <c r="O191" s="35">
        <f t="shared" si="17"/>
        <v>0</v>
      </c>
      <c r="P191" s="36"/>
    </row>
    <row r="192" spans="2:16" x14ac:dyDescent="0.2">
      <c r="B192" s="41" t="s">
        <v>582</v>
      </c>
      <c r="C192" s="42">
        <v>1997</v>
      </c>
      <c r="D192" s="60" t="s">
        <v>206</v>
      </c>
      <c r="E192" s="31">
        <v>26.14</v>
      </c>
      <c r="F192" s="32">
        <v>3355</v>
      </c>
      <c r="G192" s="33"/>
      <c r="H192" s="34"/>
      <c r="I192" s="35">
        <f t="shared" si="15"/>
        <v>0</v>
      </c>
      <c r="J192" s="33"/>
      <c r="K192" s="34"/>
      <c r="L192" s="35">
        <f t="shared" si="16"/>
        <v>0</v>
      </c>
      <c r="M192" s="34"/>
      <c r="N192" s="34"/>
      <c r="O192" s="35">
        <f t="shared" si="17"/>
        <v>0</v>
      </c>
      <c r="P192" s="36"/>
    </row>
    <row r="193" spans="2:16" x14ac:dyDescent="0.2">
      <c r="B193" s="41" t="s">
        <v>582</v>
      </c>
      <c r="C193" s="42">
        <v>1997</v>
      </c>
      <c r="D193" s="60" t="s">
        <v>207</v>
      </c>
      <c r="E193" s="31">
        <v>13.97</v>
      </c>
      <c r="F193" s="32">
        <v>1804</v>
      </c>
      <c r="G193" s="33"/>
      <c r="H193" s="34"/>
      <c r="I193" s="35">
        <f t="shared" si="15"/>
        <v>0</v>
      </c>
      <c r="J193" s="33"/>
      <c r="K193" s="34"/>
      <c r="L193" s="35">
        <f t="shared" si="16"/>
        <v>0</v>
      </c>
      <c r="M193" s="34"/>
      <c r="N193" s="34"/>
      <c r="O193" s="35">
        <f t="shared" si="17"/>
        <v>0</v>
      </c>
      <c r="P193" s="36"/>
    </row>
    <row r="194" spans="2:16" x14ac:dyDescent="0.2">
      <c r="B194" s="41" t="s">
        <v>582</v>
      </c>
      <c r="C194" s="42">
        <v>1997</v>
      </c>
      <c r="D194" s="60" t="s">
        <v>208</v>
      </c>
      <c r="E194" s="31">
        <v>30.07</v>
      </c>
      <c r="F194" s="32">
        <v>3927</v>
      </c>
      <c r="G194" s="33"/>
      <c r="H194" s="34"/>
      <c r="I194" s="35">
        <f t="shared" si="15"/>
        <v>0</v>
      </c>
      <c r="J194" s="33"/>
      <c r="K194" s="34"/>
      <c r="L194" s="35">
        <f t="shared" si="16"/>
        <v>0</v>
      </c>
      <c r="M194" s="34"/>
      <c r="N194" s="34"/>
      <c r="O194" s="35">
        <f t="shared" si="17"/>
        <v>0</v>
      </c>
      <c r="P194" s="36"/>
    </row>
    <row r="195" spans="2:16" x14ac:dyDescent="0.2">
      <c r="B195" s="41" t="s">
        <v>582</v>
      </c>
      <c r="C195" s="42">
        <v>1997</v>
      </c>
      <c r="D195" s="60" t="s">
        <v>209</v>
      </c>
      <c r="E195" s="31">
        <v>31.77</v>
      </c>
      <c r="F195" s="32">
        <v>4244</v>
      </c>
      <c r="G195" s="33"/>
      <c r="H195" s="34"/>
      <c r="I195" s="35">
        <f t="shared" si="15"/>
        <v>0</v>
      </c>
      <c r="J195" s="33"/>
      <c r="K195" s="34"/>
      <c r="L195" s="35">
        <f t="shared" si="16"/>
        <v>0</v>
      </c>
      <c r="M195" s="34"/>
      <c r="N195" s="34"/>
      <c r="O195" s="35">
        <f t="shared" si="17"/>
        <v>0</v>
      </c>
      <c r="P195" s="36"/>
    </row>
    <row r="196" spans="2:16" x14ac:dyDescent="0.2">
      <c r="B196" s="41" t="s">
        <v>582</v>
      </c>
      <c r="C196" s="42">
        <v>1997</v>
      </c>
      <c r="D196" s="60" t="s">
        <v>210</v>
      </c>
      <c r="E196" s="31">
        <v>27.92</v>
      </c>
      <c r="F196" s="32">
        <v>3704</v>
      </c>
      <c r="G196" s="33"/>
      <c r="H196" s="34"/>
      <c r="I196" s="35">
        <f t="shared" si="15"/>
        <v>0</v>
      </c>
      <c r="J196" s="33"/>
      <c r="K196" s="34"/>
      <c r="L196" s="35">
        <f t="shared" si="16"/>
        <v>0</v>
      </c>
      <c r="M196" s="34"/>
      <c r="N196" s="34"/>
      <c r="O196" s="35">
        <f t="shared" si="17"/>
        <v>0</v>
      </c>
      <c r="P196" s="36"/>
    </row>
    <row r="197" spans="2:16" x14ac:dyDescent="0.2">
      <c r="B197" s="41" t="s">
        <v>582</v>
      </c>
      <c r="C197" s="42">
        <v>1997</v>
      </c>
      <c r="D197" s="60" t="s">
        <v>211</v>
      </c>
      <c r="E197" s="31">
        <v>29.41</v>
      </c>
      <c r="F197" s="32">
        <v>3969</v>
      </c>
      <c r="G197" s="33"/>
      <c r="H197" s="34"/>
      <c r="I197" s="35">
        <f t="shared" si="15"/>
        <v>0</v>
      </c>
      <c r="J197" s="33"/>
      <c r="K197" s="34"/>
      <c r="L197" s="35">
        <f t="shared" si="16"/>
        <v>0</v>
      </c>
      <c r="M197" s="34"/>
      <c r="N197" s="34"/>
      <c r="O197" s="35">
        <f t="shared" si="17"/>
        <v>0</v>
      </c>
      <c r="P197" s="36"/>
    </row>
    <row r="198" spans="2:16" x14ac:dyDescent="0.2">
      <c r="B198" s="41" t="s">
        <v>582</v>
      </c>
      <c r="C198" s="42">
        <v>1997</v>
      </c>
      <c r="D198" s="60" t="s">
        <v>212</v>
      </c>
      <c r="E198" s="31">
        <v>29.67</v>
      </c>
      <c r="F198" s="32">
        <v>3940</v>
      </c>
      <c r="G198" s="33">
        <v>1000</v>
      </c>
      <c r="H198" s="34">
        <v>1000</v>
      </c>
      <c r="I198" s="35">
        <f t="shared" si="15"/>
        <v>100</v>
      </c>
      <c r="J198" s="33"/>
      <c r="K198" s="34"/>
      <c r="L198" s="35">
        <f t="shared" si="16"/>
        <v>0</v>
      </c>
      <c r="M198" s="34"/>
      <c r="N198" s="34"/>
      <c r="O198" s="35">
        <f t="shared" si="17"/>
        <v>0</v>
      </c>
      <c r="P198" s="36"/>
    </row>
    <row r="199" spans="2:16" x14ac:dyDescent="0.2">
      <c r="B199" s="41" t="s">
        <v>582</v>
      </c>
      <c r="C199" s="42">
        <v>1997</v>
      </c>
      <c r="D199" s="60" t="s">
        <v>213</v>
      </c>
      <c r="E199" s="31">
        <v>28.73</v>
      </c>
      <c r="F199" s="32">
        <v>4022</v>
      </c>
      <c r="G199" s="33"/>
      <c r="H199" s="34"/>
      <c r="I199" s="35">
        <f t="shared" si="15"/>
        <v>0</v>
      </c>
      <c r="J199" s="33"/>
      <c r="K199" s="34"/>
      <c r="L199" s="35">
        <f t="shared" si="16"/>
        <v>0</v>
      </c>
      <c r="M199" s="34"/>
      <c r="N199" s="34"/>
      <c r="O199" s="35">
        <f t="shared" si="17"/>
        <v>0</v>
      </c>
      <c r="P199" s="36"/>
    </row>
    <row r="200" spans="2:16" x14ac:dyDescent="0.2">
      <c r="B200" s="41" t="s">
        <v>582</v>
      </c>
      <c r="C200" s="42">
        <v>1997</v>
      </c>
      <c r="D200" s="60" t="s">
        <v>214</v>
      </c>
      <c r="E200" s="31">
        <v>30.67</v>
      </c>
      <c r="F200" s="32">
        <v>4266</v>
      </c>
      <c r="G200" s="33"/>
      <c r="H200" s="34"/>
      <c r="I200" s="35">
        <f t="shared" si="15"/>
        <v>0</v>
      </c>
      <c r="J200" s="33"/>
      <c r="K200" s="34"/>
      <c r="L200" s="35">
        <f t="shared" si="16"/>
        <v>0</v>
      </c>
      <c r="M200" s="34"/>
      <c r="N200" s="34"/>
      <c r="O200" s="35">
        <f t="shared" si="17"/>
        <v>0</v>
      </c>
      <c r="P200" s="36"/>
    </row>
    <row r="201" spans="2:16" x14ac:dyDescent="0.2">
      <c r="B201" s="41" t="s">
        <v>582</v>
      </c>
      <c r="C201" s="42">
        <v>1997</v>
      </c>
      <c r="D201" s="60" t="s">
        <v>215</v>
      </c>
      <c r="E201" s="31">
        <v>27.34</v>
      </c>
      <c r="F201" s="32">
        <v>3726</v>
      </c>
      <c r="G201" s="33">
        <v>100</v>
      </c>
      <c r="H201" s="34"/>
      <c r="I201" s="35">
        <f t="shared" si="15"/>
        <v>0</v>
      </c>
      <c r="J201" s="33"/>
      <c r="K201" s="34"/>
      <c r="L201" s="35">
        <f t="shared" si="16"/>
        <v>0</v>
      </c>
      <c r="M201" s="34"/>
      <c r="N201" s="34"/>
      <c r="O201" s="35">
        <f t="shared" si="17"/>
        <v>0</v>
      </c>
      <c r="P201" s="36"/>
    </row>
    <row r="202" spans="2:16" x14ac:dyDescent="0.2">
      <c r="B202" s="41" t="s">
        <v>582</v>
      </c>
      <c r="C202" s="42">
        <v>1997</v>
      </c>
      <c r="D202" s="60" t="s">
        <v>216</v>
      </c>
      <c r="E202" s="31">
        <v>32.119999999999997</v>
      </c>
      <c r="F202" s="32">
        <v>4326</v>
      </c>
      <c r="G202" s="33">
        <v>500</v>
      </c>
      <c r="H202" s="34"/>
      <c r="I202" s="35">
        <f t="shared" ref="I202:I265" si="20">IFERROR(H202/G202%,0)</f>
        <v>0</v>
      </c>
      <c r="J202" s="33"/>
      <c r="K202" s="34"/>
      <c r="L202" s="35">
        <f t="shared" ref="L202:L265" si="21">IFERROR(K202/J202%,0)</f>
        <v>0</v>
      </c>
      <c r="M202" s="34"/>
      <c r="N202" s="34"/>
      <c r="O202" s="35">
        <f t="shared" ref="O202:O265" si="22">IFERROR(N202/M202%,0)</f>
        <v>0</v>
      </c>
      <c r="P202" s="36"/>
    </row>
    <row r="203" spans="2:16" x14ac:dyDescent="0.2">
      <c r="B203" s="41" t="s">
        <v>582</v>
      </c>
      <c r="C203" s="42">
        <v>1997</v>
      </c>
      <c r="D203" s="60" t="s">
        <v>217</v>
      </c>
      <c r="E203" s="31">
        <v>27.2</v>
      </c>
      <c r="F203" s="32">
        <v>3624</v>
      </c>
      <c r="G203" s="33"/>
      <c r="H203" s="34"/>
      <c r="I203" s="35">
        <f t="shared" si="20"/>
        <v>0</v>
      </c>
      <c r="J203" s="33"/>
      <c r="K203" s="34"/>
      <c r="L203" s="35">
        <f t="shared" si="21"/>
        <v>0</v>
      </c>
      <c r="M203" s="34"/>
      <c r="N203" s="34"/>
      <c r="O203" s="35">
        <f t="shared" si="22"/>
        <v>0</v>
      </c>
      <c r="P203" s="36"/>
    </row>
    <row r="204" spans="2:16" x14ac:dyDescent="0.2">
      <c r="B204" s="41" t="s">
        <v>582</v>
      </c>
      <c r="C204" s="42">
        <v>1997</v>
      </c>
      <c r="D204" s="60" t="s">
        <v>218</v>
      </c>
      <c r="E204" s="31">
        <v>29.91</v>
      </c>
      <c r="F204" s="32">
        <v>3837</v>
      </c>
      <c r="G204" s="33"/>
      <c r="H204" s="34"/>
      <c r="I204" s="35">
        <f t="shared" si="20"/>
        <v>0</v>
      </c>
      <c r="J204" s="33"/>
      <c r="K204" s="34"/>
      <c r="L204" s="35">
        <f t="shared" si="21"/>
        <v>0</v>
      </c>
      <c r="M204" s="34"/>
      <c r="N204" s="34"/>
      <c r="O204" s="35">
        <f t="shared" si="22"/>
        <v>0</v>
      </c>
      <c r="P204" s="36"/>
    </row>
    <row r="205" spans="2:16" x14ac:dyDescent="0.2">
      <c r="B205" s="41" t="s">
        <v>582</v>
      </c>
      <c r="C205" s="42">
        <v>1997</v>
      </c>
      <c r="D205" s="60" t="s">
        <v>219</v>
      </c>
      <c r="E205" s="31">
        <v>29.53</v>
      </c>
      <c r="F205" s="32">
        <v>3877</v>
      </c>
      <c r="G205" s="33">
        <v>1000</v>
      </c>
      <c r="H205" s="34"/>
      <c r="I205" s="35">
        <f t="shared" si="20"/>
        <v>0</v>
      </c>
      <c r="J205" s="33"/>
      <c r="K205" s="34"/>
      <c r="L205" s="35">
        <f t="shared" si="21"/>
        <v>0</v>
      </c>
      <c r="M205" s="34"/>
      <c r="N205" s="34"/>
      <c r="O205" s="35">
        <f t="shared" si="22"/>
        <v>0</v>
      </c>
      <c r="P205" s="36"/>
    </row>
    <row r="206" spans="2:16" x14ac:dyDescent="0.2">
      <c r="B206" s="41" t="s">
        <v>582</v>
      </c>
      <c r="C206" s="42">
        <v>1997</v>
      </c>
      <c r="D206" s="60" t="s">
        <v>220</v>
      </c>
      <c r="E206" s="31">
        <v>21.14</v>
      </c>
      <c r="F206" s="32">
        <v>2761</v>
      </c>
      <c r="G206" s="33"/>
      <c r="H206" s="34"/>
      <c r="I206" s="35">
        <f t="shared" si="20"/>
        <v>0</v>
      </c>
      <c r="J206" s="33"/>
      <c r="K206" s="34"/>
      <c r="L206" s="35">
        <f t="shared" si="21"/>
        <v>0</v>
      </c>
      <c r="M206" s="34"/>
      <c r="N206" s="34"/>
      <c r="O206" s="35">
        <f t="shared" si="22"/>
        <v>0</v>
      </c>
      <c r="P206" s="36"/>
    </row>
    <row r="207" spans="2:16" x14ac:dyDescent="0.2">
      <c r="B207" s="41" t="s">
        <v>582</v>
      </c>
      <c r="C207" s="42">
        <v>1997</v>
      </c>
      <c r="D207" s="60" t="s">
        <v>221</v>
      </c>
      <c r="E207" s="31">
        <v>10.68</v>
      </c>
      <c r="F207" s="32">
        <v>1219</v>
      </c>
      <c r="G207" s="33"/>
      <c r="H207" s="34"/>
      <c r="I207" s="35">
        <f t="shared" si="20"/>
        <v>0</v>
      </c>
      <c r="J207" s="33"/>
      <c r="K207" s="34"/>
      <c r="L207" s="35">
        <f t="shared" si="21"/>
        <v>0</v>
      </c>
      <c r="M207" s="34"/>
      <c r="N207" s="34"/>
      <c r="O207" s="35">
        <f t="shared" si="22"/>
        <v>0</v>
      </c>
      <c r="P207" s="36"/>
    </row>
    <row r="208" spans="2:16" x14ac:dyDescent="0.2">
      <c r="B208" s="41" t="s">
        <v>582</v>
      </c>
      <c r="C208" s="42">
        <v>1997</v>
      </c>
      <c r="D208" s="60" t="s">
        <v>222</v>
      </c>
      <c r="E208" s="31">
        <v>28.14</v>
      </c>
      <c r="F208" s="32">
        <v>3793</v>
      </c>
      <c r="G208" s="33"/>
      <c r="H208" s="34"/>
      <c r="I208" s="35">
        <f t="shared" si="20"/>
        <v>0</v>
      </c>
      <c r="J208" s="33"/>
      <c r="K208" s="34"/>
      <c r="L208" s="35">
        <f t="shared" si="21"/>
        <v>0</v>
      </c>
      <c r="M208" s="34"/>
      <c r="N208" s="34"/>
      <c r="O208" s="35">
        <f t="shared" si="22"/>
        <v>0</v>
      </c>
      <c r="P208" s="36"/>
    </row>
    <row r="209" spans="2:16" x14ac:dyDescent="0.2">
      <c r="B209" s="41" t="s">
        <v>582</v>
      </c>
      <c r="C209" s="42">
        <v>1997</v>
      </c>
      <c r="D209" s="60" t="s">
        <v>223</v>
      </c>
      <c r="E209" s="31">
        <v>31.7</v>
      </c>
      <c r="F209" s="32">
        <v>4267</v>
      </c>
      <c r="G209" s="33"/>
      <c r="H209" s="34"/>
      <c r="I209" s="35">
        <f t="shared" si="20"/>
        <v>0</v>
      </c>
      <c r="J209" s="33"/>
      <c r="K209" s="34"/>
      <c r="L209" s="35">
        <f t="shared" si="21"/>
        <v>0</v>
      </c>
      <c r="M209" s="34"/>
      <c r="N209" s="34"/>
      <c r="O209" s="35">
        <f t="shared" si="22"/>
        <v>0</v>
      </c>
      <c r="P209" s="36"/>
    </row>
    <row r="210" spans="2:16" x14ac:dyDescent="0.2">
      <c r="B210" s="41" t="s">
        <v>582</v>
      </c>
      <c r="C210" s="42">
        <v>1997</v>
      </c>
      <c r="D210" s="60" t="s">
        <v>224</v>
      </c>
      <c r="E210" s="31">
        <v>25.73</v>
      </c>
      <c r="F210" s="32">
        <v>3462</v>
      </c>
      <c r="G210" s="33"/>
      <c r="H210" s="34"/>
      <c r="I210" s="35">
        <f t="shared" si="20"/>
        <v>0</v>
      </c>
      <c r="J210" s="33"/>
      <c r="K210" s="34"/>
      <c r="L210" s="35">
        <f t="shared" si="21"/>
        <v>0</v>
      </c>
      <c r="M210" s="34"/>
      <c r="N210" s="34"/>
      <c r="O210" s="35">
        <f t="shared" si="22"/>
        <v>0</v>
      </c>
      <c r="P210" s="36"/>
    </row>
    <row r="211" spans="2:16" x14ac:dyDescent="0.2">
      <c r="B211" s="41" t="s">
        <v>582</v>
      </c>
      <c r="C211" s="42">
        <v>1997</v>
      </c>
      <c r="D211" s="60" t="s">
        <v>225</v>
      </c>
      <c r="E211" s="31">
        <v>26.37</v>
      </c>
      <c r="F211" s="32">
        <v>3439</v>
      </c>
      <c r="G211" s="33">
        <v>500</v>
      </c>
      <c r="H211" s="34"/>
      <c r="I211" s="35">
        <f t="shared" si="20"/>
        <v>0</v>
      </c>
      <c r="J211" s="33"/>
      <c r="K211" s="34"/>
      <c r="L211" s="35">
        <f t="shared" si="21"/>
        <v>0</v>
      </c>
      <c r="M211" s="34"/>
      <c r="N211" s="34"/>
      <c r="O211" s="35">
        <f t="shared" si="22"/>
        <v>0</v>
      </c>
      <c r="P211" s="36"/>
    </row>
    <row r="212" spans="2:16" x14ac:dyDescent="0.2">
      <c r="B212" s="41" t="s">
        <v>582</v>
      </c>
      <c r="C212" s="42">
        <v>1997</v>
      </c>
      <c r="D212" s="60" t="s">
        <v>226</v>
      </c>
      <c r="E212" s="31">
        <v>15.17</v>
      </c>
      <c r="F212" s="32">
        <v>1922</v>
      </c>
      <c r="G212" s="33"/>
      <c r="H212" s="34"/>
      <c r="I212" s="35">
        <f t="shared" si="20"/>
        <v>0</v>
      </c>
      <c r="J212" s="33"/>
      <c r="K212" s="34"/>
      <c r="L212" s="35">
        <f t="shared" si="21"/>
        <v>0</v>
      </c>
      <c r="M212" s="34"/>
      <c r="N212" s="34"/>
      <c r="O212" s="35">
        <f t="shared" si="22"/>
        <v>0</v>
      </c>
      <c r="P212" s="36"/>
    </row>
    <row r="213" spans="2:16" x14ac:dyDescent="0.2">
      <c r="B213" s="41" t="s">
        <v>582</v>
      </c>
      <c r="C213" s="42">
        <v>1997</v>
      </c>
      <c r="D213" s="60" t="s">
        <v>227</v>
      </c>
      <c r="E213" s="31">
        <v>26.08</v>
      </c>
      <c r="F213" s="32">
        <v>3592</v>
      </c>
      <c r="G213" s="33"/>
      <c r="H213" s="34"/>
      <c r="I213" s="35">
        <f t="shared" si="20"/>
        <v>0</v>
      </c>
      <c r="J213" s="33"/>
      <c r="K213" s="34"/>
      <c r="L213" s="35">
        <f t="shared" si="21"/>
        <v>0</v>
      </c>
      <c r="M213" s="34"/>
      <c r="N213" s="34"/>
      <c r="O213" s="35">
        <f t="shared" si="22"/>
        <v>0</v>
      </c>
      <c r="P213" s="36"/>
    </row>
    <row r="214" spans="2:16" x14ac:dyDescent="0.2">
      <c r="B214" s="41" t="s">
        <v>582</v>
      </c>
      <c r="C214" s="42">
        <v>1997</v>
      </c>
      <c r="D214" s="60" t="s">
        <v>228</v>
      </c>
      <c r="E214" s="31">
        <v>34.26</v>
      </c>
      <c r="F214" s="32">
        <v>4462</v>
      </c>
      <c r="G214" s="33"/>
      <c r="H214" s="34"/>
      <c r="I214" s="35">
        <f t="shared" si="20"/>
        <v>0</v>
      </c>
      <c r="J214" s="33"/>
      <c r="K214" s="34"/>
      <c r="L214" s="35">
        <f t="shared" si="21"/>
        <v>0</v>
      </c>
      <c r="M214" s="34"/>
      <c r="N214" s="34"/>
      <c r="O214" s="35">
        <f t="shared" si="22"/>
        <v>0</v>
      </c>
      <c r="P214" s="36"/>
    </row>
    <row r="215" spans="2:16" x14ac:dyDescent="0.2">
      <c r="B215" s="41" t="s">
        <v>582</v>
      </c>
      <c r="C215" s="42">
        <v>1997</v>
      </c>
      <c r="D215" s="60" t="s">
        <v>229</v>
      </c>
      <c r="E215" s="31">
        <v>26.83</v>
      </c>
      <c r="F215" s="32">
        <v>3300</v>
      </c>
      <c r="G215" s="33">
        <v>500</v>
      </c>
      <c r="H215" s="34"/>
      <c r="I215" s="35">
        <f t="shared" si="20"/>
        <v>0</v>
      </c>
      <c r="J215" s="33">
        <v>300</v>
      </c>
      <c r="K215" s="34">
        <v>150</v>
      </c>
      <c r="L215" s="35">
        <f t="shared" si="21"/>
        <v>50</v>
      </c>
      <c r="M215" s="34"/>
      <c r="N215" s="34"/>
      <c r="O215" s="35">
        <f t="shared" si="22"/>
        <v>0</v>
      </c>
      <c r="P215" s="36"/>
    </row>
    <row r="216" spans="2:16" x14ac:dyDescent="0.2">
      <c r="B216" s="41" t="s">
        <v>582</v>
      </c>
      <c r="C216" s="42">
        <v>1997</v>
      </c>
      <c r="D216" s="60" t="s">
        <v>230</v>
      </c>
      <c r="E216" s="31">
        <v>30.49</v>
      </c>
      <c r="F216" s="32">
        <v>4185</v>
      </c>
      <c r="G216" s="33"/>
      <c r="H216" s="34"/>
      <c r="I216" s="35">
        <f t="shared" si="20"/>
        <v>0</v>
      </c>
      <c r="J216" s="33"/>
      <c r="K216" s="34"/>
      <c r="L216" s="35">
        <f t="shared" si="21"/>
        <v>0</v>
      </c>
      <c r="M216" s="34"/>
      <c r="N216" s="34"/>
      <c r="O216" s="35">
        <f t="shared" si="22"/>
        <v>0</v>
      </c>
      <c r="P216" s="36"/>
    </row>
    <row r="217" spans="2:16" x14ac:dyDescent="0.2">
      <c r="B217" s="41" t="s">
        <v>582</v>
      </c>
      <c r="C217" s="42">
        <v>1997</v>
      </c>
      <c r="D217" s="60" t="s">
        <v>231</v>
      </c>
      <c r="E217" s="31">
        <v>24.54</v>
      </c>
      <c r="F217" s="32">
        <v>3194</v>
      </c>
      <c r="G217" s="33"/>
      <c r="H217" s="34"/>
      <c r="I217" s="35">
        <f t="shared" si="20"/>
        <v>0</v>
      </c>
      <c r="J217" s="33"/>
      <c r="K217" s="34"/>
      <c r="L217" s="35">
        <f t="shared" si="21"/>
        <v>0</v>
      </c>
      <c r="M217" s="34"/>
      <c r="N217" s="34"/>
      <c r="O217" s="35">
        <f t="shared" si="22"/>
        <v>0</v>
      </c>
      <c r="P217" s="36"/>
    </row>
    <row r="218" spans="2:16" x14ac:dyDescent="0.2">
      <c r="B218" s="41" t="s">
        <v>582</v>
      </c>
      <c r="C218" s="42">
        <v>1997</v>
      </c>
      <c r="D218" s="60" t="s">
        <v>232</v>
      </c>
      <c r="E218" s="31">
        <v>20.05</v>
      </c>
      <c r="F218" s="32">
        <v>2398</v>
      </c>
      <c r="G218" s="33"/>
      <c r="H218" s="34"/>
      <c r="I218" s="35">
        <f t="shared" si="20"/>
        <v>0</v>
      </c>
      <c r="J218" s="33"/>
      <c r="K218" s="34"/>
      <c r="L218" s="35">
        <f t="shared" si="21"/>
        <v>0</v>
      </c>
      <c r="M218" s="34"/>
      <c r="N218" s="34"/>
      <c r="O218" s="35">
        <f t="shared" si="22"/>
        <v>0</v>
      </c>
      <c r="P218" s="36"/>
    </row>
    <row r="219" spans="2:16" ht="17" x14ac:dyDescent="0.2">
      <c r="B219" s="43"/>
      <c r="C219" s="50" t="s">
        <v>579</v>
      </c>
      <c r="D219" s="50"/>
      <c r="E219" s="55">
        <f>SUM(E177:E218)</f>
        <v>1144.5399999999997</v>
      </c>
      <c r="F219" s="61">
        <f t="shared" ref="F219:H219" si="23">SUM(F177:F218)</f>
        <v>150392</v>
      </c>
      <c r="G219" s="39">
        <f t="shared" si="23"/>
        <v>4100</v>
      </c>
      <c r="H219" s="62">
        <f t="shared" si="23"/>
        <v>1000</v>
      </c>
      <c r="I219" s="62">
        <f t="shared" si="20"/>
        <v>24.390243902439025</v>
      </c>
      <c r="J219" s="39">
        <f t="shared" ref="J219:K219" si="24">SUM(J177:J218)</f>
        <v>300</v>
      </c>
      <c r="K219" s="62">
        <f t="shared" si="24"/>
        <v>150</v>
      </c>
      <c r="L219" s="62">
        <f t="shared" si="21"/>
        <v>50</v>
      </c>
      <c r="M219" s="62">
        <f t="shared" ref="M219:N219" si="25">SUM(M177:M218)</f>
        <v>0</v>
      </c>
      <c r="N219" s="62">
        <f t="shared" si="25"/>
        <v>0</v>
      </c>
      <c r="O219" s="62">
        <f t="shared" si="22"/>
        <v>0</v>
      </c>
      <c r="P219" s="40"/>
    </row>
    <row r="220" spans="2:16" x14ac:dyDescent="0.2">
      <c r="B220" s="41" t="s">
        <v>583</v>
      </c>
      <c r="C220" s="42">
        <v>1997</v>
      </c>
      <c r="D220" s="30" t="s">
        <v>238</v>
      </c>
      <c r="E220" s="31">
        <v>30.28</v>
      </c>
      <c r="F220" s="32">
        <v>3952</v>
      </c>
      <c r="G220" s="33">
        <v>1000</v>
      </c>
      <c r="H220" s="34"/>
      <c r="I220" s="35">
        <f t="shared" si="20"/>
        <v>0</v>
      </c>
      <c r="J220" s="33">
        <v>300</v>
      </c>
      <c r="K220" s="34"/>
      <c r="L220" s="35">
        <f t="shared" si="21"/>
        <v>0</v>
      </c>
      <c r="M220" s="34"/>
      <c r="N220" s="34"/>
      <c r="O220" s="35">
        <f t="shared" si="22"/>
        <v>0</v>
      </c>
      <c r="P220" s="36"/>
    </row>
    <row r="221" spans="2:16" x14ac:dyDescent="0.2">
      <c r="B221" s="41" t="s">
        <v>583</v>
      </c>
      <c r="C221" s="42">
        <v>1997</v>
      </c>
      <c r="D221" s="30" t="s">
        <v>241</v>
      </c>
      <c r="E221" s="31">
        <v>30.43</v>
      </c>
      <c r="F221" s="32">
        <v>4205</v>
      </c>
      <c r="G221" s="33">
        <v>1000</v>
      </c>
      <c r="H221" s="34"/>
      <c r="I221" s="35">
        <f t="shared" si="20"/>
        <v>0</v>
      </c>
      <c r="J221" s="33">
        <v>300</v>
      </c>
      <c r="K221" s="34"/>
      <c r="L221" s="35">
        <f t="shared" si="21"/>
        <v>0</v>
      </c>
      <c r="M221" s="34"/>
      <c r="N221" s="34"/>
      <c r="O221" s="35">
        <f t="shared" si="22"/>
        <v>0</v>
      </c>
      <c r="P221" s="36"/>
    </row>
    <row r="222" spans="2:16" x14ac:dyDescent="0.2">
      <c r="B222" s="41" t="s">
        <v>583</v>
      </c>
      <c r="C222" s="42">
        <v>1997</v>
      </c>
      <c r="D222" s="30" t="s">
        <v>233</v>
      </c>
      <c r="E222" s="31">
        <v>30.79</v>
      </c>
      <c r="F222" s="32">
        <v>4052</v>
      </c>
      <c r="G222" s="33">
        <v>1000</v>
      </c>
      <c r="H222" s="34"/>
      <c r="I222" s="35">
        <f t="shared" si="20"/>
        <v>0</v>
      </c>
      <c r="J222" s="33">
        <v>300</v>
      </c>
      <c r="K222" s="34"/>
      <c r="L222" s="35">
        <f t="shared" si="21"/>
        <v>0</v>
      </c>
      <c r="M222" s="34"/>
      <c r="N222" s="34"/>
      <c r="O222" s="35">
        <f t="shared" si="22"/>
        <v>0</v>
      </c>
      <c r="P222" s="36"/>
    </row>
    <row r="223" spans="2:16" x14ac:dyDescent="0.2">
      <c r="B223" s="41" t="s">
        <v>583</v>
      </c>
      <c r="C223" s="42">
        <v>1997</v>
      </c>
      <c r="D223" s="30" t="s">
        <v>234</v>
      </c>
      <c r="E223" s="31">
        <v>30.22</v>
      </c>
      <c r="F223" s="32">
        <v>3891</v>
      </c>
      <c r="G223" s="33">
        <v>1000</v>
      </c>
      <c r="H223" s="34"/>
      <c r="I223" s="35">
        <f t="shared" si="20"/>
        <v>0</v>
      </c>
      <c r="J223" s="33">
        <v>300</v>
      </c>
      <c r="K223" s="34">
        <v>300</v>
      </c>
      <c r="L223" s="35">
        <f t="shared" si="21"/>
        <v>100</v>
      </c>
      <c r="M223" s="34"/>
      <c r="N223" s="34"/>
      <c r="O223" s="35">
        <f t="shared" si="22"/>
        <v>0</v>
      </c>
      <c r="P223" s="36"/>
    </row>
    <row r="224" spans="2:16" x14ac:dyDescent="0.2">
      <c r="B224" s="41" t="s">
        <v>583</v>
      </c>
      <c r="C224" s="42">
        <v>1997</v>
      </c>
      <c r="D224" s="30" t="s">
        <v>235</v>
      </c>
      <c r="E224" s="31">
        <v>28.5</v>
      </c>
      <c r="F224" s="32">
        <v>3771</v>
      </c>
      <c r="G224" s="33">
        <v>1000</v>
      </c>
      <c r="H224" s="34"/>
      <c r="I224" s="35">
        <f t="shared" si="20"/>
        <v>0</v>
      </c>
      <c r="J224" s="33">
        <v>300</v>
      </c>
      <c r="K224" s="34">
        <v>300</v>
      </c>
      <c r="L224" s="35">
        <f t="shared" si="21"/>
        <v>100</v>
      </c>
      <c r="M224" s="34"/>
      <c r="N224" s="34"/>
      <c r="O224" s="35">
        <f t="shared" si="22"/>
        <v>0</v>
      </c>
      <c r="P224" s="36"/>
    </row>
    <row r="225" spans="2:16" x14ac:dyDescent="0.2">
      <c r="B225" s="41" t="s">
        <v>583</v>
      </c>
      <c r="C225" s="42">
        <v>1997</v>
      </c>
      <c r="D225" s="30" t="s">
        <v>236</v>
      </c>
      <c r="E225" s="31">
        <v>32.299999999999997</v>
      </c>
      <c r="F225" s="32">
        <v>4220</v>
      </c>
      <c r="G225" s="33">
        <v>1000</v>
      </c>
      <c r="H225" s="34"/>
      <c r="I225" s="35">
        <f t="shared" si="20"/>
        <v>0</v>
      </c>
      <c r="J225" s="33">
        <v>300</v>
      </c>
      <c r="K225" s="34">
        <v>300</v>
      </c>
      <c r="L225" s="35">
        <f t="shared" si="21"/>
        <v>100</v>
      </c>
      <c r="M225" s="34"/>
      <c r="N225" s="34"/>
      <c r="O225" s="35">
        <f t="shared" si="22"/>
        <v>0</v>
      </c>
      <c r="P225" s="36"/>
    </row>
    <row r="226" spans="2:16" x14ac:dyDescent="0.2">
      <c r="B226" s="41" t="s">
        <v>583</v>
      </c>
      <c r="C226" s="42">
        <v>1997</v>
      </c>
      <c r="D226" s="30" t="s">
        <v>237</v>
      </c>
      <c r="E226" s="31">
        <v>29.54</v>
      </c>
      <c r="F226" s="32">
        <v>3859</v>
      </c>
      <c r="G226" s="33">
        <v>1000</v>
      </c>
      <c r="H226" s="34"/>
      <c r="I226" s="35">
        <f t="shared" si="20"/>
        <v>0</v>
      </c>
      <c r="J226" s="33">
        <v>300</v>
      </c>
      <c r="K226" s="34">
        <v>300</v>
      </c>
      <c r="L226" s="35">
        <f t="shared" si="21"/>
        <v>100</v>
      </c>
      <c r="M226" s="34"/>
      <c r="N226" s="34"/>
      <c r="O226" s="35">
        <f t="shared" si="22"/>
        <v>0</v>
      </c>
      <c r="P226" s="36"/>
    </row>
    <row r="227" spans="2:16" x14ac:dyDescent="0.2">
      <c r="B227" s="41" t="s">
        <v>583</v>
      </c>
      <c r="C227" s="42">
        <v>1997</v>
      </c>
      <c r="D227" s="30" t="s">
        <v>265</v>
      </c>
      <c r="E227" s="31">
        <v>33.520000000000003</v>
      </c>
      <c r="F227" s="32">
        <v>4483</v>
      </c>
      <c r="G227" s="33">
        <v>1000</v>
      </c>
      <c r="H227" s="34"/>
      <c r="I227" s="35">
        <f t="shared" si="20"/>
        <v>0</v>
      </c>
      <c r="J227" s="33">
        <v>300</v>
      </c>
      <c r="K227" s="34"/>
      <c r="L227" s="35">
        <f t="shared" si="21"/>
        <v>0</v>
      </c>
      <c r="M227" s="34"/>
      <c r="N227" s="34"/>
      <c r="O227" s="35">
        <f t="shared" si="22"/>
        <v>0</v>
      </c>
      <c r="P227" s="36"/>
    </row>
    <row r="228" spans="2:16" x14ac:dyDescent="0.2">
      <c r="B228" s="41" t="s">
        <v>583</v>
      </c>
      <c r="C228" s="42">
        <v>1997</v>
      </c>
      <c r="D228" s="30" t="s">
        <v>266</v>
      </c>
      <c r="E228" s="31">
        <v>29.16</v>
      </c>
      <c r="F228" s="32">
        <v>3724</v>
      </c>
      <c r="G228" s="33">
        <v>1000</v>
      </c>
      <c r="H228" s="34"/>
      <c r="I228" s="35">
        <f t="shared" si="20"/>
        <v>0</v>
      </c>
      <c r="J228" s="33">
        <v>300</v>
      </c>
      <c r="K228" s="34"/>
      <c r="L228" s="35">
        <f t="shared" si="21"/>
        <v>0</v>
      </c>
      <c r="M228" s="34"/>
      <c r="N228" s="34"/>
      <c r="O228" s="35">
        <f t="shared" si="22"/>
        <v>0</v>
      </c>
      <c r="P228" s="36"/>
    </row>
    <row r="229" spans="2:16" x14ac:dyDescent="0.2">
      <c r="B229" s="41" t="s">
        <v>583</v>
      </c>
      <c r="C229" s="42">
        <v>2003</v>
      </c>
      <c r="D229" s="30" t="s">
        <v>252</v>
      </c>
      <c r="E229" s="31">
        <v>28.09</v>
      </c>
      <c r="F229" s="32">
        <v>3673</v>
      </c>
      <c r="G229" s="33">
        <v>1000</v>
      </c>
      <c r="H229" s="34"/>
      <c r="I229" s="35">
        <f t="shared" si="20"/>
        <v>0</v>
      </c>
      <c r="J229" s="33">
        <v>300</v>
      </c>
      <c r="K229" s="34"/>
      <c r="L229" s="35">
        <f t="shared" si="21"/>
        <v>0</v>
      </c>
      <c r="M229" s="34"/>
      <c r="N229" s="34"/>
      <c r="O229" s="35">
        <f t="shared" si="22"/>
        <v>0</v>
      </c>
      <c r="P229" s="36"/>
    </row>
    <row r="230" spans="2:16" x14ac:dyDescent="0.2">
      <c r="B230" s="41" t="s">
        <v>583</v>
      </c>
      <c r="C230" s="42">
        <v>2003</v>
      </c>
      <c r="D230" s="30" t="s">
        <v>253</v>
      </c>
      <c r="E230" s="31">
        <v>26.96</v>
      </c>
      <c r="F230" s="32">
        <v>3536</v>
      </c>
      <c r="G230" s="33">
        <v>1000</v>
      </c>
      <c r="H230" s="34"/>
      <c r="I230" s="35">
        <f t="shared" si="20"/>
        <v>0</v>
      </c>
      <c r="J230" s="33">
        <v>300</v>
      </c>
      <c r="K230" s="34"/>
      <c r="L230" s="35">
        <f t="shared" si="21"/>
        <v>0</v>
      </c>
      <c r="M230" s="34"/>
      <c r="N230" s="34"/>
      <c r="O230" s="35">
        <f t="shared" si="22"/>
        <v>0</v>
      </c>
      <c r="P230" s="36"/>
    </row>
    <row r="231" spans="2:16" x14ac:dyDescent="0.2">
      <c r="B231" s="41" t="s">
        <v>583</v>
      </c>
      <c r="C231" s="42">
        <v>2003</v>
      </c>
      <c r="D231" s="30" t="s">
        <v>254</v>
      </c>
      <c r="E231" s="31">
        <v>29.54</v>
      </c>
      <c r="F231" s="32">
        <v>3877</v>
      </c>
      <c r="G231" s="33">
        <v>1000</v>
      </c>
      <c r="H231" s="34"/>
      <c r="I231" s="35">
        <f t="shared" si="20"/>
        <v>0</v>
      </c>
      <c r="J231" s="33">
        <v>300</v>
      </c>
      <c r="K231" s="34">
        <v>300</v>
      </c>
      <c r="L231" s="35">
        <f t="shared" si="21"/>
        <v>100</v>
      </c>
      <c r="M231" s="34"/>
      <c r="N231" s="34"/>
      <c r="O231" s="35">
        <f t="shared" si="22"/>
        <v>0</v>
      </c>
      <c r="P231" s="36"/>
    </row>
    <row r="232" spans="2:16" x14ac:dyDescent="0.2">
      <c r="B232" s="41" t="s">
        <v>583</v>
      </c>
      <c r="C232" s="42">
        <v>2003</v>
      </c>
      <c r="D232" s="30" t="s">
        <v>259</v>
      </c>
      <c r="E232" s="31">
        <v>30.57</v>
      </c>
      <c r="F232" s="32">
        <v>3892</v>
      </c>
      <c r="G232" s="33">
        <v>1000</v>
      </c>
      <c r="H232" s="34"/>
      <c r="I232" s="35">
        <f t="shared" si="20"/>
        <v>0</v>
      </c>
      <c r="J232" s="33">
        <v>300</v>
      </c>
      <c r="K232" s="34"/>
      <c r="L232" s="35">
        <f t="shared" si="21"/>
        <v>0</v>
      </c>
      <c r="M232" s="34"/>
      <c r="N232" s="34"/>
      <c r="O232" s="35">
        <f t="shared" si="22"/>
        <v>0</v>
      </c>
      <c r="P232" s="36"/>
    </row>
    <row r="233" spans="2:16" x14ac:dyDescent="0.2">
      <c r="B233" s="41" t="s">
        <v>583</v>
      </c>
      <c r="C233" s="42">
        <v>2003</v>
      </c>
      <c r="D233" s="30" t="s">
        <v>260</v>
      </c>
      <c r="E233" s="31">
        <v>27.62</v>
      </c>
      <c r="F233" s="32">
        <v>3491</v>
      </c>
      <c r="G233" s="33">
        <v>1000</v>
      </c>
      <c r="H233" s="34"/>
      <c r="I233" s="35">
        <f t="shared" si="20"/>
        <v>0</v>
      </c>
      <c r="J233" s="33">
        <v>300</v>
      </c>
      <c r="K233" s="34"/>
      <c r="L233" s="35">
        <f t="shared" si="21"/>
        <v>0</v>
      </c>
      <c r="M233" s="34"/>
      <c r="N233" s="34"/>
      <c r="O233" s="35">
        <f t="shared" si="22"/>
        <v>0</v>
      </c>
      <c r="P233" s="36"/>
    </row>
    <row r="234" spans="2:16" x14ac:dyDescent="0.2">
      <c r="B234" s="41" t="s">
        <v>583</v>
      </c>
      <c r="C234" s="42">
        <v>2003</v>
      </c>
      <c r="D234" s="30" t="s">
        <v>261</v>
      </c>
      <c r="E234" s="31">
        <v>31.26</v>
      </c>
      <c r="F234" s="32">
        <v>3977</v>
      </c>
      <c r="G234" s="33">
        <v>1000</v>
      </c>
      <c r="H234" s="34"/>
      <c r="I234" s="35">
        <f t="shared" si="20"/>
        <v>0</v>
      </c>
      <c r="J234" s="33">
        <v>300</v>
      </c>
      <c r="K234" s="34"/>
      <c r="L234" s="35">
        <f t="shared" si="21"/>
        <v>0</v>
      </c>
      <c r="M234" s="34"/>
      <c r="N234" s="34"/>
      <c r="O234" s="35">
        <f t="shared" si="22"/>
        <v>0</v>
      </c>
      <c r="P234" s="36"/>
    </row>
    <row r="235" spans="2:16" x14ac:dyDescent="0.2">
      <c r="B235" s="41" t="s">
        <v>583</v>
      </c>
      <c r="C235" s="42">
        <v>2003</v>
      </c>
      <c r="D235" s="30" t="s">
        <v>262</v>
      </c>
      <c r="E235" s="31">
        <v>31.32</v>
      </c>
      <c r="F235" s="32">
        <v>4148</v>
      </c>
      <c r="G235" s="33">
        <v>1000</v>
      </c>
      <c r="H235" s="34"/>
      <c r="I235" s="35">
        <f t="shared" si="20"/>
        <v>0</v>
      </c>
      <c r="J235" s="33">
        <v>300</v>
      </c>
      <c r="K235" s="34"/>
      <c r="L235" s="35">
        <f t="shared" si="21"/>
        <v>0</v>
      </c>
      <c r="M235" s="34"/>
      <c r="N235" s="34"/>
      <c r="O235" s="35">
        <f t="shared" si="22"/>
        <v>0</v>
      </c>
      <c r="P235" s="36"/>
    </row>
    <row r="236" spans="2:16" x14ac:dyDescent="0.2">
      <c r="B236" s="41" t="s">
        <v>583</v>
      </c>
      <c r="C236" s="42">
        <v>2004</v>
      </c>
      <c r="D236" s="30" t="s">
        <v>255</v>
      </c>
      <c r="E236" s="31">
        <v>30.81</v>
      </c>
      <c r="F236" s="32">
        <v>4006</v>
      </c>
      <c r="G236" s="33">
        <v>1000</v>
      </c>
      <c r="H236" s="34"/>
      <c r="I236" s="35">
        <f t="shared" si="20"/>
        <v>0</v>
      </c>
      <c r="J236" s="33">
        <v>300</v>
      </c>
      <c r="K236" s="34">
        <v>10</v>
      </c>
      <c r="L236" s="35">
        <f t="shared" si="21"/>
        <v>3.3333333333333335</v>
      </c>
      <c r="M236" s="34"/>
      <c r="N236" s="34"/>
      <c r="O236" s="35">
        <f t="shared" si="22"/>
        <v>0</v>
      </c>
      <c r="P236" s="36"/>
    </row>
    <row r="237" spans="2:16" x14ac:dyDescent="0.2">
      <c r="B237" s="41" t="s">
        <v>583</v>
      </c>
      <c r="C237" s="42">
        <v>2004</v>
      </c>
      <c r="D237" s="30" t="s">
        <v>256</v>
      </c>
      <c r="E237" s="31">
        <v>39.5</v>
      </c>
      <c r="F237" s="32">
        <v>5131</v>
      </c>
      <c r="G237" s="33">
        <v>1000</v>
      </c>
      <c r="H237" s="34"/>
      <c r="I237" s="35">
        <f t="shared" si="20"/>
        <v>0</v>
      </c>
      <c r="J237" s="33">
        <v>300</v>
      </c>
      <c r="K237" s="34">
        <v>150</v>
      </c>
      <c r="L237" s="35">
        <f t="shared" si="21"/>
        <v>50</v>
      </c>
      <c r="M237" s="34"/>
      <c r="N237" s="34"/>
      <c r="O237" s="35">
        <f t="shared" si="22"/>
        <v>0</v>
      </c>
      <c r="P237" s="36"/>
    </row>
    <row r="238" spans="2:16" x14ac:dyDescent="0.2">
      <c r="B238" s="41" t="s">
        <v>583</v>
      </c>
      <c r="C238" s="42">
        <v>2004</v>
      </c>
      <c r="D238" s="30" t="s">
        <v>257</v>
      </c>
      <c r="E238" s="31">
        <v>27.19</v>
      </c>
      <c r="F238" s="32">
        <v>3646</v>
      </c>
      <c r="G238" s="33">
        <v>1000</v>
      </c>
      <c r="H238" s="34"/>
      <c r="I238" s="35">
        <f t="shared" si="20"/>
        <v>0</v>
      </c>
      <c r="J238" s="33">
        <v>300</v>
      </c>
      <c r="K238" s="34">
        <v>300</v>
      </c>
      <c r="L238" s="35">
        <f t="shared" si="21"/>
        <v>100</v>
      </c>
      <c r="M238" s="34"/>
      <c r="N238" s="34"/>
      <c r="O238" s="35">
        <f t="shared" si="22"/>
        <v>0</v>
      </c>
      <c r="P238" s="36"/>
    </row>
    <row r="239" spans="2:16" x14ac:dyDescent="0.2">
      <c r="B239" s="41" t="s">
        <v>583</v>
      </c>
      <c r="C239" s="42">
        <v>2004</v>
      </c>
      <c r="D239" s="30" t="s">
        <v>263</v>
      </c>
      <c r="E239" s="31">
        <v>40.81</v>
      </c>
      <c r="F239" s="32">
        <v>5271</v>
      </c>
      <c r="G239" s="33">
        <v>1000</v>
      </c>
      <c r="H239" s="34"/>
      <c r="I239" s="35">
        <f t="shared" si="20"/>
        <v>0</v>
      </c>
      <c r="J239" s="33">
        <v>300</v>
      </c>
      <c r="K239" s="34"/>
      <c r="L239" s="35">
        <f t="shared" si="21"/>
        <v>0</v>
      </c>
      <c r="M239" s="34"/>
      <c r="N239" s="34"/>
      <c r="O239" s="35">
        <f t="shared" si="22"/>
        <v>0</v>
      </c>
      <c r="P239" s="36"/>
    </row>
    <row r="240" spans="2:16" x14ac:dyDescent="0.2">
      <c r="B240" s="41" t="s">
        <v>583</v>
      </c>
      <c r="C240" s="42">
        <v>2004</v>
      </c>
      <c r="D240" s="30" t="s">
        <v>264</v>
      </c>
      <c r="E240" s="31">
        <v>27.6</v>
      </c>
      <c r="F240" s="32">
        <v>3461</v>
      </c>
      <c r="G240" s="33">
        <v>1000</v>
      </c>
      <c r="H240" s="34"/>
      <c r="I240" s="35">
        <f t="shared" si="20"/>
        <v>0</v>
      </c>
      <c r="J240" s="33">
        <v>300</v>
      </c>
      <c r="K240" s="34"/>
      <c r="L240" s="35">
        <f t="shared" si="21"/>
        <v>0</v>
      </c>
      <c r="M240" s="34"/>
      <c r="N240" s="34"/>
      <c r="O240" s="35">
        <f t="shared" si="22"/>
        <v>0</v>
      </c>
      <c r="P240" s="36"/>
    </row>
    <row r="241" spans="2:16" x14ac:dyDescent="0.2">
      <c r="B241" s="41" t="s">
        <v>583</v>
      </c>
      <c r="C241" s="42">
        <v>2005</v>
      </c>
      <c r="D241" s="30" t="s">
        <v>246</v>
      </c>
      <c r="E241" s="31">
        <v>11.38</v>
      </c>
      <c r="F241" s="32">
        <v>1608</v>
      </c>
      <c r="G241" s="33">
        <v>1000</v>
      </c>
      <c r="H241" s="34"/>
      <c r="I241" s="35">
        <f t="shared" si="20"/>
        <v>0</v>
      </c>
      <c r="J241" s="33">
        <v>300</v>
      </c>
      <c r="K241" s="34"/>
      <c r="L241" s="35">
        <f t="shared" si="21"/>
        <v>0</v>
      </c>
      <c r="M241" s="34"/>
      <c r="N241" s="34"/>
      <c r="O241" s="35">
        <f t="shared" si="22"/>
        <v>0</v>
      </c>
      <c r="P241" s="36"/>
    </row>
    <row r="242" spans="2:16" x14ac:dyDescent="0.2">
      <c r="B242" s="41" t="s">
        <v>583</v>
      </c>
      <c r="C242" s="42">
        <v>2005</v>
      </c>
      <c r="D242" s="30" t="s">
        <v>247</v>
      </c>
      <c r="E242" s="31">
        <v>24.15</v>
      </c>
      <c r="F242" s="32">
        <v>3242</v>
      </c>
      <c r="G242" s="33">
        <v>1000</v>
      </c>
      <c r="H242" s="34"/>
      <c r="I242" s="35">
        <f t="shared" si="20"/>
        <v>0</v>
      </c>
      <c r="J242" s="33">
        <v>300</v>
      </c>
      <c r="K242" s="34">
        <v>10</v>
      </c>
      <c r="L242" s="35">
        <f t="shared" si="21"/>
        <v>3.3333333333333335</v>
      </c>
      <c r="M242" s="34"/>
      <c r="N242" s="34"/>
      <c r="O242" s="35">
        <f t="shared" si="22"/>
        <v>0</v>
      </c>
      <c r="P242" s="36"/>
    </row>
    <row r="243" spans="2:16" x14ac:dyDescent="0.2">
      <c r="B243" s="41" t="s">
        <v>583</v>
      </c>
      <c r="C243" s="42">
        <v>2005</v>
      </c>
      <c r="D243" s="30" t="s">
        <v>248</v>
      </c>
      <c r="E243" s="31">
        <v>28.11</v>
      </c>
      <c r="F243" s="32">
        <v>3893</v>
      </c>
      <c r="G243" s="33">
        <v>1000</v>
      </c>
      <c r="H243" s="34"/>
      <c r="I243" s="35">
        <f t="shared" si="20"/>
        <v>0</v>
      </c>
      <c r="J243" s="33">
        <v>300</v>
      </c>
      <c r="K243" s="34">
        <v>10</v>
      </c>
      <c r="L243" s="35">
        <f t="shared" si="21"/>
        <v>3.3333333333333335</v>
      </c>
      <c r="M243" s="34"/>
      <c r="N243" s="34"/>
      <c r="O243" s="35">
        <f t="shared" si="22"/>
        <v>0</v>
      </c>
      <c r="P243" s="36"/>
    </row>
    <row r="244" spans="2:16" x14ac:dyDescent="0.2">
      <c r="B244" s="41" t="s">
        <v>583</v>
      </c>
      <c r="C244" s="42">
        <v>2005</v>
      </c>
      <c r="D244" s="30" t="s">
        <v>249</v>
      </c>
      <c r="E244" s="31">
        <v>36.28</v>
      </c>
      <c r="F244" s="32">
        <v>4883</v>
      </c>
      <c r="G244" s="33">
        <v>1000</v>
      </c>
      <c r="H244" s="34"/>
      <c r="I244" s="35">
        <f t="shared" si="20"/>
        <v>0</v>
      </c>
      <c r="J244" s="33">
        <v>300</v>
      </c>
      <c r="K244" s="34">
        <v>150</v>
      </c>
      <c r="L244" s="35">
        <f t="shared" si="21"/>
        <v>50</v>
      </c>
      <c r="M244" s="34"/>
      <c r="N244" s="34"/>
      <c r="O244" s="35">
        <f t="shared" si="22"/>
        <v>0</v>
      </c>
      <c r="P244" s="36"/>
    </row>
    <row r="245" spans="2:16" x14ac:dyDescent="0.2">
      <c r="B245" s="41" t="s">
        <v>583</v>
      </c>
      <c r="C245" s="42">
        <v>2005</v>
      </c>
      <c r="D245" s="30" t="s">
        <v>250</v>
      </c>
      <c r="E245" s="31">
        <v>24.51</v>
      </c>
      <c r="F245" s="32">
        <v>3250</v>
      </c>
      <c r="G245" s="33">
        <v>1000</v>
      </c>
      <c r="H245" s="34"/>
      <c r="I245" s="35">
        <f t="shared" si="20"/>
        <v>0</v>
      </c>
      <c r="J245" s="33">
        <v>300</v>
      </c>
      <c r="K245" s="34">
        <v>300</v>
      </c>
      <c r="L245" s="35">
        <f t="shared" si="21"/>
        <v>100</v>
      </c>
      <c r="M245" s="34"/>
      <c r="N245" s="34"/>
      <c r="O245" s="35">
        <f t="shared" si="22"/>
        <v>0</v>
      </c>
      <c r="P245" s="36"/>
    </row>
    <row r="246" spans="2:16" x14ac:dyDescent="0.2">
      <c r="B246" s="41" t="s">
        <v>583</v>
      </c>
      <c r="C246" s="42">
        <v>2005</v>
      </c>
      <c r="D246" s="30" t="s">
        <v>251</v>
      </c>
      <c r="E246" s="31">
        <v>13.38</v>
      </c>
      <c r="F246" s="32">
        <v>1688</v>
      </c>
      <c r="G246" s="33">
        <v>1000</v>
      </c>
      <c r="H246" s="34"/>
      <c r="I246" s="35">
        <f t="shared" si="20"/>
        <v>0</v>
      </c>
      <c r="J246" s="33">
        <v>300</v>
      </c>
      <c r="K246" s="34"/>
      <c r="L246" s="35">
        <f t="shared" si="21"/>
        <v>0</v>
      </c>
      <c r="M246" s="34"/>
      <c r="N246" s="34"/>
      <c r="O246" s="35">
        <f t="shared" si="22"/>
        <v>0</v>
      </c>
      <c r="P246" s="36"/>
    </row>
    <row r="247" spans="2:16" x14ac:dyDescent="0.2">
      <c r="B247" s="41" t="s">
        <v>583</v>
      </c>
      <c r="C247" s="42">
        <v>2005</v>
      </c>
      <c r="D247" s="30" t="s">
        <v>267</v>
      </c>
      <c r="E247" s="31">
        <v>12.55</v>
      </c>
      <c r="F247" s="32">
        <v>1837</v>
      </c>
      <c r="G247" s="33">
        <v>1000</v>
      </c>
      <c r="H247" s="34"/>
      <c r="I247" s="35">
        <f t="shared" si="20"/>
        <v>0</v>
      </c>
      <c r="J247" s="33">
        <v>300</v>
      </c>
      <c r="K247" s="34"/>
      <c r="L247" s="35">
        <f t="shared" si="21"/>
        <v>0</v>
      </c>
      <c r="M247" s="34"/>
      <c r="N247" s="34"/>
      <c r="O247" s="35">
        <f t="shared" si="22"/>
        <v>0</v>
      </c>
      <c r="P247" s="36"/>
    </row>
    <row r="248" spans="2:16" x14ac:dyDescent="0.2">
      <c r="B248" s="41" t="s">
        <v>583</v>
      </c>
      <c r="C248" s="42">
        <v>2005</v>
      </c>
      <c r="D248" s="30" t="s">
        <v>268</v>
      </c>
      <c r="E248" s="31">
        <v>27.55</v>
      </c>
      <c r="F248" s="32">
        <v>3754</v>
      </c>
      <c r="G248" s="33">
        <v>1000</v>
      </c>
      <c r="H248" s="34"/>
      <c r="I248" s="35">
        <f t="shared" si="20"/>
        <v>0</v>
      </c>
      <c r="J248" s="33">
        <v>300</v>
      </c>
      <c r="K248" s="34"/>
      <c r="L248" s="35">
        <f t="shared" si="21"/>
        <v>0</v>
      </c>
      <c r="M248" s="34"/>
      <c r="N248" s="34"/>
      <c r="O248" s="35">
        <f t="shared" si="22"/>
        <v>0</v>
      </c>
      <c r="P248" s="36"/>
    </row>
    <row r="249" spans="2:16" x14ac:dyDescent="0.2">
      <c r="B249" s="41" t="s">
        <v>583</v>
      </c>
      <c r="C249" s="42">
        <v>2005</v>
      </c>
      <c r="D249" s="30" t="s">
        <v>258</v>
      </c>
      <c r="E249" s="31">
        <v>32.31</v>
      </c>
      <c r="F249" s="32">
        <v>4215</v>
      </c>
      <c r="G249" s="33">
        <v>1000</v>
      </c>
      <c r="H249" s="34"/>
      <c r="I249" s="35">
        <f t="shared" si="20"/>
        <v>0</v>
      </c>
      <c r="J249" s="33">
        <v>300</v>
      </c>
      <c r="K249" s="34"/>
      <c r="L249" s="35">
        <f t="shared" si="21"/>
        <v>0</v>
      </c>
      <c r="M249" s="34"/>
      <c r="N249" s="34"/>
      <c r="O249" s="35">
        <f t="shared" si="22"/>
        <v>0</v>
      </c>
      <c r="P249" s="36"/>
    </row>
    <row r="250" spans="2:16" x14ac:dyDescent="0.2">
      <c r="B250" s="41" t="s">
        <v>583</v>
      </c>
      <c r="C250" s="42">
        <v>2006</v>
      </c>
      <c r="D250" s="30" t="s">
        <v>239</v>
      </c>
      <c r="E250" s="31">
        <v>19.03</v>
      </c>
      <c r="F250" s="32">
        <v>2108</v>
      </c>
      <c r="G250" s="33">
        <v>1000</v>
      </c>
      <c r="H250" s="34"/>
      <c r="I250" s="35">
        <f t="shared" si="20"/>
        <v>0</v>
      </c>
      <c r="J250" s="33">
        <v>300</v>
      </c>
      <c r="K250" s="34"/>
      <c r="L250" s="35">
        <f t="shared" si="21"/>
        <v>0</v>
      </c>
      <c r="M250" s="34"/>
      <c r="N250" s="34"/>
      <c r="O250" s="35">
        <f t="shared" si="22"/>
        <v>0</v>
      </c>
      <c r="P250" s="36"/>
    </row>
    <row r="251" spans="2:16" x14ac:dyDescent="0.2">
      <c r="B251" s="41" t="s">
        <v>583</v>
      </c>
      <c r="C251" s="42">
        <v>2006</v>
      </c>
      <c r="D251" s="30" t="s">
        <v>240</v>
      </c>
      <c r="E251" s="31">
        <v>32.229999999999997</v>
      </c>
      <c r="F251" s="32">
        <v>3945</v>
      </c>
      <c r="G251" s="33">
        <v>1000</v>
      </c>
      <c r="H251" s="34"/>
      <c r="I251" s="35">
        <f t="shared" si="20"/>
        <v>0</v>
      </c>
      <c r="J251" s="33">
        <v>300</v>
      </c>
      <c r="K251" s="34"/>
      <c r="L251" s="35">
        <f t="shared" si="21"/>
        <v>0</v>
      </c>
      <c r="M251" s="34"/>
      <c r="N251" s="34"/>
      <c r="O251" s="35">
        <f t="shared" si="22"/>
        <v>0</v>
      </c>
      <c r="P251" s="36"/>
    </row>
    <row r="252" spans="2:16" x14ac:dyDescent="0.2">
      <c r="B252" s="41" t="s">
        <v>583</v>
      </c>
      <c r="C252" s="42">
        <v>2006</v>
      </c>
      <c r="D252" s="30" t="s">
        <v>242</v>
      </c>
      <c r="E252" s="31">
        <v>17.739999999999998</v>
      </c>
      <c r="F252" s="32">
        <v>2025</v>
      </c>
      <c r="G252" s="33">
        <v>1000</v>
      </c>
      <c r="H252" s="34"/>
      <c r="I252" s="35">
        <f t="shared" si="20"/>
        <v>0</v>
      </c>
      <c r="J252" s="33">
        <v>300</v>
      </c>
      <c r="K252" s="34"/>
      <c r="L252" s="35">
        <f t="shared" si="21"/>
        <v>0</v>
      </c>
      <c r="M252" s="34"/>
      <c r="N252" s="34"/>
      <c r="O252" s="35">
        <f t="shared" si="22"/>
        <v>0</v>
      </c>
      <c r="P252" s="36"/>
    </row>
    <row r="253" spans="2:16" x14ac:dyDescent="0.2">
      <c r="B253" s="41" t="s">
        <v>583</v>
      </c>
      <c r="C253" s="42">
        <v>2006</v>
      </c>
      <c r="D253" s="30" t="s">
        <v>243</v>
      </c>
      <c r="E253" s="31">
        <v>39.43</v>
      </c>
      <c r="F253" s="32">
        <v>5142</v>
      </c>
      <c r="G253" s="33">
        <v>1000</v>
      </c>
      <c r="H253" s="34"/>
      <c r="I253" s="35">
        <f t="shared" si="20"/>
        <v>0</v>
      </c>
      <c r="J253" s="33">
        <v>300</v>
      </c>
      <c r="K253" s="34"/>
      <c r="L253" s="35">
        <f t="shared" si="21"/>
        <v>0</v>
      </c>
      <c r="M253" s="34"/>
      <c r="N253" s="34"/>
      <c r="O253" s="35">
        <f t="shared" si="22"/>
        <v>0</v>
      </c>
      <c r="P253" s="36"/>
    </row>
    <row r="254" spans="2:16" x14ac:dyDescent="0.2">
      <c r="B254" s="41" t="s">
        <v>583</v>
      </c>
      <c r="C254" s="42">
        <v>2006</v>
      </c>
      <c r="D254" s="30" t="s">
        <v>244</v>
      </c>
      <c r="E254" s="31">
        <v>27.21</v>
      </c>
      <c r="F254" s="32">
        <v>3797</v>
      </c>
      <c r="G254" s="33">
        <v>1000</v>
      </c>
      <c r="H254" s="34"/>
      <c r="I254" s="35">
        <f t="shared" si="20"/>
        <v>0</v>
      </c>
      <c r="J254" s="33">
        <v>300</v>
      </c>
      <c r="K254" s="34"/>
      <c r="L254" s="35">
        <f t="shared" si="21"/>
        <v>0</v>
      </c>
      <c r="M254" s="34"/>
      <c r="N254" s="34"/>
      <c r="O254" s="35">
        <f t="shared" si="22"/>
        <v>0</v>
      </c>
      <c r="P254" s="36"/>
    </row>
    <row r="255" spans="2:16" x14ac:dyDescent="0.2">
      <c r="B255" s="41" t="s">
        <v>583</v>
      </c>
      <c r="C255" s="42">
        <v>2006</v>
      </c>
      <c r="D255" s="30" t="s">
        <v>245</v>
      </c>
      <c r="E255" s="31">
        <v>33.14</v>
      </c>
      <c r="F255" s="32">
        <v>4515</v>
      </c>
      <c r="G255" s="33">
        <v>1000</v>
      </c>
      <c r="H255" s="34"/>
      <c r="I255" s="35">
        <f t="shared" si="20"/>
        <v>0</v>
      </c>
      <c r="J255" s="33">
        <v>300</v>
      </c>
      <c r="K255" s="34"/>
      <c r="L255" s="35">
        <f t="shared" si="21"/>
        <v>0</v>
      </c>
      <c r="M255" s="34"/>
      <c r="N255" s="34"/>
      <c r="O255" s="35">
        <f t="shared" si="22"/>
        <v>0</v>
      </c>
      <c r="P255" s="36"/>
    </row>
    <row r="256" spans="2:16" ht="17" x14ac:dyDescent="0.2">
      <c r="B256" s="43"/>
      <c r="C256" s="50" t="s">
        <v>579</v>
      </c>
      <c r="D256" s="50"/>
      <c r="E256" s="62">
        <f>SUM(E220:E255)</f>
        <v>1025.01</v>
      </c>
      <c r="F256" s="63">
        <f t="shared" ref="F256:H256" si="26">SUM(F220:F255)</f>
        <v>134168</v>
      </c>
      <c r="G256" s="39">
        <f t="shared" si="26"/>
        <v>36000</v>
      </c>
      <c r="H256" s="62">
        <f t="shared" si="26"/>
        <v>0</v>
      </c>
      <c r="I256" s="62">
        <f t="shared" si="20"/>
        <v>0</v>
      </c>
      <c r="J256" s="39">
        <f t="shared" ref="J256:K256" si="27">SUM(J220:J255)</f>
        <v>10800</v>
      </c>
      <c r="K256" s="62">
        <f t="shared" si="27"/>
        <v>2430</v>
      </c>
      <c r="L256" s="62">
        <f t="shared" si="21"/>
        <v>22.5</v>
      </c>
      <c r="M256" s="62">
        <f t="shared" ref="M256:N256" si="28">SUM(M220:M255)</f>
        <v>0</v>
      </c>
      <c r="N256" s="62">
        <f t="shared" si="28"/>
        <v>0</v>
      </c>
      <c r="O256" s="62">
        <f t="shared" si="22"/>
        <v>0</v>
      </c>
      <c r="P256" s="40"/>
    </row>
    <row r="257" spans="2:16" x14ac:dyDescent="0.2">
      <c r="B257" s="41" t="s">
        <v>584</v>
      </c>
      <c r="C257" s="42">
        <v>2002</v>
      </c>
      <c r="D257" s="60" t="s">
        <v>269</v>
      </c>
      <c r="E257" s="31">
        <v>27.69</v>
      </c>
      <c r="F257" s="32">
        <v>3745</v>
      </c>
      <c r="G257" s="33"/>
      <c r="H257" s="34"/>
      <c r="I257" s="35">
        <f t="shared" si="20"/>
        <v>0</v>
      </c>
      <c r="J257" s="33"/>
      <c r="K257" s="34"/>
      <c r="L257" s="35">
        <f t="shared" si="21"/>
        <v>0</v>
      </c>
      <c r="M257" s="34"/>
      <c r="N257" s="34"/>
      <c r="O257" s="35">
        <f t="shared" si="22"/>
        <v>0</v>
      </c>
      <c r="P257" s="36"/>
    </row>
    <row r="258" spans="2:16" x14ac:dyDescent="0.2">
      <c r="B258" s="41" t="s">
        <v>584</v>
      </c>
      <c r="C258" s="42">
        <v>2002</v>
      </c>
      <c r="D258" s="60" t="s">
        <v>270</v>
      </c>
      <c r="E258" s="31">
        <v>28.29</v>
      </c>
      <c r="F258" s="32">
        <v>3977</v>
      </c>
      <c r="G258" s="33"/>
      <c r="H258" s="34"/>
      <c r="I258" s="35">
        <f t="shared" si="20"/>
        <v>0</v>
      </c>
      <c r="J258" s="33"/>
      <c r="K258" s="34"/>
      <c r="L258" s="35">
        <f t="shared" si="21"/>
        <v>0</v>
      </c>
      <c r="M258" s="34"/>
      <c r="N258" s="34"/>
      <c r="O258" s="35">
        <f t="shared" si="22"/>
        <v>0</v>
      </c>
      <c r="P258" s="36"/>
    </row>
    <row r="259" spans="2:16" x14ac:dyDescent="0.2">
      <c r="B259" s="41" t="s">
        <v>584</v>
      </c>
      <c r="C259" s="42">
        <v>2002</v>
      </c>
      <c r="D259" s="60" t="s">
        <v>271</v>
      </c>
      <c r="E259" s="31">
        <v>37.1</v>
      </c>
      <c r="F259" s="32">
        <v>4952</v>
      </c>
      <c r="G259" s="33"/>
      <c r="H259" s="34"/>
      <c r="I259" s="35">
        <f t="shared" si="20"/>
        <v>0</v>
      </c>
      <c r="J259" s="33"/>
      <c r="K259" s="34"/>
      <c r="L259" s="35">
        <f t="shared" si="21"/>
        <v>0</v>
      </c>
      <c r="M259" s="34"/>
      <c r="N259" s="34"/>
      <c r="O259" s="35">
        <f t="shared" si="22"/>
        <v>0</v>
      </c>
      <c r="P259" s="36"/>
    </row>
    <row r="260" spans="2:16" x14ac:dyDescent="0.2">
      <c r="B260" s="41" t="s">
        <v>584</v>
      </c>
      <c r="C260" s="42">
        <v>2002</v>
      </c>
      <c r="D260" s="60" t="s">
        <v>312</v>
      </c>
      <c r="E260" s="31">
        <v>25.41</v>
      </c>
      <c r="F260" s="32">
        <v>3362</v>
      </c>
      <c r="G260" s="33"/>
      <c r="H260" s="34"/>
      <c r="I260" s="35">
        <f t="shared" si="20"/>
        <v>0</v>
      </c>
      <c r="J260" s="33"/>
      <c r="K260" s="34"/>
      <c r="L260" s="35">
        <f t="shared" si="21"/>
        <v>0</v>
      </c>
      <c r="M260" s="34">
        <v>1000</v>
      </c>
      <c r="N260" s="34">
        <v>1000</v>
      </c>
      <c r="O260" s="35">
        <f t="shared" si="22"/>
        <v>100</v>
      </c>
      <c r="P260" s="36"/>
    </row>
    <row r="261" spans="2:16" x14ac:dyDescent="0.2">
      <c r="B261" s="41" t="s">
        <v>584</v>
      </c>
      <c r="C261" s="42">
        <v>1998</v>
      </c>
      <c r="D261" s="60" t="s">
        <v>272</v>
      </c>
      <c r="E261" s="31">
        <v>30.93</v>
      </c>
      <c r="F261" s="32">
        <v>4269</v>
      </c>
      <c r="G261" s="33"/>
      <c r="H261" s="34"/>
      <c r="I261" s="35">
        <f t="shared" si="20"/>
        <v>0</v>
      </c>
      <c r="J261" s="33"/>
      <c r="K261" s="34"/>
      <c r="L261" s="35">
        <f t="shared" si="21"/>
        <v>0</v>
      </c>
      <c r="M261" s="34"/>
      <c r="N261" s="34"/>
      <c r="O261" s="35">
        <f t="shared" si="22"/>
        <v>0</v>
      </c>
      <c r="P261" s="36"/>
    </row>
    <row r="262" spans="2:16" x14ac:dyDescent="0.2">
      <c r="B262" s="41" t="s">
        <v>584</v>
      </c>
      <c r="C262" s="42">
        <v>1997</v>
      </c>
      <c r="D262" s="60" t="s">
        <v>273</v>
      </c>
      <c r="E262" s="31">
        <v>30.79</v>
      </c>
      <c r="F262" s="32">
        <v>3826</v>
      </c>
      <c r="G262" s="33"/>
      <c r="H262" s="34"/>
      <c r="I262" s="35">
        <f t="shared" si="20"/>
        <v>0</v>
      </c>
      <c r="J262" s="33"/>
      <c r="K262" s="34"/>
      <c r="L262" s="35">
        <f t="shared" si="21"/>
        <v>0</v>
      </c>
      <c r="M262" s="34"/>
      <c r="N262" s="34"/>
      <c r="O262" s="35">
        <f t="shared" si="22"/>
        <v>0</v>
      </c>
      <c r="P262" s="36"/>
    </row>
    <row r="263" spans="2:16" x14ac:dyDescent="0.2">
      <c r="B263" s="41" t="s">
        <v>584</v>
      </c>
      <c r="C263" s="42">
        <v>1997</v>
      </c>
      <c r="D263" s="60" t="s">
        <v>274</v>
      </c>
      <c r="E263" s="31">
        <v>26.85</v>
      </c>
      <c r="F263" s="32">
        <v>3552</v>
      </c>
      <c r="G263" s="33"/>
      <c r="H263" s="34"/>
      <c r="I263" s="35">
        <f t="shared" si="20"/>
        <v>0</v>
      </c>
      <c r="J263" s="33"/>
      <c r="K263" s="34"/>
      <c r="L263" s="35">
        <f t="shared" si="21"/>
        <v>0</v>
      </c>
      <c r="M263" s="34"/>
      <c r="N263" s="34"/>
      <c r="O263" s="35">
        <f t="shared" si="22"/>
        <v>0</v>
      </c>
      <c r="P263" s="36"/>
    </row>
    <row r="264" spans="2:16" x14ac:dyDescent="0.2">
      <c r="B264" s="41" t="s">
        <v>584</v>
      </c>
      <c r="C264" s="42">
        <v>1998</v>
      </c>
      <c r="D264" s="60" t="s">
        <v>275</v>
      </c>
      <c r="E264" s="31">
        <v>32.83</v>
      </c>
      <c r="F264" s="32">
        <v>4529</v>
      </c>
      <c r="G264" s="33"/>
      <c r="H264" s="34"/>
      <c r="I264" s="35">
        <f t="shared" si="20"/>
        <v>0</v>
      </c>
      <c r="J264" s="33"/>
      <c r="K264" s="34"/>
      <c r="L264" s="35">
        <f t="shared" si="21"/>
        <v>0</v>
      </c>
      <c r="M264" s="34"/>
      <c r="N264" s="34"/>
      <c r="O264" s="35">
        <f t="shared" si="22"/>
        <v>0</v>
      </c>
      <c r="P264" s="36"/>
    </row>
    <row r="265" spans="2:16" x14ac:dyDescent="0.2">
      <c r="B265" s="41" t="s">
        <v>584</v>
      </c>
      <c r="C265" s="42">
        <v>1997</v>
      </c>
      <c r="D265" s="60" t="s">
        <v>276</v>
      </c>
      <c r="E265" s="31">
        <v>29.56</v>
      </c>
      <c r="F265" s="32">
        <v>3529</v>
      </c>
      <c r="G265" s="33"/>
      <c r="H265" s="34"/>
      <c r="I265" s="35">
        <f t="shared" si="20"/>
        <v>0</v>
      </c>
      <c r="J265" s="33"/>
      <c r="K265" s="34"/>
      <c r="L265" s="35">
        <f t="shared" si="21"/>
        <v>0</v>
      </c>
      <c r="M265" s="34"/>
      <c r="N265" s="34"/>
      <c r="O265" s="35">
        <f t="shared" si="22"/>
        <v>0</v>
      </c>
      <c r="P265" s="36"/>
    </row>
    <row r="266" spans="2:16" x14ac:dyDescent="0.2">
      <c r="B266" s="41" t="s">
        <v>584</v>
      </c>
      <c r="C266" s="42">
        <v>1997</v>
      </c>
      <c r="D266" s="60" t="s">
        <v>277</v>
      </c>
      <c r="E266" s="31">
        <v>29.8</v>
      </c>
      <c r="F266" s="32">
        <v>3428</v>
      </c>
      <c r="G266" s="33"/>
      <c r="H266" s="34"/>
      <c r="I266" s="35">
        <f t="shared" ref="I266:I329" si="29">IFERROR(H266/G266%,0)</f>
        <v>0</v>
      </c>
      <c r="J266" s="33"/>
      <c r="K266" s="34"/>
      <c r="L266" s="35">
        <f t="shared" ref="L266:L329" si="30">IFERROR(K266/J266%,0)</f>
        <v>0</v>
      </c>
      <c r="M266" s="34"/>
      <c r="N266" s="34"/>
      <c r="O266" s="35">
        <f t="shared" ref="O266:O329" si="31">IFERROR(N266/M266%,0)</f>
        <v>0</v>
      </c>
      <c r="P266" s="36"/>
    </row>
    <row r="267" spans="2:16" x14ac:dyDescent="0.2">
      <c r="B267" s="41" t="s">
        <v>584</v>
      </c>
      <c r="C267" s="42">
        <v>1997</v>
      </c>
      <c r="D267" s="60" t="s">
        <v>278</v>
      </c>
      <c r="E267" s="31">
        <v>27</v>
      </c>
      <c r="F267" s="32">
        <v>3494</v>
      </c>
      <c r="G267" s="33"/>
      <c r="H267" s="34"/>
      <c r="I267" s="35">
        <f t="shared" si="29"/>
        <v>0</v>
      </c>
      <c r="J267" s="33"/>
      <c r="K267" s="34"/>
      <c r="L267" s="35">
        <f t="shared" si="30"/>
        <v>0</v>
      </c>
      <c r="M267" s="34"/>
      <c r="N267" s="34"/>
      <c r="O267" s="35">
        <f t="shared" si="31"/>
        <v>0</v>
      </c>
      <c r="P267" s="36"/>
    </row>
    <row r="268" spans="2:16" x14ac:dyDescent="0.2">
      <c r="B268" s="41" t="s">
        <v>584</v>
      </c>
      <c r="C268" s="42">
        <v>1999</v>
      </c>
      <c r="D268" s="60" t="s">
        <v>279</v>
      </c>
      <c r="E268" s="31">
        <v>29.43</v>
      </c>
      <c r="F268" s="32">
        <v>3534</v>
      </c>
      <c r="G268" s="33"/>
      <c r="H268" s="34"/>
      <c r="I268" s="35">
        <f t="shared" si="29"/>
        <v>0</v>
      </c>
      <c r="J268" s="33"/>
      <c r="K268" s="34"/>
      <c r="L268" s="35">
        <f t="shared" si="30"/>
        <v>0</v>
      </c>
      <c r="M268" s="34"/>
      <c r="N268" s="34"/>
      <c r="O268" s="35">
        <f t="shared" si="31"/>
        <v>0</v>
      </c>
      <c r="P268" s="36"/>
    </row>
    <row r="269" spans="2:16" x14ac:dyDescent="0.2">
      <c r="B269" s="41" t="s">
        <v>584</v>
      </c>
      <c r="C269" s="42">
        <v>2002</v>
      </c>
      <c r="D269" s="60" t="s">
        <v>280</v>
      </c>
      <c r="E269" s="31">
        <v>30.05</v>
      </c>
      <c r="F269" s="32">
        <v>4171</v>
      </c>
      <c r="G269" s="33"/>
      <c r="H269" s="34"/>
      <c r="I269" s="35">
        <f t="shared" si="29"/>
        <v>0</v>
      </c>
      <c r="J269" s="33"/>
      <c r="K269" s="34"/>
      <c r="L269" s="35">
        <f t="shared" si="30"/>
        <v>0</v>
      </c>
      <c r="M269" s="34"/>
      <c r="N269" s="34"/>
      <c r="O269" s="35">
        <f t="shared" si="31"/>
        <v>0</v>
      </c>
      <c r="P269" s="36"/>
    </row>
    <row r="270" spans="2:16" x14ac:dyDescent="0.2">
      <c r="B270" s="41" t="s">
        <v>584</v>
      </c>
      <c r="C270" s="42">
        <v>2002</v>
      </c>
      <c r="D270" s="60" t="s">
        <v>281</v>
      </c>
      <c r="E270" s="31">
        <v>40.44</v>
      </c>
      <c r="F270" s="32">
        <v>5454</v>
      </c>
      <c r="G270" s="33"/>
      <c r="H270" s="34"/>
      <c r="I270" s="35">
        <f t="shared" si="29"/>
        <v>0</v>
      </c>
      <c r="J270" s="33"/>
      <c r="K270" s="34"/>
      <c r="L270" s="35">
        <f t="shared" si="30"/>
        <v>0</v>
      </c>
      <c r="M270" s="34"/>
      <c r="N270" s="34"/>
      <c r="O270" s="35">
        <f t="shared" si="31"/>
        <v>0</v>
      </c>
      <c r="P270" s="36"/>
    </row>
    <row r="271" spans="2:16" x14ac:dyDescent="0.2">
      <c r="B271" s="41" t="s">
        <v>584</v>
      </c>
      <c r="C271" s="42">
        <v>2002</v>
      </c>
      <c r="D271" s="60" t="s">
        <v>282</v>
      </c>
      <c r="E271" s="31">
        <v>27.19</v>
      </c>
      <c r="F271" s="32">
        <v>3637</v>
      </c>
      <c r="G271" s="33"/>
      <c r="H271" s="34"/>
      <c r="I271" s="35">
        <f t="shared" si="29"/>
        <v>0</v>
      </c>
      <c r="J271" s="33"/>
      <c r="K271" s="34"/>
      <c r="L271" s="35">
        <f t="shared" si="30"/>
        <v>0</v>
      </c>
      <c r="M271" s="34">
        <v>1000</v>
      </c>
      <c r="N271" s="34">
        <v>1000</v>
      </c>
      <c r="O271" s="35">
        <f t="shared" si="31"/>
        <v>100</v>
      </c>
      <c r="P271" s="36"/>
    </row>
    <row r="272" spans="2:16" x14ac:dyDescent="0.2">
      <c r="B272" s="41" t="s">
        <v>584</v>
      </c>
      <c r="C272" s="42">
        <v>1998</v>
      </c>
      <c r="D272" s="60" t="s">
        <v>283</v>
      </c>
      <c r="E272" s="31">
        <v>29.48</v>
      </c>
      <c r="F272" s="32">
        <v>3812</v>
      </c>
      <c r="G272" s="33"/>
      <c r="H272" s="34"/>
      <c r="I272" s="35">
        <f t="shared" si="29"/>
        <v>0</v>
      </c>
      <c r="J272" s="33"/>
      <c r="K272" s="34"/>
      <c r="L272" s="35">
        <f t="shared" si="30"/>
        <v>0</v>
      </c>
      <c r="M272" s="34"/>
      <c r="N272" s="34"/>
      <c r="O272" s="35">
        <f t="shared" si="31"/>
        <v>0</v>
      </c>
      <c r="P272" s="36"/>
    </row>
    <row r="273" spans="2:16" x14ac:dyDescent="0.2">
      <c r="B273" s="41" t="s">
        <v>584</v>
      </c>
      <c r="C273" s="42">
        <v>1997</v>
      </c>
      <c r="D273" s="60" t="s">
        <v>284</v>
      </c>
      <c r="E273" s="31">
        <v>33.31</v>
      </c>
      <c r="F273" s="32">
        <v>3806</v>
      </c>
      <c r="G273" s="33"/>
      <c r="H273" s="34"/>
      <c r="I273" s="35">
        <f t="shared" si="29"/>
        <v>0</v>
      </c>
      <c r="J273" s="33"/>
      <c r="K273" s="34"/>
      <c r="L273" s="35">
        <f t="shared" si="30"/>
        <v>0</v>
      </c>
      <c r="M273" s="34"/>
      <c r="N273" s="34"/>
      <c r="O273" s="35">
        <f t="shared" si="31"/>
        <v>0</v>
      </c>
      <c r="P273" s="36"/>
    </row>
    <row r="274" spans="2:16" x14ac:dyDescent="0.2">
      <c r="B274" s="41" t="s">
        <v>584</v>
      </c>
      <c r="C274" s="42">
        <v>1998</v>
      </c>
      <c r="D274" s="60" t="s">
        <v>285</v>
      </c>
      <c r="E274" s="31">
        <v>14.99</v>
      </c>
      <c r="F274" s="32">
        <v>1902</v>
      </c>
      <c r="G274" s="33"/>
      <c r="H274" s="34"/>
      <c r="I274" s="35">
        <f t="shared" si="29"/>
        <v>0</v>
      </c>
      <c r="J274" s="33"/>
      <c r="K274" s="34"/>
      <c r="L274" s="35">
        <f t="shared" si="30"/>
        <v>0</v>
      </c>
      <c r="M274" s="34"/>
      <c r="N274" s="34"/>
      <c r="O274" s="35">
        <f t="shared" si="31"/>
        <v>0</v>
      </c>
      <c r="P274" s="36"/>
    </row>
    <row r="275" spans="2:16" x14ac:dyDescent="0.2">
      <c r="B275" s="41" t="s">
        <v>584</v>
      </c>
      <c r="C275" s="42">
        <v>2004</v>
      </c>
      <c r="D275" s="60" t="s">
        <v>286</v>
      </c>
      <c r="E275" s="31">
        <v>26.9</v>
      </c>
      <c r="F275" s="32">
        <v>3587</v>
      </c>
      <c r="G275" s="33"/>
      <c r="H275" s="34"/>
      <c r="I275" s="35">
        <f t="shared" si="29"/>
        <v>0</v>
      </c>
      <c r="J275" s="33"/>
      <c r="K275" s="34"/>
      <c r="L275" s="35">
        <f t="shared" si="30"/>
        <v>0</v>
      </c>
      <c r="M275" s="34"/>
      <c r="N275" s="34"/>
      <c r="O275" s="35">
        <f t="shared" si="31"/>
        <v>0</v>
      </c>
      <c r="P275" s="36"/>
    </row>
    <row r="276" spans="2:16" x14ac:dyDescent="0.2">
      <c r="B276" s="41" t="s">
        <v>584</v>
      </c>
      <c r="C276" s="42">
        <v>2012</v>
      </c>
      <c r="D276" s="60" t="s">
        <v>287</v>
      </c>
      <c r="E276" s="31">
        <v>6.1</v>
      </c>
      <c r="F276" s="32">
        <v>811</v>
      </c>
      <c r="G276" s="33"/>
      <c r="H276" s="34"/>
      <c r="I276" s="35">
        <f t="shared" si="29"/>
        <v>0</v>
      </c>
      <c r="J276" s="33"/>
      <c r="K276" s="34"/>
      <c r="L276" s="35">
        <f t="shared" si="30"/>
        <v>0</v>
      </c>
      <c r="M276" s="34"/>
      <c r="N276" s="34"/>
      <c r="O276" s="35">
        <f t="shared" si="31"/>
        <v>0</v>
      </c>
      <c r="P276" s="36"/>
    </row>
    <row r="277" spans="2:16" x14ac:dyDescent="0.2">
      <c r="B277" s="41" t="s">
        <v>584</v>
      </c>
      <c r="C277" s="42">
        <v>2012</v>
      </c>
      <c r="D277" s="60" t="s">
        <v>288</v>
      </c>
      <c r="E277" s="31">
        <v>20</v>
      </c>
      <c r="F277" s="32">
        <v>2640</v>
      </c>
      <c r="G277" s="33"/>
      <c r="H277" s="34"/>
      <c r="I277" s="35">
        <f t="shared" si="29"/>
        <v>0</v>
      </c>
      <c r="J277" s="33"/>
      <c r="K277" s="34"/>
      <c r="L277" s="35">
        <f t="shared" si="30"/>
        <v>0</v>
      </c>
      <c r="M277" s="34"/>
      <c r="N277" s="34"/>
      <c r="O277" s="35">
        <f t="shared" si="31"/>
        <v>0</v>
      </c>
      <c r="P277" s="36"/>
    </row>
    <row r="278" spans="2:16" x14ac:dyDescent="0.2">
      <c r="B278" s="41" t="s">
        <v>584</v>
      </c>
      <c r="C278" s="42">
        <v>2012</v>
      </c>
      <c r="D278" s="60" t="s">
        <v>289</v>
      </c>
      <c r="E278" s="31">
        <v>16</v>
      </c>
      <c r="F278" s="32">
        <v>1650</v>
      </c>
      <c r="G278" s="33"/>
      <c r="H278" s="34"/>
      <c r="I278" s="35">
        <f t="shared" si="29"/>
        <v>0</v>
      </c>
      <c r="J278" s="33"/>
      <c r="K278" s="34"/>
      <c r="L278" s="35">
        <f t="shared" si="30"/>
        <v>0</v>
      </c>
      <c r="M278" s="34"/>
      <c r="N278" s="34"/>
      <c r="O278" s="35">
        <f t="shared" si="31"/>
        <v>0</v>
      </c>
      <c r="P278" s="36"/>
    </row>
    <row r="279" spans="2:16" x14ac:dyDescent="0.2">
      <c r="B279" s="41" t="s">
        <v>584</v>
      </c>
      <c r="C279" s="42">
        <v>2019</v>
      </c>
      <c r="D279" s="60" t="s">
        <v>311</v>
      </c>
      <c r="E279" s="31">
        <v>20.32</v>
      </c>
      <c r="F279" s="32">
        <v>2777</v>
      </c>
      <c r="G279" s="33"/>
      <c r="H279" s="34"/>
      <c r="I279" s="35">
        <f t="shared" si="29"/>
        <v>0</v>
      </c>
      <c r="J279" s="33"/>
      <c r="K279" s="34"/>
      <c r="L279" s="35">
        <f t="shared" si="30"/>
        <v>0</v>
      </c>
      <c r="M279" s="34"/>
      <c r="N279" s="34"/>
      <c r="O279" s="35">
        <f t="shared" si="31"/>
        <v>0</v>
      </c>
      <c r="P279" s="36"/>
    </row>
    <row r="280" spans="2:16" x14ac:dyDescent="0.2">
      <c r="B280" s="41" t="s">
        <v>584</v>
      </c>
      <c r="C280" s="42">
        <v>2003</v>
      </c>
      <c r="D280" s="60" t="s">
        <v>290</v>
      </c>
      <c r="E280" s="31">
        <v>30.54</v>
      </c>
      <c r="F280" s="32">
        <v>3742</v>
      </c>
      <c r="G280" s="33"/>
      <c r="H280" s="34"/>
      <c r="I280" s="35">
        <f t="shared" si="29"/>
        <v>0</v>
      </c>
      <c r="J280" s="33"/>
      <c r="K280" s="34"/>
      <c r="L280" s="35">
        <f t="shared" si="30"/>
        <v>0</v>
      </c>
      <c r="M280" s="34"/>
      <c r="N280" s="34"/>
      <c r="O280" s="35">
        <f t="shared" si="31"/>
        <v>0</v>
      </c>
      <c r="P280" s="36"/>
    </row>
    <row r="281" spans="2:16" x14ac:dyDescent="0.2">
      <c r="B281" s="41" t="s">
        <v>584</v>
      </c>
      <c r="C281" s="42">
        <v>2003</v>
      </c>
      <c r="D281" s="60" t="s">
        <v>291</v>
      </c>
      <c r="E281" s="31">
        <v>29.58</v>
      </c>
      <c r="F281" s="32">
        <v>3884</v>
      </c>
      <c r="G281" s="33"/>
      <c r="H281" s="34"/>
      <c r="I281" s="35">
        <f t="shared" si="29"/>
        <v>0</v>
      </c>
      <c r="J281" s="33"/>
      <c r="K281" s="34"/>
      <c r="L281" s="35">
        <f t="shared" si="30"/>
        <v>0</v>
      </c>
      <c r="M281" s="34"/>
      <c r="N281" s="34"/>
      <c r="O281" s="35">
        <f t="shared" si="31"/>
        <v>0</v>
      </c>
      <c r="P281" s="36"/>
    </row>
    <row r="282" spans="2:16" x14ac:dyDescent="0.2">
      <c r="B282" s="41" t="s">
        <v>584</v>
      </c>
      <c r="C282" s="42">
        <v>2003</v>
      </c>
      <c r="D282" s="60" t="s">
        <v>292</v>
      </c>
      <c r="E282" s="31">
        <v>41.15</v>
      </c>
      <c r="F282" s="32">
        <v>5358</v>
      </c>
      <c r="G282" s="33"/>
      <c r="H282" s="34"/>
      <c r="I282" s="35">
        <f t="shared" si="29"/>
        <v>0</v>
      </c>
      <c r="J282" s="33"/>
      <c r="K282" s="34"/>
      <c r="L282" s="35">
        <f t="shared" si="30"/>
        <v>0</v>
      </c>
      <c r="M282" s="34"/>
      <c r="N282" s="34"/>
      <c r="O282" s="35">
        <f t="shared" si="31"/>
        <v>0</v>
      </c>
      <c r="P282" s="36"/>
    </row>
    <row r="283" spans="2:16" x14ac:dyDescent="0.2">
      <c r="B283" s="41" t="s">
        <v>584</v>
      </c>
      <c r="C283" s="42">
        <v>2002</v>
      </c>
      <c r="D283" s="60" t="s">
        <v>293</v>
      </c>
      <c r="E283" s="31">
        <v>27.03</v>
      </c>
      <c r="F283" s="32">
        <v>3540</v>
      </c>
      <c r="G283" s="33"/>
      <c r="H283" s="34"/>
      <c r="I283" s="35">
        <f t="shared" si="29"/>
        <v>0</v>
      </c>
      <c r="J283" s="33"/>
      <c r="K283" s="34"/>
      <c r="L283" s="35">
        <f t="shared" si="30"/>
        <v>0</v>
      </c>
      <c r="M283" s="34">
        <v>1000</v>
      </c>
      <c r="N283" s="34">
        <v>1000</v>
      </c>
      <c r="O283" s="35">
        <f t="shared" si="31"/>
        <v>100</v>
      </c>
      <c r="P283" s="36"/>
    </row>
    <row r="284" spans="2:16" x14ac:dyDescent="0.2">
      <c r="B284" s="41" t="s">
        <v>584</v>
      </c>
      <c r="C284" s="42">
        <v>1998</v>
      </c>
      <c r="D284" s="60" t="s">
        <v>294</v>
      </c>
      <c r="E284" s="31">
        <v>26.51</v>
      </c>
      <c r="F284" s="32">
        <v>3498</v>
      </c>
      <c r="G284" s="33"/>
      <c r="H284" s="34"/>
      <c r="I284" s="35">
        <f t="shared" si="29"/>
        <v>0</v>
      </c>
      <c r="J284" s="33"/>
      <c r="K284" s="34"/>
      <c r="L284" s="35">
        <f t="shared" si="30"/>
        <v>0</v>
      </c>
      <c r="M284" s="34"/>
      <c r="N284" s="34"/>
      <c r="O284" s="35">
        <f t="shared" si="31"/>
        <v>0</v>
      </c>
      <c r="P284" s="36"/>
    </row>
    <row r="285" spans="2:16" x14ac:dyDescent="0.2">
      <c r="B285" s="41" t="s">
        <v>584</v>
      </c>
      <c r="C285" s="42">
        <v>1998</v>
      </c>
      <c r="D285" s="60" t="s">
        <v>295</v>
      </c>
      <c r="E285" s="31">
        <v>35.93</v>
      </c>
      <c r="F285" s="32">
        <v>4651</v>
      </c>
      <c r="G285" s="33"/>
      <c r="H285" s="34"/>
      <c r="I285" s="35">
        <f t="shared" si="29"/>
        <v>0</v>
      </c>
      <c r="J285" s="33"/>
      <c r="K285" s="34"/>
      <c r="L285" s="35">
        <f t="shared" si="30"/>
        <v>0</v>
      </c>
      <c r="M285" s="34"/>
      <c r="N285" s="34"/>
      <c r="O285" s="35">
        <f t="shared" si="31"/>
        <v>0</v>
      </c>
      <c r="P285" s="36"/>
    </row>
    <row r="286" spans="2:16" x14ac:dyDescent="0.2">
      <c r="B286" s="41" t="s">
        <v>584</v>
      </c>
      <c r="C286" s="42">
        <v>2013</v>
      </c>
      <c r="D286" s="60" t="s">
        <v>313</v>
      </c>
      <c r="E286" s="31">
        <v>12.5</v>
      </c>
      <c r="F286" s="32">
        <v>1745</v>
      </c>
      <c r="G286" s="33"/>
      <c r="H286" s="34"/>
      <c r="I286" s="35">
        <f t="shared" si="29"/>
        <v>0</v>
      </c>
      <c r="J286" s="33"/>
      <c r="K286" s="34"/>
      <c r="L286" s="35">
        <f t="shared" si="30"/>
        <v>0</v>
      </c>
      <c r="M286" s="34"/>
      <c r="N286" s="34"/>
      <c r="O286" s="35">
        <f t="shared" si="31"/>
        <v>0</v>
      </c>
      <c r="P286" s="36"/>
    </row>
    <row r="287" spans="2:16" x14ac:dyDescent="0.2">
      <c r="B287" s="41" t="s">
        <v>584</v>
      </c>
      <c r="C287" s="42">
        <v>2018</v>
      </c>
      <c r="D287" s="60" t="s">
        <v>310</v>
      </c>
      <c r="E287" s="31">
        <v>18.2</v>
      </c>
      <c r="F287" s="32">
        <v>2450</v>
      </c>
      <c r="G287" s="33"/>
      <c r="H287" s="34"/>
      <c r="I287" s="35">
        <f t="shared" si="29"/>
        <v>0</v>
      </c>
      <c r="J287" s="33"/>
      <c r="K287" s="34"/>
      <c r="L287" s="35">
        <f t="shared" si="30"/>
        <v>0</v>
      </c>
      <c r="M287" s="34"/>
      <c r="N287" s="34"/>
      <c r="O287" s="35">
        <f t="shared" si="31"/>
        <v>0</v>
      </c>
      <c r="P287" s="36"/>
    </row>
    <row r="288" spans="2:16" x14ac:dyDescent="0.2">
      <c r="B288" s="41" t="s">
        <v>584</v>
      </c>
      <c r="C288" s="42">
        <v>2019</v>
      </c>
      <c r="D288" s="60" t="s">
        <v>314</v>
      </c>
      <c r="E288" s="31">
        <v>22.95</v>
      </c>
      <c r="F288" s="32">
        <v>2990</v>
      </c>
      <c r="G288" s="33"/>
      <c r="H288" s="34"/>
      <c r="I288" s="35">
        <f t="shared" si="29"/>
        <v>0</v>
      </c>
      <c r="J288" s="33"/>
      <c r="K288" s="34"/>
      <c r="L288" s="35">
        <f t="shared" si="30"/>
        <v>0</v>
      </c>
      <c r="M288" s="34"/>
      <c r="N288" s="34"/>
      <c r="O288" s="35">
        <f t="shared" si="31"/>
        <v>0</v>
      </c>
      <c r="P288" s="36"/>
    </row>
    <row r="289" spans="2:16" x14ac:dyDescent="0.2">
      <c r="B289" s="41" t="s">
        <v>584</v>
      </c>
      <c r="C289" s="42">
        <v>2012</v>
      </c>
      <c r="D289" s="60" t="s">
        <v>296</v>
      </c>
      <c r="E289" s="31">
        <v>54.43</v>
      </c>
      <c r="F289" s="32">
        <v>7122</v>
      </c>
      <c r="G289" s="33"/>
      <c r="H289" s="34"/>
      <c r="I289" s="35">
        <f t="shared" si="29"/>
        <v>0</v>
      </c>
      <c r="J289" s="33"/>
      <c r="K289" s="34"/>
      <c r="L289" s="35">
        <f t="shared" si="30"/>
        <v>0</v>
      </c>
      <c r="M289" s="34"/>
      <c r="N289" s="34"/>
      <c r="O289" s="35">
        <f t="shared" si="31"/>
        <v>0</v>
      </c>
      <c r="P289" s="36"/>
    </row>
    <row r="290" spans="2:16" x14ac:dyDescent="0.2">
      <c r="B290" s="41" t="s">
        <v>584</v>
      </c>
      <c r="C290" s="42">
        <v>2019</v>
      </c>
      <c r="D290" s="60" t="s">
        <v>315</v>
      </c>
      <c r="E290" s="31">
        <v>37.83</v>
      </c>
      <c r="F290" s="32">
        <v>5245</v>
      </c>
      <c r="G290" s="33"/>
      <c r="H290" s="34"/>
      <c r="I290" s="35">
        <f t="shared" si="29"/>
        <v>0</v>
      </c>
      <c r="J290" s="33"/>
      <c r="K290" s="34"/>
      <c r="L290" s="35">
        <f t="shared" si="30"/>
        <v>0</v>
      </c>
      <c r="M290" s="34"/>
      <c r="N290" s="34"/>
      <c r="O290" s="35">
        <f t="shared" si="31"/>
        <v>0</v>
      </c>
      <c r="P290" s="36"/>
    </row>
    <row r="291" spans="2:16" x14ac:dyDescent="0.2">
      <c r="B291" s="41" t="s">
        <v>584</v>
      </c>
      <c r="C291" s="42">
        <v>2021</v>
      </c>
      <c r="D291" s="60" t="s">
        <v>316</v>
      </c>
      <c r="E291" s="31">
        <v>3.07</v>
      </c>
      <c r="F291" s="32">
        <v>435</v>
      </c>
      <c r="G291" s="33"/>
      <c r="H291" s="34"/>
      <c r="I291" s="35">
        <f t="shared" si="29"/>
        <v>0</v>
      </c>
      <c r="J291" s="33"/>
      <c r="K291" s="34"/>
      <c r="L291" s="35">
        <f t="shared" si="30"/>
        <v>0</v>
      </c>
      <c r="M291" s="34"/>
      <c r="N291" s="34"/>
      <c r="O291" s="35">
        <f t="shared" si="31"/>
        <v>0</v>
      </c>
      <c r="P291" s="36"/>
    </row>
    <row r="292" spans="2:16" x14ac:dyDescent="0.2">
      <c r="B292" s="41" t="s">
        <v>584</v>
      </c>
      <c r="C292" s="42">
        <v>1998</v>
      </c>
      <c r="D292" s="60" t="s">
        <v>297</v>
      </c>
      <c r="E292" s="31">
        <v>30.19</v>
      </c>
      <c r="F292" s="32">
        <v>4117</v>
      </c>
      <c r="G292" s="33"/>
      <c r="H292" s="34"/>
      <c r="I292" s="35">
        <f t="shared" si="29"/>
        <v>0</v>
      </c>
      <c r="J292" s="33"/>
      <c r="K292" s="34"/>
      <c r="L292" s="35">
        <f t="shared" si="30"/>
        <v>0</v>
      </c>
      <c r="M292" s="34"/>
      <c r="N292" s="34"/>
      <c r="O292" s="35">
        <f t="shared" si="31"/>
        <v>0</v>
      </c>
      <c r="P292" s="36"/>
    </row>
    <row r="293" spans="2:16" x14ac:dyDescent="0.2">
      <c r="B293" s="41" t="s">
        <v>584</v>
      </c>
      <c r="C293" s="30">
        <v>1998</v>
      </c>
      <c r="D293" s="60" t="s">
        <v>298</v>
      </c>
      <c r="E293" s="31">
        <v>29.02</v>
      </c>
      <c r="F293" s="32">
        <v>3903</v>
      </c>
      <c r="G293" s="33"/>
      <c r="H293" s="34"/>
      <c r="I293" s="35">
        <f t="shared" si="29"/>
        <v>0</v>
      </c>
      <c r="J293" s="33">
        <v>300</v>
      </c>
      <c r="K293" s="34">
        <v>300</v>
      </c>
      <c r="L293" s="35">
        <f t="shared" si="30"/>
        <v>100</v>
      </c>
      <c r="M293" s="34"/>
      <c r="N293" s="34"/>
      <c r="O293" s="35">
        <f t="shared" si="31"/>
        <v>0</v>
      </c>
      <c r="P293" s="36"/>
    </row>
    <row r="294" spans="2:16" x14ac:dyDescent="0.2">
      <c r="B294" s="41" t="s">
        <v>584</v>
      </c>
      <c r="C294" s="30">
        <v>1998</v>
      </c>
      <c r="D294" s="60" t="s">
        <v>299</v>
      </c>
      <c r="E294" s="31">
        <v>41.08</v>
      </c>
      <c r="F294" s="32">
        <v>5683</v>
      </c>
      <c r="G294" s="33"/>
      <c r="H294" s="34"/>
      <c r="I294" s="35">
        <f t="shared" si="29"/>
        <v>0</v>
      </c>
      <c r="J294" s="33">
        <v>300</v>
      </c>
      <c r="K294" s="34">
        <v>300</v>
      </c>
      <c r="L294" s="35">
        <f t="shared" si="30"/>
        <v>100</v>
      </c>
      <c r="M294" s="34"/>
      <c r="N294" s="34"/>
      <c r="O294" s="35">
        <f t="shared" si="31"/>
        <v>0</v>
      </c>
      <c r="P294" s="36"/>
    </row>
    <row r="295" spans="2:16" x14ac:dyDescent="0.2">
      <c r="B295" s="41" t="s">
        <v>584</v>
      </c>
      <c r="C295" s="30">
        <v>1998</v>
      </c>
      <c r="D295" s="60" t="s">
        <v>300</v>
      </c>
      <c r="E295" s="31">
        <v>26.81</v>
      </c>
      <c r="F295" s="32">
        <v>3473</v>
      </c>
      <c r="G295" s="33"/>
      <c r="H295" s="34"/>
      <c r="I295" s="35">
        <f t="shared" si="29"/>
        <v>0</v>
      </c>
      <c r="J295" s="33">
        <v>300</v>
      </c>
      <c r="K295" s="34">
        <v>300</v>
      </c>
      <c r="L295" s="35">
        <f t="shared" si="30"/>
        <v>100</v>
      </c>
      <c r="M295" s="34">
        <v>1000</v>
      </c>
      <c r="N295" s="34">
        <v>1000</v>
      </c>
      <c r="O295" s="35">
        <f t="shared" si="31"/>
        <v>100</v>
      </c>
      <c r="P295" s="36"/>
    </row>
    <row r="296" spans="2:16" x14ac:dyDescent="0.2">
      <c r="B296" s="41" t="s">
        <v>584</v>
      </c>
      <c r="C296" s="30">
        <v>1998</v>
      </c>
      <c r="D296" s="60" t="s">
        <v>301</v>
      </c>
      <c r="E296" s="31">
        <v>24.96</v>
      </c>
      <c r="F296" s="32">
        <v>3171</v>
      </c>
      <c r="G296" s="33"/>
      <c r="H296" s="34"/>
      <c r="I296" s="35">
        <f t="shared" si="29"/>
        <v>0</v>
      </c>
      <c r="J296" s="33">
        <v>300</v>
      </c>
      <c r="K296" s="34">
        <v>300</v>
      </c>
      <c r="L296" s="35">
        <f t="shared" si="30"/>
        <v>100</v>
      </c>
      <c r="M296" s="34"/>
      <c r="N296" s="34"/>
      <c r="O296" s="35">
        <f t="shared" si="31"/>
        <v>0</v>
      </c>
      <c r="P296" s="36"/>
    </row>
    <row r="297" spans="2:16" x14ac:dyDescent="0.2">
      <c r="B297" s="41" t="s">
        <v>584</v>
      </c>
      <c r="C297" s="30">
        <v>1998</v>
      </c>
      <c r="D297" s="60" t="s">
        <v>302</v>
      </c>
      <c r="E297" s="31">
        <v>35.520000000000003</v>
      </c>
      <c r="F297" s="32">
        <v>4745</v>
      </c>
      <c r="G297" s="33"/>
      <c r="H297" s="34"/>
      <c r="I297" s="35">
        <f t="shared" si="29"/>
        <v>0</v>
      </c>
      <c r="J297" s="33"/>
      <c r="K297" s="34"/>
      <c r="L297" s="35">
        <f t="shared" si="30"/>
        <v>0</v>
      </c>
      <c r="M297" s="34"/>
      <c r="N297" s="34"/>
      <c r="O297" s="35">
        <f t="shared" si="31"/>
        <v>0</v>
      </c>
      <c r="P297" s="36"/>
    </row>
    <row r="298" spans="2:16" x14ac:dyDescent="0.2">
      <c r="B298" s="41" t="s">
        <v>584</v>
      </c>
      <c r="C298" s="30">
        <v>2004</v>
      </c>
      <c r="D298" s="60" t="s">
        <v>303</v>
      </c>
      <c r="E298" s="31">
        <v>37.869999999999997</v>
      </c>
      <c r="F298" s="32">
        <v>4246</v>
      </c>
      <c r="G298" s="33"/>
      <c r="H298" s="34"/>
      <c r="I298" s="35">
        <f t="shared" si="29"/>
        <v>0</v>
      </c>
      <c r="J298" s="33"/>
      <c r="K298" s="34"/>
      <c r="L298" s="35">
        <f t="shared" si="30"/>
        <v>0</v>
      </c>
      <c r="M298" s="34"/>
      <c r="N298" s="34"/>
      <c r="O298" s="35">
        <f t="shared" si="31"/>
        <v>0</v>
      </c>
      <c r="P298" s="36"/>
    </row>
    <row r="299" spans="2:16" x14ac:dyDescent="0.2">
      <c r="B299" s="41" t="s">
        <v>584</v>
      </c>
      <c r="C299" s="30">
        <v>1998</v>
      </c>
      <c r="D299" s="60" t="s">
        <v>304</v>
      </c>
      <c r="E299" s="31">
        <v>35.06</v>
      </c>
      <c r="F299" s="32">
        <v>4875</v>
      </c>
      <c r="G299" s="33"/>
      <c r="H299" s="34"/>
      <c r="I299" s="35">
        <f t="shared" si="29"/>
        <v>0</v>
      </c>
      <c r="J299" s="33"/>
      <c r="K299" s="34"/>
      <c r="L299" s="35">
        <f t="shared" si="30"/>
        <v>0</v>
      </c>
      <c r="M299" s="34"/>
      <c r="N299" s="34"/>
      <c r="O299" s="35">
        <f t="shared" si="31"/>
        <v>0</v>
      </c>
      <c r="P299" s="36"/>
    </row>
    <row r="300" spans="2:16" x14ac:dyDescent="0.2">
      <c r="B300" s="41" t="s">
        <v>584</v>
      </c>
      <c r="C300" s="30">
        <v>2004</v>
      </c>
      <c r="D300" s="60" t="s">
        <v>305</v>
      </c>
      <c r="E300" s="31">
        <v>25.16</v>
      </c>
      <c r="F300" s="32">
        <v>2929</v>
      </c>
      <c r="G300" s="33"/>
      <c r="H300" s="34"/>
      <c r="I300" s="35">
        <f t="shared" si="29"/>
        <v>0</v>
      </c>
      <c r="J300" s="33"/>
      <c r="K300" s="34"/>
      <c r="L300" s="35">
        <f t="shared" si="30"/>
        <v>0</v>
      </c>
      <c r="M300" s="34"/>
      <c r="N300" s="34"/>
      <c r="O300" s="35">
        <f t="shared" si="31"/>
        <v>0</v>
      </c>
      <c r="P300" s="36"/>
    </row>
    <row r="301" spans="2:16" x14ac:dyDescent="0.2">
      <c r="B301" s="41" t="s">
        <v>584</v>
      </c>
      <c r="C301" s="30">
        <v>2013</v>
      </c>
      <c r="D301" s="60" t="s">
        <v>306</v>
      </c>
      <c r="E301" s="31">
        <v>9.33</v>
      </c>
      <c r="F301" s="32">
        <v>1120</v>
      </c>
      <c r="G301" s="33"/>
      <c r="H301" s="34"/>
      <c r="I301" s="35">
        <f t="shared" si="29"/>
        <v>0</v>
      </c>
      <c r="J301" s="33"/>
      <c r="K301" s="34"/>
      <c r="L301" s="35">
        <f t="shared" si="30"/>
        <v>0</v>
      </c>
      <c r="M301" s="34"/>
      <c r="N301" s="34"/>
      <c r="O301" s="35">
        <f t="shared" si="31"/>
        <v>0</v>
      </c>
      <c r="P301" s="36"/>
    </row>
    <row r="302" spans="2:16" x14ac:dyDescent="0.2">
      <c r="B302" s="41" t="s">
        <v>584</v>
      </c>
      <c r="C302" s="30">
        <v>1998</v>
      </c>
      <c r="D302" s="60" t="s">
        <v>307</v>
      </c>
      <c r="E302" s="31">
        <v>35.04</v>
      </c>
      <c r="F302" s="32">
        <v>4673</v>
      </c>
      <c r="G302" s="33"/>
      <c r="H302" s="34"/>
      <c r="I302" s="35">
        <f t="shared" si="29"/>
        <v>0</v>
      </c>
      <c r="J302" s="33"/>
      <c r="K302" s="34"/>
      <c r="L302" s="35">
        <f t="shared" si="30"/>
        <v>0</v>
      </c>
      <c r="M302" s="34"/>
      <c r="N302" s="34"/>
      <c r="O302" s="35">
        <f t="shared" si="31"/>
        <v>0</v>
      </c>
      <c r="P302" s="36"/>
    </row>
    <row r="303" spans="2:16" x14ac:dyDescent="0.2">
      <c r="B303" s="41" t="s">
        <v>584</v>
      </c>
      <c r="C303" s="30">
        <v>1998</v>
      </c>
      <c r="D303" s="60" t="s">
        <v>308</v>
      </c>
      <c r="E303" s="31">
        <v>24.05</v>
      </c>
      <c r="F303" s="32">
        <v>3319</v>
      </c>
      <c r="G303" s="33"/>
      <c r="H303" s="34"/>
      <c r="I303" s="35">
        <f t="shared" si="29"/>
        <v>0</v>
      </c>
      <c r="J303" s="33"/>
      <c r="K303" s="34"/>
      <c r="L303" s="35">
        <f t="shared" si="30"/>
        <v>0</v>
      </c>
      <c r="M303" s="34"/>
      <c r="N303" s="34"/>
      <c r="O303" s="35">
        <f t="shared" si="31"/>
        <v>0</v>
      </c>
      <c r="P303" s="36"/>
    </row>
    <row r="304" spans="2:16" x14ac:dyDescent="0.2">
      <c r="B304" s="41" t="s">
        <v>584</v>
      </c>
      <c r="C304" s="30">
        <v>1998</v>
      </c>
      <c r="D304" s="60" t="s">
        <v>309</v>
      </c>
      <c r="E304" s="31">
        <v>11.35</v>
      </c>
      <c r="F304" s="32">
        <v>1651</v>
      </c>
      <c r="G304" s="33"/>
      <c r="H304" s="34"/>
      <c r="I304" s="35">
        <f t="shared" si="29"/>
        <v>0</v>
      </c>
      <c r="J304" s="33"/>
      <c r="K304" s="34"/>
      <c r="L304" s="35">
        <f t="shared" si="30"/>
        <v>0</v>
      </c>
      <c r="M304" s="34"/>
      <c r="N304" s="34"/>
      <c r="O304" s="35">
        <f t="shared" si="31"/>
        <v>0</v>
      </c>
      <c r="P304" s="36"/>
    </row>
    <row r="305" spans="2:16" ht="17" x14ac:dyDescent="0.2">
      <c r="B305" s="43"/>
      <c r="C305" s="50" t="s">
        <v>579</v>
      </c>
      <c r="D305" s="50"/>
      <c r="E305" s="64">
        <f t="shared" ref="E305:K305" si="32">SUM(E257:E304)</f>
        <v>1325.62</v>
      </c>
      <c r="F305" s="65">
        <f t="shared" si="32"/>
        <v>173009</v>
      </c>
      <c r="G305" s="57">
        <f t="shared" si="32"/>
        <v>0</v>
      </c>
      <c r="H305" s="64">
        <f t="shared" si="32"/>
        <v>0</v>
      </c>
      <c r="I305" s="64">
        <f t="shared" si="29"/>
        <v>0</v>
      </c>
      <c r="J305" s="57">
        <f t="shared" si="32"/>
        <v>1200</v>
      </c>
      <c r="K305" s="64">
        <f t="shared" si="32"/>
        <v>1200</v>
      </c>
      <c r="L305" s="64">
        <f t="shared" si="30"/>
        <v>100</v>
      </c>
      <c r="M305" s="64">
        <f t="shared" ref="M305:N305" si="33">SUM(M257:M304)</f>
        <v>4000</v>
      </c>
      <c r="N305" s="64">
        <f t="shared" si="33"/>
        <v>4000</v>
      </c>
      <c r="O305" s="64">
        <f t="shared" si="31"/>
        <v>100</v>
      </c>
      <c r="P305" s="40"/>
    </row>
    <row r="306" spans="2:16" x14ac:dyDescent="0.2">
      <c r="B306" s="41" t="s">
        <v>585</v>
      </c>
      <c r="C306" s="30">
        <v>1998</v>
      </c>
      <c r="D306" s="60" t="s">
        <v>351</v>
      </c>
      <c r="E306" s="31">
        <v>28.17</v>
      </c>
      <c r="F306" s="32">
        <v>3670</v>
      </c>
      <c r="G306" s="33"/>
      <c r="H306" s="34"/>
      <c r="I306" s="35">
        <f t="shared" si="29"/>
        <v>0</v>
      </c>
      <c r="J306" s="33">
        <v>300</v>
      </c>
      <c r="K306" s="34"/>
      <c r="L306" s="35">
        <f t="shared" si="30"/>
        <v>0</v>
      </c>
      <c r="M306" s="34"/>
      <c r="N306" s="34"/>
      <c r="O306" s="35">
        <f t="shared" si="31"/>
        <v>0</v>
      </c>
      <c r="P306" s="36"/>
    </row>
    <row r="307" spans="2:16" x14ac:dyDescent="0.2">
      <c r="B307" s="41" t="s">
        <v>585</v>
      </c>
      <c r="C307" s="30">
        <v>1998</v>
      </c>
      <c r="D307" s="30" t="s">
        <v>352</v>
      </c>
      <c r="E307" s="31">
        <v>30.42</v>
      </c>
      <c r="F307" s="32">
        <v>4127</v>
      </c>
      <c r="G307" s="33"/>
      <c r="H307" s="34"/>
      <c r="I307" s="35">
        <f t="shared" si="29"/>
        <v>0</v>
      </c>
      <c r="J307" s="33">
        <v>300</v>
      </c>
      <c r="K307" s="34"/>
      <c r="L307" s="35">
        <f t="shared" si="30"/>
        <v>0</v>
      </c>
      <c r="M307" s="34"/>
      <c r="N307" s="34"/>
      <c r="O307" s="35">
        <f t="shared" si="31"/>
        <v>0</v>
      </c>
      <c r="P307" s="36"/>
    </row>
    <row r="308" spans="2:16" x14ac:dyDescent="0.2">
      <c r="B308" s="41" t="s">
        <v>585</v>
      </c>
      <c r="C308" s="30">
        <v>1998</v>
      </c>
      <c r="D308" s="30" t="s">
        <v>353</v>
      </c>
      <c r="E308" s="31">
        <v>30.82</v>
      </c>
      <c r="F308" s="32">
        <v>3923</v>
      </c>
      <c r="G308" s="33"/>
      <c r="H308" s="34"/>
      <c r="I308" s="35">
        <f t="shared" si="29"/>
        <v>0</v>
      </c>
      <c r="J308" s="33">
        <v>300</v>
      </c>
      <c r="K308" s="34"/>
      <c r="L308" s="35">
        <f t="shared" si="30"/>
        <v>0</v>
      </c>
      <c r="M308" s="34"/>
      <c r="N308" s="34"/>
      <c r="O308" s="35">
        <f t="shared" si="31"/>
        <v>0</v>
      </c>
      <c r="P308" s="36"/>
    </row>
    <row r="309" spans="2:16" x14ac:dyDescent="0.2">
      <c r="B309" s="41" t="s">
        <v>585</v>
      </c>
      <c r="C309" s="30">
        <v>1998</v>
      </c>
      <c r="D309" s="30" t="s">
        <v>354</v>
      </c>
      <c r="E309" s="31">
        <v>28.93</v>
      </c>
      <c r="F309" s="32">
        <v>3904</v>
      </c>
      <c r="G309" s="33"/>
      <c r="H309" s="34"/>
      <c r="I309" s="35">
        <f t="shared" si="29"/>
        <v>0</v>
      </c>
      <c r="J309" s="33">
        <v>300</v>
      </c>
      <c r="K309" s="34"/>
      <c r="L309" s="35">
        <f t="shared" si="30"/>
        <v>0</v>
      </c>
      <c r="M309" s="34"/>
      <c r="N309" s="34"/>
      <c r="O309" s="35">
        <f t="shared" si="31"/>
        <v>0</v>
      </c>
      <c r="P309" s="36"/>
    </row>
    <row r="310" spans="2:16" x14ac:dyDescent="0.2">
      <c r="B310" s="41" t="s">
        <v>585</v>
      </c>
      <c r="C310" s="30">
        <v>1998</v>
      </c>
      <c r="D310" s="30" t="s">
        <v>355</v>
      </c>
      <c r="E310" s="31">
        <v>28.65</v>
      </c>
      <c r="F310" s="32">
        <v>3970</v>
      </c>
      <c r="G310" s="33"/>
      <c r="H310" s="34"/>
      <c r="I310" s="35">
        <f t="shared" si="29"/>
        <v>0</v>
      </c>
      <c r="J310" s="33">
        <v>300</v>
      </c>
      <c r="K310" s="34"/>
      <c r="L310" s="35">
        <f t="shared" si="30"/>
        <v>0</v>
      </c>
      <c r="M310" s="34"/>
      <c r="N310" s="34"/>
      <c r="O310" s="35">
        <f t="shared" si="31"/>
        <v>0</v>
      </c>
      <c r="P310" s="36"/>
    </row>
    <row r="311" spans="2:16" x14ac:dyDescent="0.2">
      <c r="B311" s="41" t="s">
        <v>585</v>
      </c>
      <c r="C311" s="30">
        <v>1998</v>
      </c>
      <c r="D311" s="30" t="s">
        <v>356</v>
      </c>
      <c r="E311" s="31">
        <v>28.6</v>
      </c>
      <c r="F311" s="32">
        <v>3731</v>
      </c>
      <c r="G311" s="33"/>
      <c r="H311" s="34"/>
      <c r="I311" s="35">
        <f t="shared" si="29"/>
        <v>0</v>
      </c>
      <c r="J311" s="33">
        <v>300</v>
      </c>
      <c r="K311" s="34"/>
      <c r="L311" s="35">
        <f t="shared" si="30"/>
        <v>0</v>
      </c>
      <c r="M311" s="34"/>
      <c r="N311" s="34"/>
      <c r="O311" s="35">
        <f t="shared" si="31"/>
        <v>0</v>
      </c>
      <c r="P311" s="36"/>
    </row>
    <row r="312" spans="2:16" x14ac:dyDescent="0.2">
      <c r="B312" s="41" t="s">
        <v>585</v>
      </c>
      <c r="C312" s="30">
        <v>1998</v>
      </c>
      <c r="D312" s="30" t="s">
        <v>346</v>
      </c>
      <c r="E312" s="31">
        <v>29.84</v>
      </c>
      <c r="F312" s="32">
        <v>4032</v>
      </c>
      <c r="G312" s="33"/>
      <c r="H312" s="34"/>
      <c r="I312" s="35">
        <f t="shared" si="29"/>
        <v>0</v>
      </c>
      <c r="J312" s="33">
        <v>300</v>
      </c>
      <c r="K312" s="34"/>
      <c r="L312" s="35">
        <f t="shared" si="30"/>
        <v>0</v>
      </c>
      <c r="M312" s="34"/>
      <c r="N312" s="34"/>
      <c r="O312" s="35">
        <f t="shared" si="31"/>
        <v>0</v>
      </c>
      <c r="P312" s="36"/>
    </row>
    <row r="313" spans="2:16" x14ac:dyDescent="0.2">
      <c r="B313" s="41" t="s">
        <v>585</v>
      </c>
      <c r="C313" s="30">
        <v>1998</v>
      </c>
      <c r="D313" s="30" t="s">
        <v>347</v>
      </c>
      <c r="E313" s="31">
        <v>28.41</v>
      </c>
      <c r="F313" s="32">
        <v>3670</v>
      </c>
      <c r="G313" s="33"/>
      <c r="H313" s="34"/>
      <c r="I313" s="35">
        <f t="shared" si="29"/>
        <v>0</v>
      </c>
      <c r="J313" s="33">
        <v>300</v>
      </c>
      <c r="K313" s="34"/>
      <c r="L313" s="35">
        <f t="shared" si="30"/>
        <v>0</v>
      </c>
      <c r="M313" s="34"/>
      <c r="N313" s="34"/>
      <c r="O313" s="35">
        <f t="shared" si="31"/>
        <v>0</v>
      </c>
      <c r="P313" s="36"/>
    </row>
    <row r="314" spans="2:16" x14ac:dyDescent="0.2">
      <c r="B314" s="41" t="s">
        <v>585</v>
      </c>
      <c r="C314" s="30">
        <v>1998</v>
      </c>
      <c r="D314" s="30" t="s">
        <v>348</v>
      </c>
      <c r="E314" s="31">
        <v>27.74</v>
      </c>
      <c r="F314" s="32">
        <v>3685</v>
      </c>
      <c r="G314" s="33"/>
      <c r="H314" s="34"/>
      <c r="I314" s="35">
        <f t="shared" si="29"/>
        <v>0</v>
      </c>
      <c r="J314" s="33">
        <v>300</v>
      </c>
      <c r="K314" s="34"/>
      <c r="L314" s="35">
        <f t="shared" si="30"/>
        <v>0</v>
      </c>
      <c r="M314" s="34"/>
      <c r="N314" s="34"/>
      <c r="O314" s="35">
        <f t="shared" si="31"/>
        <v>0</v>
      </c>
      <c r="P314" s="36"/>
    </row>
    <row r="315" spans="2:16" x14ac:dyDescent="0.2">
      <c r="B315" s="41" t="s">
        <v>585</v>
      </c>
      <c r="C315" s="30">
        <v>1999</v>
      </c>
      <c r="D315" s="30" t="s">
        <v>334</v>
      </c>
      <c r="E315" s="31">
        <v>28.97</v>
      </c>
      <c r="F315" s="32">
        <v>3959</v>
      </c>
      <c r="G315" s="33"/>
      <c r="H315" s="34"/>
      <c r="I315" s="35">
        <f t="shared" si="29"/>
        <v>0</v>
      </c>
      <c r="J315" s="33">
        <v>300</v>
      </c>
      <c r="K315" s="34">
        <v>300</v>
      </c>
      <c r="L315" s="35">
        <f t="shared" si="30"/>
        <v>100</v>
      </c>
      <c r="M315" s="34"/>
      <c r="N315" s="34"/>
      <c r="O315" s="35">
        <f t="shared" si="31"/>
        <v>0</v>
      </c>
      <c r="P315" s="36"/>
    </row>
    <row r="316" spans="2:16" x14ac:dyDescent="0.2">
      <c r="B316" s="41" t="s">
        <v>585</v>
      </c>
      <c r="C316" s="30">
        <v>1999</v>
      </c>
      <c r="D316" s="30" t="s">
        <v>328</v>
      </c>
      <c r="E316" s="31">
        <v>26.36</v>
      </c>
      <c r="F316" s="32">
        <v>3873</v>
      </c>
      <c r="G316" s="33"/>
      <c r="H316" s="34"/>
      <c r="I316" s="35">
        <f t="shared" si="29"/>
        <v>0</v>
      </c>
      <c r="J316" s="33">
        <v>300</v>
      </c>
      <c r="K316" s="34"/>
      <c r="L316" s="35">
        <f t="shared" si="30"/>
        <v>0</v>
      </c>
      <c r="M316" s="34"/>
      <c r="N316" s="34"/>
      <c r="O316" s="35">
        <f t="shared" si="31"/>
        <v>0</v>
      </c>
      <c r="P316" s="36"/>
    </row>
    <row r="317" spans="2:16" x14ac:dyDescent="0.2">
      <c r="B317" s="41" t="s">
        <v>585</v>
      </c>
      <c r="C317" s="30">
        <v>1999</v>
      </c>
      <c r="D317" s="30" t="s">
        <v>331</v>
      </c>
      <c r="E317" s="31">
        <v>27.39</v>
      </c>
      <c r="F317" s="32">
        <v>3641</v>
      </c>
      <c r="G317" s="33"/>
      <c r="H317" s="34"/>
      <c r="I317" s="35">
        <f t="shared" si="29"/>
        <v>0</v>
      </c>
      <c r="J317" s="33">
        <v>300</v>
      </c>
      <c r="K317" s="34">
        <v>300</v>
      </c>
      <c r="L317" s="35">
        <f t="shared" si="30"/>
        <v>100</v>
      </c>
      <c r="M317" s="34"/>
      <c r="N317" s="34"/>
      <c r="O317" s="35">
        <f t="shared" si="31"/>
        <v>0</v>
      </c>
      <c r="P317" s="36"/>
    </row>
    <row r="318" spans="2:16" x14ac:dyDescent="0.2">
      <c r="B318" s="41" t="s">
        <v>585</v>
      </c>
      <c r="C318" s="30">
        <v>1999</v>
      </c>
      <c r="D318" s="30" t="s">
        <v>332</v>
      </c>
      <c r="E318" s="31">
        <v>29.18</v>
      </c>
      <c r="F318" s="32">
        <v>3892</v>
      </c>
      <c r="G318" s="33"/>
      <c r="H318" s="34"/>
      <c r="I318" s="35">
        <f t="shared" si="29"/>
        <v>0</v>
      </c>
      <c r="J318" s="33">
        <v>300</v>
      </c>
      <c r="K318" s="34">
        <v>300</v>
      </c>
      <c r="L318" s="35">
        <f t="shared" si="30"/>
        <v>100</v>
      </c>
      <c r="M318" s="34"/>
      <c r="N318" s="34"/>
      <c r="O318" s="35">
        <f t="shared" si="31"/>
        <v>0</v>
      </c>
      <c r="P318" s="36"/>
    </row>
    <row r="319" spans="2:16" x14ac:dyDescent="0.2">
      <c r="B319" s="41" t="s">
        <v>585</v>
      </c>
      <c r="C319" s="30">
        <v>1999</v>
      </c>
      <c r="D319" s="30" t="s">
        <v>333</v>
      </c>
      <c r="E319" s="31">
        <v>29.24</v>
      </c>
      <c r="F319" s="32">
        <v>3824</v>
      </c>
      <c r="G319" s="33"/>
      <c r="H319" s="34"/>
      <c r="I319" s="35">
        <f t="shared" si="29"/>
        <v>0</v>
      </c>
      <c r="J319" s="33">
        <v>300</v>
      </c>
      <c r="K319" s="34">
        <v>300</v>
      </c>
      <c r="L319" s="35">
        <f t="shared" si="30"/>
        <v>100</v>
      </c>
      <c r="M319" s="34"/>
      <c r="N319" s="34"/>
      <c r="O319" s="35">
        <f t="shared" si="31"/>
        <v>0</v>
      </c>
      <c r="P319" s="36"/>
    </row>
    <row r="320" spans="2:16" x14ac:dyDescent="0.2">
      <c r="B320" s="41" t="s">
        <v>585</v>
      </c>
      <c r="C320" s="30">
        <v>1999</v>
      </c>
      <c r="D320" s="30" t="s">
        <v>341</v>
      </c>
      <c r="E320" s="31">
        <v>30.31</v>
      </c>
      <c r="F320" s="32">
        <v>4227</v>
      </c>
      <c r="G320" s="33"/>
      <c r="H320" s="34"/>
      <c r="I320" s="35">
        <f t="shared" si="29"/>
        <v>0</v>
      </c>
      <c r="J320" s="33">
        <v>300</v>
      </c>
      <c r="K320" s="34"/>
      <c r="L320" s="35">
        <f t="shared" si="30"/>
        <v>0</v>
      </c>
      <c r="M320" s="34"/>
      <c r="N320" s="34"/>
      <c r="O320" s="35">
        <f t="shared" si="31"/>
        <v>0</v>
      </c>
      <c r="P320" s="36"/>
    </row>
    <row r="321" spans="2:16" x14ac:dyDescent="0.2">
      <c r="B321" s="41" t="s">
        <v>585</v>
      </c>
      <c r="C321" s="30">
        <v>1999</v>
      </c>
      <c r="D321" s="30" t="s">
        <v>342</v>
      </c>
      <c r="E321" s="31">
        <v>31.41</v>
      </c>
      <c r="F321" s="32">
        <v>4112</v>
      </c>
      <c r="G321" s="33"/>
      <c r="H321" s="34"/>
      <c r="I321" s="35">
        <f t="shared" si="29"/>
        <v>0</v>
      </c>
      <c r="J321" s="33">
        <v>300</v>
      </c>
      <c r="K321" s="34"/>
      <c r="L321" s="35">
        <f t="shared" si="30"/>
        <v>0</v>
      </c>
      <c r="M321" s="34"/>
      <c r="N321" s="34"/>
      <c r="O321" s="35">
        <f t="shared" si="31"/>
        <v>0</v>
      </c>
      <c r="P321" s="36"/>
    </row>
    <row r="322" spans="2:16" x14ac:dyDescent="0.2">
      <c r="B322" s="41" t="s">
        <v>585</v>
      </c>
      <c r="C322" s="30">
        <v>1999</v>
      </c>
      <c r="D322" s="30" t="s">
        <v>343</v>
      </c>
      <c r="E322" s="31">
        <v>29.76</v>
      </c>
      <c r="F322" s="32">
        <v>3900</v>
      </c>
      <c r="G322" s="33"/>
      <c r="H322" s="34"/>
      <c r="I322" s="35">
        <f t="shared" si="29"/>
        <v>0</v>
      </c>
      <c r="J322" s="33">
        <v>300</v>
      </c>
      <c r="K322" s="34"/>
      <c r="L322" s="35">
        <f t="shared" si="30"/>
        <v>0</v>
      </c>
      <c r="M322" s="34"/>
      <c r="N322" s="34"/>
      <c r="O322" s="35">
        <f t="shared" si="31"/>
        <v>0</v>
      </c>
      <c r="P322" s="36"/>
    </row>
    <row r="323" spans="2:16" x14ac:dyDescent="0.2">
      <c r="B323" s="41" t="s">
        <v>585</v>
      </c>
      <c r="C323" s="30">
        <v>1999</v>
      </c>
      <c r="D323" s="30" t="s">
        <v>344</v>
      </c>
      <c r="E323" s="31">
        <v>30.4</v>
      </c>
      <c r="F323" s="32">
        <v>3785</v>
      </c>
      <c r="G323" s="33"/>
      <c r="H323" s="34"/>
      <c r="I323" s="35">
        <f t="shared" si="29"/>
        <v>0</v>
      </c>
      <c r="J323" s="33">
        <v>300</v>
      </c>
      <c r="K323" s="34"/>
      <c r="L323" s="35">
        <f t="shared" si="30"/>
        <v>0</v>
      </c>
      <c r="M323" s="34"/>
      <c r="N323" s="34"/>
      <c r="O323" s="35">
        <f t="shared" si="31"/>
        <v>0</v>
      </c>
      <c r="P323" s="36"/>
    </row>
    <row r="324" spans="2:16" x14ac:dyDescent="0.2">
      <c r="B324" s="41" t="s">
        <v>585</v>
      </c>
      <c r="C324" s="30">
        <v>2002</v>
      </c>
      <c r="D324" s="30" t="s">
        <v>317</v>
      </c>
      <c r="E324" s="31">
        <v>29.27</v>
      </c>
      <c r="F324" s="32">
        <v>3976</v>
      </c>
      <c r="G324" s="33"/>
      <c r="H324" s="34"/>
      <c r="I324" s="35">
        <f t="shared" si="29"/>
        <v>0</v>
      </c>
      <c r="J324" s="33">
        <v>300</v>
      </c>
      <c r="K324" s="34"/>
      <c r="L324" s="35">
        <f t="shared" si="30"/>
        <v>0</v>
      </c>
      <c r="M324" s="34"/>
      <c r="N324" s="34"/>
      <c r="O324" s="35">
        <f t="shared" si="31"/>
        <v>0</v>
      </c>
      <c r="P324" s="36"/>
    </row>
    <row r="325" spans="2:16" x14ac:dyDescent="0.2">
      <c r="B325" s="41" t="s">
        <v>585</v>
      </c>
      <c r="C325" s="30">
        <v>2002</v>
      </c>
      <c r="D325" s="30" t="s">
        <v>318</v>
      </c>
      <c r="E325" s="31">
        <v>27.19</v>
      </c>
      <c r="F325" s="32">
        <v>3700</v>
      </c>
      <c r="G325" s="33"/>
      <c r="H325" s="34"/>
      <c r="I325" s="35">
        <f t="shared" si="29"/>
        <v>0</v>
      </c>
      <c r="J325" s="33">
        <v>300</v>
      </c>
      <c r="K325" s="34"/>
      <c r="L325" s="35">
        <f t="shared" si="30"/>
        <v>0</v>
      </c>
      <c r="M325" s="34"/>
      <c r="N325" s="34"/>
      <c r="O325" s="35">
        <f t="shared" si="31"/>
        <v>0</v>
      </c>
      <c r="P325" s="36"/>
    </row>
    <row r="326" spans="2:16" x14ac:dyDescent="0.2">
      <c r="B326" s="41" t="s">
        <v>585</v>
      </c>
      <c r="C326" s="30">
        <v>2002</v>
      </c>
      <c r="D326" s="30" t="s">
        <v>319</v>
      </c>
      <c r="E326" s="31">
        <v>25.47</v>
      </c>
      <c r="F326" s="32">
        <v>3550</v>
      </c>
      <c r="G326" s="33"/>
      <c r="H326" s="34"/>
      <c r="I326" s="35">
        <f t="shared" si="29"/>
        <v>0</v>
      </c>
      <c r="J326" s="33">
        <v>300</v>
      </c>
      <c r="K326" s="34"/>
      <c r="L326" s="35">
        <f t="shared" si="30"/>
        <v>0</v>
      </c>
      <c r="M326" s="34"/>
      <c r="N326" s="34"/>
      <c r="O326" s="35">
        <f t="shared" si="31"/>
        <v>0</v>
      </c>
      <c r="P326" s="36"/>
    </row>
    <row r="327" spans="2:16" x14ac:dyDescent="0.2">
      <c r="B327" s="41" t="s">
        <v>585</v>
      </c>
      <c r="C327" s="30">
        <v>2002</v>
      </c>
      <c r="D327" s="30" t="s">
        <v>327</v>
      </c>
      <c r="E327" s="31">
        <v>27.53</v>
      </c>
      <c r="F327" s="32">
        <v>3607</v>
      </c>
      <c r="G327" s="33"/>
      <c r="H327" s="34"/>
      <c r="I327" s="35">
        <f t="shared" si="29"/>
        <v>0</v>
      </c>
      <c r="J327" s="33">
        <v>300</v>
      </c>
      <c r="K327" s="34">
        <v>300</v>
      </c>
      <c r="L327" s="35">
        <f t="shared" si="30"/>
        <v>100</v>
      </c>
      <c r="M327" s="34"/>
      <c r="N327" s="34"/>
      <c r="O327" s="35">
        <f t="shared" si="31"/>
        <v>0</v>
      </c>
      <c r="P327" s="36"/>
    </row>
    <row r="328" spans="2:16" x14ac:dyDescent="0.2">
      <c r="B328" s="41" t="s">
        <v>585</v>
      </c>
      <c r="C328" s="30">
        <v>2002</v>
      </c>
      <c r="D328" s="30" t="s">
        <v>322</v>
      </c>
      <c r="E328" s="31">
        <v>27.65</v>
      </c>
      <c r="F328" s="32">
        <v>3394</v>
      </c>
      <c r="G328" s="33"/>
      <c r="H328" s="34"/>
      <c r="I328" s="35">
        <f t="shared" si="29"/>
        <v>0</v>
      </c>
      <c r="J328" s="33">
        <v>300</v>
      </c>
      <c r="K328" s="34"/>
      <c r="L328" s="35">
        <f t="shared" si="30"/>
        <v>0</v>
      </c>
      <c r="M328" s="34"/>
      <c r="N328" s="34"/>
      <c r="O328" s="35">
        <f t="shared" si="31"/>
        <v>0</v>
      </c>
      <c r="P328" s="36"/>
    </row>
    <row r="329" spans="2:16" x14ac:dyDescent="0.2">
      <c r="B329" s="41" t="s">
        <v>585</v>
      </c>
      <c r="C329" s="30">
        <v>2002</v>
      </c>
      <c r="D329" s="30" t="s">
        <v>323</v>
      </c>
      <c r="E329" s="31">
        <v>28.36</v>
      </c>
      <c r="F329" s="32">
        <v>3821</v>
      </c>
      <c r="G329" s="33"/>
      <c r="H329" s="34"/>
      <c r="I329" s="35">
        <f t="shared" si="29"/>
        <v>0</v>
      </c>
      <c r="J329" s="33">
        <v>300</v>
      </c>
      <c r="K329" s="34"/>
      <c r="L329" s="35">
        <f t="shared" si="30"/>
        <v>0</v>
      </c>
      <c r="M329" s="34"/>
      <c r="N329" s="34"/>
      <c r="O329" s="35">
        <f t="shared" si="31"/>
        <v>0</v>
      </c>
      <c r="P329" s="36"/>
    </row>
    <row r="330" spans="2:16" x14ac:dyDescent="0.2">
      <c r="B330" s="41" t="s">
        <v>585</v>
      </c>
      <c r="C330" s="30">
        <v>2002</v>
      </c>
      <c r="D330" s="30" t="s">
        <v>324</v>
      </c>
      <c r="E330" s="31">
        <v>27.02</v>
      </c>
      <c r="F330" s="32">
        <v>3575</v>
      </c>
      <c r="G330" s="33"/>
      <c r="H330" s="34"/>
      <c r="I330" s="35">
        <f t="shared" ref="I330:I393" si="34">IFERROR(H330/G330%,0)</f>
        <v>0</v>
      </c>
      <c r="J330" s="33">
        <v>300</v>
      </c>
      <c r="K330" s="34"/>
      <c r="L330" s="35">
        <f t="shared" ref="L330:L393" si="35">IFERROR(K330/J330%,0)</f>
        <v>0</v>
      </c>
      <c r="M330" s="34"/>
      <c r="N330" s="34"/>
      <c r="O330" s="35">
        <f t="shared" ref="O330:O393" si="36">IFERROR(N330/M330%,0)</f>
        <v>0</v>
      </c>
      <c r="P330" s="36"/>
    </row>
    <row r="331" spans="2:16" x14ac:dyDescent="0.2">
      <c r="B331" s="41" t="s">
        <v>585</v>
      </c>
      <c r="C331" s="30">
        <v>2002</v>
      </c>
      <c r="D331" s="30" t="s">
        <v>340</v>
      </c>
      <c r="E331" s="31">
        <v>26.78</v>
      </c>
      <c r="F331" s="32">
        <v>3514</v>
      </c>
      <c r="G331" s="33"/>
      <c r="H331" s="34"/>
      <c r="I331" s="35">
        <f t="shared" si="34"/>
        <v>0</v>
      </c>
      <c r="J331" s="33">
        <v>300</v>
      </c>
      <c r="K331" s="34"/>
      <c r="L331" s="35">
        <f t="shared" si="35"/>
        <v>0</v>
      </c>
      <c r="M331" s="34"/>
      <c r="N331" s="34"/>
      <c r="O331" s="35">
        <f t="shared" si="36"/>
        <v>0</v>
      </c>
      <c r="P331" s="36"/>
    </row>
    <row r="332" spans="2:16" x14ac:dyDescent="0.2">
      <c r="B332" s="41" t="s">
        <v>585</v>
      </c>
      <c r="C332" s="30">
        <v>2003</v>
      </c>
      <c r="D332" s="30" t="s">
        <v>325</v>
      </c>
      <c r="E332" s="31">
        <v>28.01</v>
      </c>
      <c r="F332" s="32">
        <v>3938</v>
      </c>
      <c r="G332" s="33"/>
      <c r="H332" s="34"/>
      <c r="I332" s="35">
        <f t="shared" si="34"/>
        <v>0</v>
      </c>
      <c r="J332" s="33">
        <v>300</v>
      </c>
      <c r="K332" s="34"/>
      <c r="L332" s="35">
        <f t="shared" si="35"/>
        <v>0</v>
      </c>
      <c r="M332" s="34"/>
      <c r="N332" s="34"/>
      <c r="O332" s="35">
        <f t="shared" si="36"/>
        <v>0</v>
      </c>
      <c r="P332" s="36"/>
    </row>
    <row r="333" spans="2:16" x14ac:dyDescent="0.2">
      <c r="B333" s="41" t="s">
        <v>585</v>
      </c>
      <c r="C333" s="30">
        <v>2003</v>
      </c>
      <c r="D333" s="30" t="s">
        <v>326</v>
      </c>
      <c r="E333" s="31">
        <v>30.16</v>
      </c>
      <c r="F333" s="32">
        <v>4051</v>
      </c>
      <c r="G333" s="33"/>
      <c r="H333" s="34"/>
      <c r="I333" s="35">
        <f t="shared" si="34"/>
        <v>0</v>
      </c>
      <c r="J333" s="33">
        <v>300</v>
      </c>
      <c r="K333" s="34">
        <v>20</v>
      </c>
      <c r="L333" s="35">
        <f t="shared" si="35"/>
        <v>6.666666666666667</v>
      </c>
      <c r="M333" s="34"/>
      <c r="N333" s="34"/>
      <c r="O333" s="35">
        <f t="shared" si="36"/>
        <v>0</v>
      </c>
      <c r="P333" s="36"/>
    </row>
    <row r="334" spans="2:16" x14ac:dyDescent="0.2">
      <c r="B334" s="41" t="s">
        <v>585</v>
      </c>
      <c r="C334" s="30">
        <v>2003</v>
      </c>
      <c r="D334" s="30" t="s">
        <v>345</v>
      </c>
      <c r="E334" s="31">
        <v>29.89</v>
      </c>
      <c r="F334" s="32">
        <v>4059</v>
      </c>
      <c r="G334" s="33"/>
      <c r="H334" s="34"/>
      <c r="I334" s="35">
        <f t="shared" si="34"/>
        <v>0</v>
      </c>
      <c r="J334" s="33">
        <v>300</v>
      </c>
      <c r="K334" s="34"/>
      <c r="L334" s="35">
        <f t="shared" si="35"/>
        <v>0</v>
      </c>
      <c r="M334" s="34"/>
      <c r="N334" s="34"/>
      <c r="O334" s="35">
        <f t="shared" si="36"/>
        <v>0</v>
      </c>
      <c r="P334" s="36"/>
    </row>
    <row r="335" spans="2:16" x14ac:dyDescent="0.2">
      <c r="B335" s="41" t="s">
        <v>585</v>
      </c>
      <c r="C335" s="30">
        <v>2003</v>
      </c>
      <c r="D335" s="30" t="s">
        <v>337</v>
      </c>
      <c r="E335" s="31">
        <v>28.03</v>
      </c>
      <c r="F335" s="32">
        <v>3904</v>
      </c>
      <c r="G335" s="33"/>
      <c r="H335" s="34"/>
      <c r="I335" s="35">
        <f t="shared" si="34"/>
        <v>0</v>
      </c>
      <c r="J335" s="33">
        <v>300</v>
      </c>
      <c r="K335" s="34"/>
      <c r="L335" s="35">
        <f t="shared" si="35"/>
        <v>0</v>
      </c>
      <c r="M335" s="34"/>
      <c r="N335" s="34"/>
      <c r="O335" s="35">
        <f t="shared" si="36"/>
        <v>0</v>
      </c>
      <c r="P335" s="36"/>
    </row>
    <row r="336" spans="2:16" x14ac:dyDescent="0.2">
      <c r="B336" s="41" t="s">
        <v>585</v>
      </c>
      <c r="C336" s="30">
        <v>2003</v>
      </c>
      <c r="D336" s="30" t="s">
        <v>329</v>
      </c>
      <c r="E336" s="31">
        <v>27</v>
      </c>
      <c r="F336" s="32">
        <v>3425</v>
      </c>
      <c r="G336" s="33"/>
      <c r="H336" s="34"/>
      <c r="I336" s="35">
        <f t="shared" si="34"/>
        <v>0</v>
      </c>
      <c r="J336" s="33">
        <v>300</v>
      </c>
      <c r="K336" s="34"/>
      <c r="L336" s="35">
        <f t="shared" si="35"/>
        <v>0</v>
      </c>
      <c r="M336" s="34"/>
      <c r="N336" s="34"/>
      <c r="O336" s="35">
        <f t="shared" si="36"/>
        <v>0</v>
      </c>
      <c r="P336" s="36"/>
    </row>
    <row r="337" spans="2:16" x14ac:dyDescent="0.2">
      <c r="B337" s="41" t="s">
        <v>585</v>
      </c>
      <c r="C337" s="30">
        <v>2003</v>
      </c>
      <c r="D337" s="30" t="s">
        <v>330</v>
      </c>
      <c r="E337" s="31">
        <v>33.6</v>
      </c>
      <c r="F337" s="32">
        <v>4457</v>
      </c>
      <c r="G337" s="33"/>
      <c r="H337" s="34"/>
      <c r="I337" s="35">
        <f t="shared" si="34"/>
        <v>0</v>
      </c>
      <c r="J337" s="33">
        <v>300</v>
      </c>
      <c r="K337" s="34"/>
      <c r="L337" s="35">
        <f t="shared" si="35"/>
        <v>0</v>
      </c>
      <c r="M337" s="34"/>
      <c r="N337" s="34"/>
      <c r="O337" s="35">
        <f t="shared" si="36"/>
        <v>0</v>
      </c>
      <c r="P337" s="36"/>
    </row>
    <row r="338" spans="2:16" x14ac:dyDescent="0.2">
      <c r="B338" s="41" t="s">
        <v>585</v>
      </c>
      <c r="C338" s="30">
        <v>2004</v>
      </c>
      <c r="D338" s="30" t="s">
        <v>350</v>
      </c>
      <c r="E338" s="31">
        <v>28.32</v>
      </c>
      <c r="F338" s="32">
        <v>3829</v>
      </c>
      <c r="G338" s="33"/>
      <c r="H338" s="34"/>
      <c r="I338" s="35">
        <f t="shared" si="34"/>
        <v>0</v>
      </c>
      <c r="J338" s="33">
        <v>300</v>
      </c>
      <c r="K338" s="34"/>
      <c r="L338" s="35">
        <f t="shared" si="35"/>
        <v>0</v>
      </c>
      <c r="M338" s="34"/>
      <c r="N338" s="34"/>
      <c r="O338" s="35">
        <f t="shared" si="36"/>
        <v>0</v>
      </c>
      <c r="P338" s="36"/>
    </row>
    <row r="339" spans="2:16" x14ac:dyDescent="0.2">
      <c r="B339" s="41" t="s">
        <v>585</v>
      </c>
      <c r="C339" s="30">
        <v>2004</v>
      </c>
      <c r="D339" s="30" t="s">
        <v>335</v>
      </c>
      <c r="E339" s="31">
        <v>30.13</v>
      </c>
      <c r="F339" s="32">
        <v>4011</v>
      </c>
      <c r="G339" s="33"/>
      <c r="H339" s="34"/>
      <c r="I339" s="35">
        <f t="shared" si="34"/>
        <v>0</v>
      </c>
      <c r="J339" s="33">
        <v>300</v>
      </c>
      <c r="K339" s="34"/>
      <c r="L339" s="35">
        <f t="shared" si="35"/>
        <v>0</v>
      </c>
      <c r="M339" s="34"/>
      <c r="N339" s="34"/>
      <c r="O339" s="35">
        <f t="shared" si="36"/>
        <v>0</v>
      </c>
      <c r="P339" s="36"/>
    </row>
    <row r="340" spans="2:16" x14ac:dyDescent="0.2">
      <c r="B340" s="41" t="s">
        <v>585</v>
      </c>
      <c r="C340" s="30">
        <v>2004</v>
      </c>
      <c r="D340" s="30" t="s">
        <v>336</v>
      </c>
      <c r="E340" s="31">
        <v>28.25</v>
      </c>
      <c r="F340" s="32">
        <v>3797</v>
      </c>
      <c r="G340" s="33"/>
      <c r="H340" s="34"/>
      <c r="I340" s="35">
        <f t="shared" si="34"/>
        <v>0</v>
      </c>
      <c r="J340" s="33">
        <v>300</v>
      </c>
      <c r="K340" s="34"/>
      <c r="L340" s="35">
        <f t="shared" si="35"/>
        <v>0</v>
      </c>
      <c r="M340" s="34"/>
      <c r="N340" s="34"/>
      <c r="O340" s="35">
        <f t="shared" si="36"/>
        <v>0</v>
      </c>
      <c r="P340" s="36"/>
    </row>
    <row r="341" spans="2:16" x14ac:dyDescent="0.2">
      <c r="B341" s="41" t="s">
        <v>585</v>
      </c>
      <c r="C341" s="30">
        <v>2005</v>
      </c>
      <c r="D341" s="30" t="s">
        <v>320</v>
      </c>
      <c r="E341" s="31">
        <v>25.95</v>
      </c>
      <c r="F341" s="32">
        <v>3211</v>
      </c>
      <c r="G341" s="33"/>
      <c r="H341" s="34"/>
      <c r="I341" s="35">
        <f t="shared" si="34"/>
        <v>0</v>
      </c>
      <c r="J341" s="33">
        <v>300</v>
      </c>
      <c r="K341" s="34"/>
      <c r="L341" s="35">
        <f t="shared" si="35"/>
        <v>0</v>
      </c>
      <c r="M341" s="34"/>
      <c r="N341" s="34"/>
      <c r="O341" s="35">
        <f t="shared" si="36"/>
        <v>0</v>
      </c>
      <c r="P341" s="36"/>
    </row>
    <row r="342" spans="2:16" x14ac:dyDescent="0.2">
      <c r="B342" s="41" t="s">
        <v>585</v>
      </c>
      <c r="C342" s="30">
        <v>2005</v>
      </c>
      <c r="D342" s="30" t="s">
        <v>321</v>
      </c>
      <c r="E342" s="31">
        <v>32.39</v>
      </c>
      <c r="F342" s="32">
        <v>4414</v>
      </c>
      <c r="G342" s="33"/>
      <c r="H342" s="34"/>
      <c r="I342" s="35">
        <f t="shared" si="34"/>
        <v>0</v>
      </c>
      <c r="J342" s="33">
        <v>300</v>
      </c>
      <c r="K342" s="34"/>
      <c r="L342" s="35">
        <f t="shared" si="35"/>
        <v>0</v>
      </c>
      <c r="M342" s="34"/>
      <c r="N342" s="34"/>
      <c r="O342" s="35">
        <f t="shared" si="36"/>
        <v>0</v>
      </c>
      <c r="P342" s="36"/>
    </row>
    <row r="343" spans="2:16" x14ac:dyDescent="0.2">
      <c r="B343" s="41" t="s">
        <v>585</v>
      </c>
      <c r="C343" s="30">
        <v>2005</v>
      </c>
      <c r="D343" s="30" t="s">
        <v>338</v>
      </c>
      <c r="E343" s="31">
        <v>10.1</v>
      </c>
      <c r="F343" s="32">
        <v>1447</v>
      </c>
      <c r="G343" s="33"/>
      <c r="H343" s="34"/>
      <c r="I343" s="35">
        <f t="shared" si="34"/>
        <v>0</v>
      </c>
      <c r="J343" s="33">
        <v>300</v>
      </c>
      <c r="K343" s="34"/>
      <c r="L343" s="35">
        <f t="shared" si="35"/>
        <v>0</v>
      </c>
      <c r="M343" s="34"/>
      <c r="N343" s="34"/>
      <c r="O343" s="35">
        <f t="shared" si="36"/>
        <v>0</v>
      </c>
      <c r="P343" s="36"/>
    </row>
    <row r="344" spans="2:16" x14ac:dyDescent="0.2">
      <c r="B344" s="41" t="s">
        <v>585</v>
      </c>
      <c r="C344" s="30">
        <v>2005</v>
      </c>
      <c r="D344" s="30" t="s">
        <v>339</v>
      </c>
      <c r="E344" s="31">
        <v>25.14</v>
      </c>
      <c r="F344" s="32">
        <v>3134</v>
      </c>
      <c r="G344" s="33"/>
      <c r="H344" s="34"/>
      <c r="I344" s="35">
        <f t="shared" si="34"/>
        <v>0</v>
      </c>
      <c r="J344" s="33">
        <v>300</v>
      </c>
      <c r="K344" s="34"/>
      <c r="L344" s="35">
        <f t="shared" si="35"/>
        <v>0</v>
      </c>
      <c r="M344" s="34"/>
      <c r="N344" s="34"/>
      <c r="O344" s="35">
        <f t="shared" si="36"/>
        <v>0</v>
      </c>
      <c r="P344" s="36"/>
    </row>
    <row r="345" spans="2:16" x14ac:dyDescent="0.2">
      <c r="B345" s="41" t="s">
        <v>585</v>
      </c>
      <c r="C345" s="30">
        <v>2005</v>
      </c>
      <c r="D345" s="30" t="s">
        <v>349</v>
      </c>
      <c r="E345" s="31">
        <v>28.21</v>
      </c>
      <c r="F345" s="32">
        <v>3578</v>
      </c>
      <c r="G345" s="33"/>
      <c r="H345" s="34"/>
      <c r="I345" s="35">
        <f t="shared" si="34"/>
        <v>0</v>
      </c>
      <c r="J345" s="33">
        <v>300</v>
      </c>
      <c r="K345" s="34"/>
      <c r="L345" s="35">
        <f t="shared" si="35"/>
        <v>0</v>
      </c>
      <c r="M345" s="34"/>
      <c r="N345" s="34"/>
      <c r="O345" s="35">
        <f t="shared" si="36"/>
        <v>0</v>
      </c>
      <c r="P345" s="36"/>
    </row>
    <row r="346" spans="2:16" x14ac:dyDescent="0.2">
      <c r="B346" s="43"/>
      <c r="C346" s="452" t="s">
        <v>579</v>
      </c>
      <c r="D346" s="452"/>
      <c r="E346" s="66">
        <f>SUM(E306:E345)</f>
        <v>1129.0500000000002</v>
      </c>
      <c r="F346" s="67">
        <f t="shared" ref="F346:H346" si="37">SUM(F306:F345)</f>
        <v>150317</v>
      </c>
      <c r="G346" s="57">
        <f t="shared" si="37"/>
        <v>0</v>
      </c>
      <c r="H346" s="68">
        <f t="shared" si="37"/>
        <v>0</v>
      </c>
      <c r="I346" s="68">
        <f t="shared" si="34"/>
        <v>0</v>
      </c>
      <c r="J346" s="57">
        <f t="shared" ref="J346:K346" si="38">SUM(J306:J345)</f>
        <v>12000</v>
      </c>
      <c r="K346" s="68">
        <f t="shared" si="38"/>
        <v>1520</v>
      </c>
      <c r="L346" s="68">
        <f t="shared" si="35"/>
        <v>12.666666666666666</v>
      </c>
      <c r="M346" s="68">
        <f t="shared" ref="M346:N346" si="39">SUM(M306:M345)</f>
        <v>0</v>
      </c>
      <c r="N346" s="68">
        <f t="shared" si="39"/>
        <v>0</v>
      </c>
      <c r="O346" s="68">
        <f t="shared" si="36"/>
        <v>0</v>
      </c>
      <c r="P346" s="40"/>
    </row>
    <row r="347" spans="2:16" x14ac:dyDescent="0.2">
      <c r="B347" s="29" t="s">
        <v>586</v>
      </c>
      <c r="C347" s="69">
        <v>1997</v>
      </c>
      <c r="D347" s="47" t="s">
        <v>378</v>
      </c>
      <c r="E347" s="31">
        <v>30.13</v>
      </c>
      <c r="F347" s="70">
        <v>3994</v>
      </c>
      <c r="G347" s="71">
        <v>1000</v>
      </c>
      <c r="H347" s="72">
        <v>1000</v>
      </c>
      <c r="I347" s="71">
        <f t="shared" si="34"/>
        <v>100</v>
      </c>
      <c r="J347" s="71">
        <v>300</v>
      </c>
      <c r="K347" s="72">
        <v>0</v>
      </c>
      <c r="L347" s="71">
        <f t="shared" si="35"/>
        <v>0</v>
      </c>
      <c r="M347" s="72">
        <v>300</v>
      </c>
      <c r="N347" s="73"/>
      <c r="O347" s="74">
        <f t="shared" si="36"/>
        <v>0</v>
      </c>
      <c r="P347" s="75"/>
    </row>
    <row r="348" spans="2:16" x14ac:dyDescent="0.2">
      <c r="B348" s="29" t="s">
        <v>586</v>
      </c>
      <c r="C348" s="69">
        <v>1997</v>
      </c>
      <c r="D348" s="47" t="s">
        <v>379</v>
      </c>
      <c r="E348" s="31">
        <v>30.48</v>
      </c>
      <c r="F348" s="70">
        <v>4034</v>
      </c>
      <c r="G348" s="71">
        <v>1000</v>
      </c>
      <c r="H348" s="72">
        <v>0</v>
      </c>
      <c r="I348" s="71">
        <f t="shared" si="34"/>
        <v>0</v>
      </c>
      <c r="J348" s="71">
        <v>300</v>
      </c>
      <c r="K348" s="72">
        <v>0</v>
      </c>
      <c r="L348" s="71">
        <f t="shared" si="35"/>
        <v>0</v>
      </c>
      <c r="M348" s="72"/>
      <c r="N348" s="73"/>
      <c r="O348" s="74">
        <f t="shared" si="36"/>
        <v>0</v>
      </c>
      <c r="P348" s="75"/>
    </row>
    <row r="349" spans="2:16" x14ac:dyDescent="0.2">
      <c r="B349" s="29" t="s">
        <v>586</v>
      </c>
      <c r="C349" s="69">
        <v>1997</v>
      </c>
      <c r="D349" s="47" t="s">
        <v>381</v>
      </c>
      <c r="E349" s="31">
        <v>29.49</v>
      </c>
      <c r="F349" s="70">
        <v>3947</v>
      </c>
      <c r="G349" s="71"/>
      <c r="H349" s="72"/>
      <c r="I349" s="71">
        <f t="shared" si="34"/>
        <v>0</v>
      </c>
      <c r="J349" s="71"/>
      <c r="K349" s="72"/>
      <c r="L349" s="71">
        <f t="shared" si="35"/>
        <v>0</v>
      </c>
      <c r="M349" s="72"/>
      <c r="N349" s="73"/>
      <c r="O349" s="74">
        <f t="shared" si="36"/>
        <v>0</v>
      </c>
      <c r="P349" s="75"/>
    </row>
    <row r="350" spans="2:16" x14ac:dyDescent="0.2">
      <c r="B350" s="29" t="s">
        <v>586</v>
      </c>
      <c r="C350" s="69">
        <v>1997</v>
      </c>
      <c r="D350" s="47" t="s">
        <v>382</v>
      </c>
      <c r="E350" s="31">
        <v>30.05</v>
      </c>
      <c r="F350" s="70">
        <v>4057</v>
      </c>
      <c r="G350" s="71"/>
      <c r="H350" s="72"/>
      <c r="I350" s="71">
        <f t="shared" si="34"/>
        <v>0</v>
      </c>
      <c r="J350" s="71"/>
      <c r="K350" s="72"/>
      <c r="L350" s="71">
        <f t="shared" si="35"/>
        <v>0</v>
      </c>
      <c r="M350" s="72"/>
      <c r="N350" s="73"/>
      <c r="O350" s="74">
        <f t="shared" si="36"/>
        <v>0</v>
      </c>
      <c r="P350" s="75"/>
    </row>
    <row r="351" spans="2:16" x14ac:dyDescent="0.2">
      <c r="B351" s="29" t="s">
        <v>586</v>
      </c>
      <c r="C351" s="69">
        <v>1997</v>
      </c>
      <c r="D351" s="47" t="s">
        <v>386</v>
      </c>
      <c r="E351" s="31">
        <v>28.62</v>
      </c>
      <c r="F351" s="70">
        <v>3795</v>
      </c>
      <c r="G351" s="71">
        <v>1000</v>
      </c>
      <c r="H351" s="72">
        <v>50</v>
      </c>
      <c r="I351" s="71">
        <f t="shared" si="34"/>
        <v>5</v>
      </c>
      <c r="J351" s="71">
        <v>300</v>
      </c>
      <c r="K351" s="72">
        <v>300</v>
      </c>
      <c r="L351" s="71">
        <f t="shared" si="35"/>
        <v>100</v>
      </c>
      <c r="M351" s="72">
        <v>300</v>
      </c>
      <c r="N351" s="73">
        <v>300</v>
      </c>
      <c r="O351" s="74">
        <f t="shared" si="36"/>
        <v>100</v>
      </c>
      <c r="P351" s="75"/>
    </row>
    <row r="352" spans="2:16" x14ac:dyDescent="0.2">
      <c r="B352" s="29" t="s">
        <v>586</v>
      </c>
      <c r="C352" s="69">
        <v>1997</v>
      </c>
      <c r="D352" s="47" t="s">
        <v>387</v>
      </c>
      <c r="E352" s="31">
        <v>29.79</v>
      </c>
      <c r="F352" s="70">
        <v>3929</v>
      </c>
      <c r="G352" s="71"/>
      <c r="H352" s="73"/>
      <c r="I352" s="74">
        <f t="shared" si="34"/>
        <v>0</v>
      </c>
      <c r="J352" s="71"/>
      <c r="K352" s="73"/>
      <c r="L352" s="74">
        <f t="shared" si="35"/>
        <v>0</v>
      </c>
      <c r="M352" s="73"/>
      <c r="N352" s="73"/>
      <c r="O352" s="74">
        <f t="shared" si="36"/>
        <v>0</v>
      </c>
      <c r="P352" s="75"/>
    </row>
    <row r="353" spans="2:16" x14ac:dyDescent="0.2">
      <c r="B353" s="29" t="s">
        <v>586</v>
      </c>
      <c r="C353" s="69">
        <v>1997</v>
      </c>
      <c r="D353" s="47" t="s">
        <v>389</v>
      </c>
      <c r="E353" s="31">
        <v>28.55</v>
      </c>
      <c r="F353" s="70">
        <v>3792</v>
      </c>
      <c r="G353" s="71"/>
      <c r="H353" s="72"/>
      <c r="I353" s="71">
        <f t="shared" si="34"/>
        <v>0</v>
      </c>
      <c r="J353" s="71"/>
      <c r="K353" s="72"/>
      <c r="L353" s="71">
        <f t="shared" si="35"/>
        <v>0</v>
      </c>
      <c r="M353" s="72"/>
      <c r="N353" s="73"/>
      <c r="O353" s="74">
        <f t="shared" si="36"/>
        <v>0</v>
      </c>
      <c r="P353" s="75"/>
    </row>
    <row r="354" spans="2:16" x14ac:dyDescent="0.2">
      <c r="B354" s="29" t="s">
        <v>586</v>
      </c>
      <c r="C354" s="69">
        <v>1998</v>
      </c>
      <c r="D354" s="47" t="s">
        <v>360</v>
      </c>
      <c r="E354" s="31">
        <v>29.7</v>
      </c>
      <c r="F354" s="70">
        <v>3893</v>
      </c>
      <c r="G354" s="71"/>
      <c r="H354" s="72"/>
      <c r="I354" s="71">
        <f t="shared" si="34"/>
        <v>0</v>
      </c>
      <c r="J354" s="71"/>
      <c r="K354" s="72"/>
      <c r="L354" s="71">
        <f t="shared" si="35"/>
        <v>0</v>
      </c>
      <c r="M354" s="72">
        <v>300</v>
      </c>
      <c r="N354" s="73"/>
      <c r="O354" s="74">
        <f t="shared" si="36"/>
        <v>0</v>
      </c>
      <c r="P354" s="75"/>
    </row>
    <row r="355" spans="2:16" x14ac:dyDescent="0.2">
      <c r="B355" s="29" t="s">
        <v>586</v>
      </c>
      <c r="C355" s="69">
        <v>1998</v>
      </c>
      <c r="D355" s="47" t="s">
        <v>361</v>
      </c>
      <c r="E355" s="31">
        <v>29.57</v>
      </c>
      <c r="F355" s="70">
        <v>3940</v>
      </c>
      <c r="G355" s="71"/>
      <c r="H355" s="72"/>
      <c r="I355" s="71">
        <f t="shared" si="34"/>
        <v>0</v>
      </c>
      <c r="J355" s="71"/>
      <c r="K355" s="72"/>
      <c r="L355" s="71">
        <f t="shared" si="35"/>
        <v>0</v>
      </c>
      <c r="M355" s="72">
        <v>300</v>
      </c>
      <c r="N355" s="73"/>
      <c r="O355" s="74">
        <f t="shared" si="36"/>
        <v>0</v>
      </c>
      <c r="P355" s="75"/>
    </row>
    <row r="356" spans="2:16" x14ac:dyDescent="0.2">
      <c r="B356" s="29" t="s">
        <v>586</v>
      </c>
      <c r="C356" s="69">
        <v>1998</v>
      </c>
      <c r="D356" s="47" t="s">
        <v>362</v>
      </c>
      <c r="E356" s="31">
        <v>39.89</v>
      </c>
      <c r="F356" s="70">
        <v>5268</v>
      </c>
      <c r="G356" s="71"/>
      <c r="H356" s="72"/>
      <c r="I356" s="71">
        <f t="shared" si="34"/>
        <v>0</v>
      </c>
      <c r="J356" s="71"/>
      <c r="K356" s="72"/>
      <c r="L356" s="71">
        <f t="shared" si="35"/>
        <v>0</v>
      </c>
      <c r="M356" s="72">
        <v>400</v>
      </c>
      <c r="N356" s="73"/>
      <c r="O356" s="74">
        <f t="shared" si="36"/>
        <v>0</v>
      </c>
      <c r="P356" s="75"/>
    </row>
    <row r="357" spans="2:16" x14ac:dyDescent="0.2">
      <c r="B357" s="29" t="s">
        <v>586</v>
      </c>
      <c r="C357" s="69">
        <v>1998</v>
      </c>
      <c r="D357" s="47" t="s">
        <v>363</v>
      </c>
      <c r="E357" s="31">
        <v>27.1</v>
      </c>
      <c r="F357" s="70">
        <v>3485</v>
      </c>
      <c r="G357" s="71"/>
      <c r="H357" s="72"/>
      <c r="I357" s="71">
        <f t="shared" si="34"/>
        <v>0</v>
      </c>
      <c r="J357" s="71"/>
      <c r="K357" s="72"/>
      <c r="L357" s="71">
        <f t="shared" si="35"/>
        <v>0</v>
      </c>
      <c r="M357" s="72">
        <v>300</v>
      </c>
      <c r="N357" s="73"/>
      <c r="O357" s="74">
        <f t="shared" si="36"/>
        <v>0</v>
      </c>
      <c r="P357" s="75"/>
    </row>
    <row r="358" spans="2:16" x14ac:dyDescent="0.2">
      <c r="B358" s="29" t="s">
        <v>586</v>
      </c>
      <c r="C358" s="69">
        <v>1998</v>
      </c>
      <c r="D358" s="47" t="s">
        <v>364</v>
      </c>
      <c r="E358" s="31">
        <v>25.07</v>
      </c>
      <c r="F358" s="70">
        <v>3437</v>
      </c>
      <c r="G358" s="71"/>
      <c r="H358" s="72"/>
      <c r="I358" s="71">
        <f t="shared" si="34"/>
        <v>0</v>
      </c>
      <c r="J358" s="71"/>
      <c r="K358" s="72"/>
      <c r="L358" s="71">
        <f t="shared" si="35"/>
        <v>0</v>
      </c>
      <c r="M358" s="72"/>
      <c r="N358" s="73"/>
      <c r="O358" s="74">
        <f t="shared" si="36"/>
        <v>0</v>
      </c>
      <c r="P358" s="75"/>
    </row>
    <row r="359" spans="2:16" x14ac:dyDescent="0.2">
      <c r="B359" s="29" t="s">
        <v>586</v>
      </c>
      <c r="C359" s="69">
        <v>1998</v>
      </c>
      <c r="D359" s="47" t="s">
        <v>384</v>
      </c>
      <c r="E359" s="31">
        <v>30.17</v>
      </c>
      <c r="F359" s="70">
        <v>4255</v>
      </c>
      <c r="G359" s="71"/>
      <c r="H359" s="72"/>
      <c r="I359" s="71">
        <f t="shared" si="34"/>
        <v>0</v>
      </c>
      <c r="J359" s="71"/>
      <c r="K359" s="72"/>
      <c r="L359" s="71">
        <f t="shared" si="35"/>
        <v>0</v>
      </c>
      <c r="M359" s="72">
        <v>300</v>
      </c>
      <c r="N359" s="73"/>
      <c r="O359" s="74">
        <f t="shared" si="36"/>
        <v>0</v>
      </c>
      <c r="P359" s="75"/>
    </row>
    <row r="360" spans="2:16" x14ac:dyDescent="0.2">
      <c r="B360" s="29" t="s">
        <v>586</v>
      </c>
      <c r="C360" s="69">
        <v>1998</v>
      </c>
      <c r="D360" s="47" t="s">
        <v>385</v>
      </c>
      <c r="E360" s="31">
        <v>28.29</v>
      </c>
      <c r="F360" s="70">
        <v>3907</v>
      </c>
      <c r="G360" s="71"/>
      <c r="H360" s="72"/>
      <c r="I360" s="71">
        <f t="shared" si="34"/>
        <v>0</v>
      </c>
      <c r="J360" s="71"/>
      <c r="K360" s="72"/>
      <c r="L360" s="71">
        <f t="shared" si="35"/>
        <v>0</v>
      </c>
      <c r="M360" s="72">
        <v>300</v>
      </c>
      <c r="N360" s="73"/>
      <c r="O360" s="74">
        <f t="shared" si="36"/>
        <v>0</v>
      </c>
      <c r="P360" s="75"/>
    </row>
    <row r="361" spans="2:16" x14ac:dyDescent="0.2">
      <c r="B361" s="29" t="s">
        <v>586</v>
      </c>
      <c r="C361" s="69">
        <v>1998</v>
      </c>
      <c r="D361" s="47" t="s">
        <v>380</v>
      </c>
      <c r="E361" s="31">
        <v>29.14</v>
      </c>
      <c r="F361" s="70">
        <v>4007</v>
      </c>
      <c r="G361" s="71"/>
      <c r="H361" s="72"/>
      <c r="I361" s="71">
        <f t="shared" si="34"/>
        <v>0</v>
      </c>
      <c r="J361" s="71"/>
      <c r="K361" s="72"/>
      <c r="L361" s="71">
        <f t="shared" si="35"/>
        <v>0</v>
      </c>
      <c r="M361" s="72"/>
      <c r="N361" s="73"/>
      <c r="O361" s="74">
        <f t="shared" si="36"/>
        <v>0</v>
      </c>
      <c r="P361" s="75"/>
    </row>
    <row r="362" spans="2:16" x14ac:dyDescent="0.2">
      <c r="B362" s="29" t="s">
        <v>586</v>
      </c>
      <c r="C362" s="69">
        <v>1998</v>
      </c>
      <c r="D362" s="47" t="s">
        <v>391</v>
      </c>
      <c r="E362" s="31">
        <v>29.84</v>
      </c>
      <c r="F362" s="70">
        <v>4060</v>
      </c>
      <c r="G362" s="71"/>
      <c r="H362" s="72"/>
      <c r="I362" s="71">
        <f t="shared" si="34"/>
        <v>0</v>
      </c>
      <c r="J362" s="71"/>
      <c r="K362" s="72"/>
      <c r="L362" s="71">
        <f t="shared" si="35"/>
        <v>0</v>
      </c>
      <c r="M362" s="72">
        <v>300</v>
      </c>
      <c r="N362" s="73"/>
      <c r="O362" s="74">
        <f t="shared" si="36"/>
        <v>0</v>
      </c>
      <c r="P362" s="75"/>
    </row>
    <row r="363" spans="2:16" x14ac:dyDescent="0.2">
      <c r="B363" s="29" t="s">
        <v>586</v>
      </c>
      <c r="C363" s="69">
        <v>1998</v>
      </c>
      <c r="D363" s="47" t="s">
        <v>392</v>
      </c>
      <c r="E363" s="31">
        <v>28.03</v>
      </c>
      <c r="F363" s="70">
        <v>4010</v>
      </c>
      <c r="G363" s="71"/>
      <c r="H363" s="72"/>
      <c r="I363" s="71">
        <f t="shared" si="34"/>
        <v>0</v>
      </c>
      <c r="J363" s="71"/>
      <c r="K363" s="72"/>
      <c r="L363" s="71">
        <f t="shared" si="35"/>
        <v>0</v>
      </c>
      <c r="M363" s="72">
        <v>300</v>
      </c>
      <c r="N363" s="73"/>
      <c r="O363" s="74">
        <f t="shared" si="36"/>
        <v>0</v>
      </c>
      <c r="P363" s="75"/>
    </row>
    <row r="364" spans="2:16" x14ac:dyDescent="0.2">
      <c r="B364" s="29" t="s">
        <v>586</v>
      </c>
      <c r="C364" s="69">
        <v>1998</v>
      </c>
      <c r="D364" s="47" t="s">
        <v>394</v>
      </c>
      <c r="E364" s="31">
        <v>16.489999999999998</v>
      </c>
      <c r="F364" s="70">
        <v>2349</v>
      </c>
      <c r="G364" s="71"/>
      <c r="H364" s="72"/>
      <c r="I364" s="71">
        <f t="shared" si="34"/>
        <v>0</v>
      </c>
      <c r="J364" s="71">
        <v>300</v>
      </c>
      <c r="K364" s="72">
        <v>300</v>
      </c>
      <c r="L364" s="71">
        <f t="shared" si="35"/>
        <v>100</v>
      </c>
      <c r="M364" s="72"/>
      <c r="N364" s="73"/>
      <c r="O364" s="74">
        <f t="shared" si="36"/>
        <v>0</v>
      </c>
      <c r="P364" s="75"/>
    </row>
    <row r="365" spans="2:16" x14ac:dyDescent="0.2">
      <c r="B365" s="29" t="s">
        <v>586</v>
      </c>
      <c r="C365" s="69">
        <v>1998</v>
      </c>
      <c r="D365" s="47" t="s">
        <v>365</v>
      </c>
      <c r="E365" s="31">
        <v>29.76</v>
      </c>
      <c r="F365" s="70">
        <v>3644</v>
      </c>
      <c r="G365" s="71">
        <v>1000</v>
      </c>
      <c r="H365" s="72">
        <v>0</v>
      </c>
      <c r="I365" s="71">
        <f t="shared" si="34"/>
        <v>0</v>
      </c>
      <c r="J365" s="71">
        <v>300</v>
      </c>
      <c r="K365" s="72">
        <v>300</v>
      </c>
      <c r="L365" s="71">
        <f t="shared" si="35"/>
        <v>100</v>
      </c>
      <c r="M365" s="72">
        <v>300</v>
      </c>
      <c r="N365" s="73">
        <v>300</v>
      </c>
      <c r="O365" s="74">
        <f t="shared" si="36"/>
        <v>100</v>
      </c>
      <c r="P365" s="75"/>
    </row>
    <row r="366" spans="2:16" x14ac:dyDescent="0.2">
      <c r="B366" s="29" t="s">
        <v>586</v>
      </c>
      <c r="C366" s="69">
        <v>1998</v>
      </c>
      <c r="D366" s="47" t="s">
        <v>366</v>
      </c>
      <c r="E366" s="31">
        <v>27.96</v>
      </c>
      <c r="F366" s="70">
        <v>3399</v>
      </c>
      <c r="G366" s="71">
        <v>1000</v>
      </c>
      <c r="H366" s="72">
        <v>0</v>
      </c>
      <c r="I366" s="71">
        <f t="shared" si="34"/>
        <v>0</v>
      </c>
      <c r="J366" s="71">
        <v>300</v>
      </c>
      <c r="K366" s="72">
        <v>300</v>
      </c>
      <c r="L366" s="71">
        <f t="shared" si="35"/>
        <v>100</v>
      </c>
      <c r="M366" s="72">
        <v>300</v>
      </c>
      <c r="N366" s="73">
        <v>300</v>
      </c>
      <c r="O366" s="74">
        <f t="shared" si="36"/>
        <v>100</v>
      </c>
      <c r="P366" s="75"/>
    </row>
    <row r="367" spans="2:16" x14ac:dyDescent="0.2">
      <c r="B367" s="29" t="s">
        <v>586</v>
      </c>
      <c r="C367" s="69">
        <v>1998</v>
      </c>
      <c r="D367" s="47" t="s">
        <v>357</v>
      </c>
      <c r="E367" s="31">
        <v>29.05</v>
      </c>
      <c r="F367" s="70">
        <v>3727</v>
      </c>
      <c r="G367" s="71">
        <v>1000</v>
      </c>
      <c r="H367" s="72">
        <v>1000</v>
      </c>
      <c r="I367" s="71">
        <f t="shared" si="34"/>
        <v>100</v>
      </c>
      <c r="J367" s="71">
        <v>300</v>
      </c>
      <c r="K367" s="72">
        <v>300</v>
      </c>
      <c r="L367" s="71">
        <f t="shared" si="35"/>
        <v>100</v>
      </c>
      <c r="M367" s="71">
        <v>1300</v>
      </c>
      <c r="N367" s="72">
        <v>1300</v>
      </c>
      <c r="O367" s="74">
        <f t="shared" si="36"/>
        <v>100</v>
      </c>
      <c r="P367" s="75"/>
    </row>
    <row r="368" spans="2:16" x14ac:dyDescent="0.2">
      <c r="B368" s="29" t="s">
        <v>586</v>
      </c>
      <c r="C368" s="69">
        <v>1998</v>
      </c>
      <c r="D368" s="47" t="s">
        <v>358</v>
      </c>
      <c r="E368" s="31">
        <v>28.92</v>
      </c>
      <c r="F368" s="70">
        <v>3766</v>
      </c>
      <c r="G368" s="71">
        <v>1000</v>
      </c>
      <c r="H368" s="72">
        <v>1000</v>
      </c>
      <c r="I368" s="71">
        <f t="shared" si="34"/>
        <v>100</v>
      </c>
      <c r="J368" s="71">
        <v>300</v>
      </c>
      <c r="K368" s="72">
        <v>0</v>
      </c>
      <c r="L368" s="71">
        <f t="shared" si="35"/>
        <v>0</v>
      </c>
      <c r="M368" s="71">
        <v>1300</v>
      </c>
      <c r="N368" s="72">
        <v>1000</v>
      </c>
      <c r="O368" s="74">
        <f t="shared" si="36"/>
        <v>76.92307692307692</v>
      </c>
      <c r="P368" s="75"/>
    </row>
    <row r="369" spans="2:16" x14ac:dyDescent="0.2">
      <c r="B369" s="29" t="s">
        <v>586</v>
      </c>
      <c r="C369" s="69">
        <v>1998</v>
      </c>
      <c r="D369" s="47" t="s">
        <v>359</v>
      </c>
      <c r="E369" s="31">
        <v>27.74</v>
      </c>
      <c r="F369" s="70">
        <v>3591</v>
      </c>
      <c r="G369" s="71">
        <v>1000</v>
      </c>
      <c r="H369" s="72">
        <v>0</v>
      </c>
      <c r="I369" s="71">
        <f t="shared" si="34"/>
        <v>0</v>
      </c>
      <c r="J369" s="71">
        <v>300</v>
      </c>
      <c r="K369" s="72">
        <v>0</v>
      </c>
      <c r="L369" s="71">
        <f t="shared" si="35"/>
        <v>0</v>
      </c>
      <c r="M369" s="72">
        <v>300</v>
      </c>
      <c r="N369" s="73"/>
      <c r="O369" s="74">
        <f t="shared" si="36"/>
        <v>0</v>
      </c>
      <c r="P369" s="75"/>
    </row>
    <row r="370" spans="2:16" x14ac:dyDescent="0.2">
      <c r="B370" s="29" t="s">
        <v>586</v>
      </c>
      <c r="C370" s="69">
        <v>1998</v>
      </c>
      <c r="D370" s="47" t="s">
        <v>376</v>
      </c>
      <c r="E370" s="31">
        <v>30.32</v>
      </c>
      <c r="F370" s="70">
        <v>3901</v>
      </c>
      <c r="G370" s="71"/>
      <c r="H370" s="72"/>
      <c r="I370" s="71">
        <f t="shared" si="34"/>
        <v>0</v>
      </c>
      <c r="J370" s="71"/>
      <c r="K370" s="72"/>
      <c r="L370" s="71">
        <f t="shared" si="35"/>
        <v>0</v>
      </c>
      <c r="M370" s="72"/>
      <c r="N370" s="73"/>
      <c r="O370" s="74">
        <f t="shared" si="36"/>
        <v>0</v>
      </c>
      <c r="P370" s="75"/>
    </row>
    <row r="371" spans="2:16" x14ac:dyDescent="0.2">
      <c r="B371" s="29" t="s">
        <v>586</v>
      </c>
      <c r="C371" s="69">
        <v>1998</v>
      </c>
      <c r="D371" s="47" t="s">
        <v>377</v>
      </c>
      <c r="E371" s="31">
        <v>28.32</v>
      </c>
      <c r="F371" s="70">
        <v>3622</v>
      </c>
      <c r="G371" s="71"/>
      <c r="H371" s="72"/>
      <c r="I371" s="71">
        <f t="shared" si="34"/>
        <v>0</v>
      </c>
      <c r="J371" s="71"/>
      <c r="K371" s="72"/>
      <c r="L371" s="71">
        <f t="shared" si="35"/>
        <v>0</v>
      </c>
      <c r="M371" s="72"/>
      <c r="N371" s="73"/>
      <c r="O371" s="74">
        <f t="shared" si="36"/>
        <v>0</v>
      </c>
      <c r="P371" s="75"/>
    </row>
    <row r="372" spans="2:16" x14ac:dyDescent="0.2">
      <c r="B372" s="29" t="s">
        <v>586</v>
      </c>
      <c r="C372" s="69">
        <v>1998</v>
      </c>
      <c r="D372" s="47" t="s">
        <v>367</v>
      </c>
      <c r="E372" s="31">
        <v>29.59</v>
      </c>
      <c r="F372" s="70">
        <v>3710</v>
      </c>
      <c r="G372" s="71">
        <v>1000</v>
      </c>
      <c r="H372" s="72">
        <v>1000</v>
      </c>
      <c r="I372" s="71">
        <f t="shared" si="34"/>
        <v>100</v>
      </c>
      <c r="J372" s="71">
        <v>300</v>
      </c>
      <c r="K372" s="72">
        <v>0</v>
      </c>
      <c r="L372" s="71">
        <f t="shared" si="35"/>
        <v>0</v>
      </c>
      <c r="M372" s="71">
        <v>1000</v>
      </c>
      <c r="N372" s="72">
        <v>1000</v>
      </c>
      <c r="O372" s="74">
        <f t="shared" si="36"/>
        <v>100</v>
      </c>
      <c r="P372" s="75"/>
    </row>
    <row r="373" spans="2:16" x14ac:dyDescent="0.2">
      <c r="B373" s="29" t="s">
        <v>586</v>
      </c>
      <c r="C373" s="69">
        <v>1998</v>
      </c>
      <c r="D373" s="47" t="s">
        <v>368</v>
      </c>
      <c r="E373" s="31">
        <v>29.85</v>
      </c>
      <c r="F373" s="70">
        <v>3794</v>
      </c>
      <c r="G373" s="71">
        <v>1000</v>
      </c>
      <c r="H373" s="72">
        <v>1000</v>
      </c>
      <c r="I373" s="71">
        <f t="shared" si="34"/>
        <v>100</v>
      </c>
      <c r="J373" s="71">
        <v>300</v>
      </c>
      <c r="K373" s="72">
        <v>0</v>
      </c>
      <c r="L373" s="71">
        <f t="shared" si="35"/>
        <v>0</v>
      </c>
      <c r="M373" s="71">
        <v>1000</v>
      </c>
      <c r="N373" s="73"/>
      <c r="O373" s="74">
        <f t="shared" si="36"/>
        <v>0</v>
      </c>
      <c r="P373" s="75"/>
    </row>
    <row r="374" spans="2:16" x14ac:dyDescent="0.2">
      <c r="B374" s="29" t="s">
        <v>586</v>
      </c>
      <c r="C374" s="69">
        <v>2003</v>
      </c>
      <c r="D374" s="47" t="s">
        <v>370</v>
      </c>
      <c r="E374" s="31">
        <v>29.66</v>
      </c>
      <c r="F374" s="70">
        <v>3955</v>
      </c>
      <c r="G374" s="71"/>
      <c r="H374" s="72"/>
      <c r="I374" s="71">
        <f t="shared" si="34"/>
        <v>0</v>
      </c>
      <c r="J374" s="71"/>
      <c r="K374" s="72"/>
      <c r="L374" s="71">
        <f t="shared" si="35"/>
        <v>0</v>
      </c>
      <c r="M374" s="72"/>
      <c r="N374" s="73"/>
      <c r="O374" s="74">
        <f t="shared" si="36"/>
        <v>0</v>
      </c>
      <c r="P374" s="75"/>
    </row>
    <row r="375" spans="2:16" x14ac:dyDescent="0.2">
      <c r="B375" s="29" t="s">
        <v>586</v>
      </c>
      <c r="C375" s="69">
        <v>2003</v>
      </c>
      <c r="D375" s="47" t="s">
        <v>371</v>
      </c>
      <c r="E375" s="31">
        <v>30.05</v>
      </c>
      <c r="F375" s="70">
        <v>4024</v>
      </c>
      <c r="G375" s="71"/>
      <c r="H375" s="72"/>
      <c r="I375" s="71">
        <f t="shared" si="34"/>
        <v>0</v>
      </c>
      <c r="J375" s="71"/>
      <c r="K375" s="72"/>
      <c r="L375" s="71">
        <f t="shared" si="35"/>
        <v>0</v>
      </c>
      <c r="M375" s="72"/>
      <c r="N375" s="73"/>
      <c r="O375" s="74">
        <f t="shared" si="36"/>
        <v>0</v>
      </c>
      <c r="P375" s="75"/>
    </row>
    <row r="376" spans="2:16" x14ac:dyDescent="0.2">
      <c r="B376" s="29" t="s">
        <v>586</v>
      </c>
      <c r="C376" s="69">
        <v>2003</v>
      </c>
      <c r="D376" s="47" t="s">
        <v>372</v>
      </c>
      <c r="E376" s="31">
        <v>40.229999999999997</v>
      </c>
      <c r="F376" s="70">
        <v>5194</v>
      </c>
      <c r="G376" s="71"/>
      <c r="H376" s="72"/>
      <c r="I376" s="71">
        <f t="shared" si="34"/>
        <v>0</v>
      </c>
      <c r="J376" s="71"/>
      <c r="K376" s="72"/>
      <c r="L376" s="71">
        <f t="shared" si="35"/>
        <v>0</v>
      </c>
      <c r="M376" s="72"/>
      <c r="N376" s="73"/>
      <c r="O376" s="74">
        <f t="shared" si="36"/>
        <v>0</v>
      </c>
      <c r="P376" s="75"/>
    </row>
    <row r="377" spans="2:16" x14ac:dyDescent="0.2">
      <c r="B377" s="29" t="s">
        <v>586</v>
      </c>
      <c r="C377" s="69">
        <v>2003</v>
      </c>
      <c r="D377" s="47" t="s">
        <v>373</v>
      </c>
      <c r="E377" s="31">
        <v>24.85</v>
      </c>
      <c r="F377" s="70">
        <v>3469</v>
      </c>
      <c r="G377" s="71"/>
      <c r="H377" s="72"/>
      <c r="I377" s="71">
        <f t="shared" si="34"/>
        <v>0</v>
      </c>
      <c r="J377" s="71"/>
      <c r="K377" s="72"/>
      <c r="L377" s="71">
        <f t="shared" si="35"/>
        <v>0</v>
      </c>
      <c r="M377" s="72"/>
      <c r="N377" s="73"/>
      <c r="O377" s="74">
        <f t="shared" si="36"/>
        <v>0</v>
      </c>
      <c r="P377" s="75"/>
    </row>
    <row r="378" spans="2:16" x14ac:dyDescent="0.2">
      <c r="B378" s="29" t="s">
        <v>586</v>
      </c>
      <c r="C378" s="69">
        <v>2003</v>
      </c>
      <c r="D378" s="47" t="s">
        <v>374</v>
      </c>
      <c r="E378" s="31">
        <v>15.16</v>
      </c>
      <c r="F378" s="70">
        <v>2155</v>
      </c>
      <c r="G378" s="71"/>
      <c r="H378" s="72"/>
      <c r="I378" s="71">
        <f t="shared" si="34"/>
        <v>0</v>
      </c>
      <c r="J378" s="71"/>
      <c r="K378" s="72"/>
      <c r="L378" s="71">
        <f t="shared" si="35"/>
        <v>0</v>
      </c>
      <c r="M378" s="72"/>
      <c r="N378" s="73"/>
      <c r="O378" s="74">
        <f t="shared" si="36"/>
        <v>0</v>
      </c>
      <c r="P378" s="75"/>
    </row>
    <row r="379" spans="2:16" x14ac:dyDescent="0.2">
      <c r="B379" s="29" t="s">
        <v>586</v>
      </c>
      <c r="C379" s="69">
        <v>2003</v>
      </c>
      <c r="D379" s="47" t="s">
        <v>375</v>
      </c>
      <c r="E379" s="31">
        <v>6.11</v>
      </c>
      <c r="F379" s="70">
        <v>841</v>
      </c>
      <c r="G379" s="71"/>
      <c r="H379" s="72"/>
      <c r="I379" s="71">
        <f t="shared" si="34"/>
        <v>0</v>
      </c>
      <c r="J379" s="71"/>
      <c r="K379" s="72"/>
      <c r="L379" s="71">
        <f t="shared" si="35"/>
        <v>0</v>
      </c>
      <c r="M379" s="72"/>
      <c r="N379" s="73"/>
      <c r="O379" s="74">
        <f t="shared" si="36"/>
        <v>0</v>
      </c>
      <c r="P379" s="75"/>
    </row>
    <row r="380" spans="2:16" x14ac:dyDescent="0.2">
      <c r="B380" s="29" t="s">
        <v>586</v>
      </c>
      <c r="C380" s="69">
        <v>2004</v>
      </c>
      <c r="D380" s="47" t="s">
        <v>369</v>
      </c>
      <c r="E380" s="31">
        <v>28.25</v>
      </c>
      <c r="F380" s="70">
        <v>3838</v>
      </c>
      <c r="G380" s="71"/>
      <c r="H380" s="72"/>
      <c r="I380" s="71">
        <f t="shared" si="34"/>
        <v>0</v>
      </c>
      <c r="J380" s="71"/>
      <c r="K380" s="72"/>
      <c r="L380" s="71">
        <f t="shared" si="35"/>
        <v>0</v>
      </c>
      <c r="M380" s="72"/>
      <c r="N380" s="73"/>
      <c r="O380" s="74">
        <f t="shared" si="36"/>
        <v>0</v>
      </c>
      <c r="P380" s="75"/>
    </row>
    <row r="381" spans="2:16" x14ac:dyDescent="0.2">
      <c r="B381" s="29" t="s">
        <v>586</v>
      </c>
      <c r="C381" s="69">
        <v>2005</v>
      </c>
      <c r="D381" s="47" t="s">
        <v>383</v>
      </c>
      <c r="E381" s="31">
        <v>16.12</v>
      </c>
      <c r="F381" s="70">
        <v>2138</v>
      </c>
      <c r="G381" s="71"/>
      <c r="H381" s="72"/>
      <c r="I381" s="71">
        <f t="shared" si="34"/>
        <v>0</v>
      </c>
      <c r="J381" s="71"/>
      <c r="K381" s="72"/>
      <c r="L381" s="71">
        <f t="shared" si="35"/>
        <v>0</v>
      </c>
      <c r="M381" s="72"/>
      <c r="N381" s="73"/>
      <c r="O381" s="74">
        <f t="shared" si="36"/>
        <v>0</v>
      </c>
      <c r="P381" s="75"/>
    </row>
    <row r="382" spans="2:16" x14ac:dyDescent="0.2">
      <c r="B382" s="29" t="s">
        <v>586</v>
      </c>
      <c r="C382" s="69">
        <v>2005</v>
      </c>
      <c r="D382" s="47" t="s">
        <v>388</v>
      </c>
      <c r="E382" s="31">
        <v>29.85</v>
      </c>
      <c r="F382" s="70">
        <v>4043</v>
      </c>
      <c r="G382" s="71"/>
      <c r="H382" s="72"/>
      <c r="I382" s="71">
        <f t="shared" si="34"/>
        <v>0</v>
      </c>
      <c r="J382" s="71"/>
      <c r="K382" s="72"/>
      <c r="L382" s="71">
        <f t="shared" si="35"/>
        <v>0</v>
      </c>
      <c r="M382" s="72"/>
      <c r="N382" s="73"/>
      <c r="O382" s="74">
        <f t="shared" si="36"/>
        <v>0</v>
      </c>
      <c r="P382" s="75"/>
    </row>
    <row r="383" spans="2:16" x14ac:dyDescent="0.2">
      <c r="B383" s="29" t="s">
        <v>586</v>
      </c>
      <c r="C383" s="69">
        <v>2005</v>
      </c>
      <c r="D383" s="47" t="s">
        <v>390</v>
      </c>
      <c r="E383" s="31">
        <v>20.5</v>
      </c>
      <c r="F383" s="70">
        <v>2732</v>
      </c>
      <c r="G383" s="71"/>
      <c r="H383" s="72"/>
      <c r="I383" s="71">
        <f t="shared" si="34"/>
        <v>0</v>
      </c>
      <c r="J383" s="71"/>
      <c r="K383" s="72"/>
      <c r="L383" s="71">
        <f t="shared" si="35"/>
        <v>0</v>
      </c>
      <c r="M383" s="72"/>
      <c r="N383" s="73"/>
      <c r="O383" s="74">
        <f t="shared" si="36"/>
        <v>0</v>
      </c>
      <c r="P383" s="75"/>
    </row>
    <row r="384" spans="2:16" x14ac:dyDescent="0.2">
      <c r="B384" s="29" t="s">
        <v>586</v>
      </c>
      <c r="C384" s="69">
        <v>2005</v>
      </c>
      <c r="D384" s="47" t="s">
        <v>397</v>
      </c>
      <c r="E384" s="31">
        <v>39.270000000000003</v>
      </c>
      <c r="F384" s="70">
        <v>5296</v>
      </c>
      <c r="G384" s="71"/>
      <c r="H384" s="72"/>
      <c r="I384" s="71">
        <f t="shared" si="34"/>
        <v>0</v>
      </c>
      <c r="J384" s="71">
        <v>300</v>
      </c>
      <c r="K384" s="72">
        <v>300</v>
      </c>
      <c r="L384" s="71">
        <f t="shared" si="35"/>
        <v>100</v>
      </c>
      <c r="M384" s="72"/>
      <c r="N384" s="73"/>
      <c r="O384" s="74">
        <f t="shared" si="36"/>
        <v>0</v>
      </c>
      <c r="P384" s="75"/>
    </row>
    <row r="385" spans="2:16" x14ac:dyDescent="0.2">
      <c r="B385" s="29" t="s">
        <v>586</v>
      </c>
      <c r="C385" s="69">
        <v>2005</v>
      </c>
      <c r="D385" s="47" t="s">
        <v>398</v>
      </c>
      <c r="E385" s="31">
        <v>32.32</v>
      </c>
      <c r="F385" s="70">
        <v>4547</v>
      </c>
      <c r="G385" s="71"/>
      <c r="H385" s="72"/>
      <c r="I385" s="71">
        <f t="shared" si="34"/>
        <v>0</v>
      </c>
      <c r="J385" s="71">
        <v>300</v>
      </c>
      <c r="K385" s="72">
        <v>300</v>
      </c>
      <c r="L385" s="71">
        <f t="shared" si="35"/>
        <v>100</v>
      </c>
      <c r="M385" s="72"/>
      <c r="N385" s="73"/>
      <c r="O385" s="74">
        <f t="shared" si="36"/>
        <v>0</v>
      </c>
      <c r="P385" s="75"/>
    </row>
    <row r="386" spans="2:16" x14ac:dyDescent="0.2">
      <c r="B386" s="29" t="s">
        <v>586</v>
      </c>
      <c r="C386" s="69">
        <v>2005</v>
      </c>
      <c r="D386" s="47" t="s">
        <v>393</v>
      </c>
      <c r="E386" s="31">
        <v>23.56</v>
      </c>
      <c r="F386" s="70">
        <v>3330</v>
      </c>
      <c r="G386" s="71"/>
      <c r="H386" s="72"/>
      <c r="I386" s="71">
        <f t="shared" si="34"/>
        <v>0</v>
      </c>
      <c r="J386" s="71">
        <v>300</v>
      </c>
      <c r="K386" s="72">
        <v>300</v>
      </c>
      <c r="L386" s="71">
        <f t="shared" si="35"/>
        <v>100</v>
      </c>
      <c r="M386" s="72"/>
      <c r="N386" s="73"/>
      <c r="O386" s="74">
        <f t="shared" si="36"/>
        <v>0</v>
      </c>
      <c r="P386" s="75"/>
    </row>
    <row r="387" spans="2:16" x14ac:dyDescent="0.2">
      <c r="B387" s="29" t="s">
        <v>586</v>
      </c>
      <c r="C387" s="69">
        <v>2005</v>
      </c>
      <c r="D387" s="47" t="s">
        <v>395</v>
      </c>
      <c r="E387" s="31">
        <v>13.38</v>
      </c>
      <c r="F387" s="70">
        <v>1823</v>
      </c>
      <c r="G387" s="71"/>
      <c r="H387" s="72"/>
      <c r="I387" s="71">
        <f t="shared" si="34"/>
        <v>0</v>
      </c>
      <c r="J387" s="71">
        <v>300</v>
      </c>
      <c r="K387" s="72">
        <v>300</v>
      </c>
      <c r="L387" s="71">
        <f t="shared" si="35"/>
        <v>100</v>
      </c>
      <c r="M387" s="72"/>
      <c r="N387" s="73"/>
      <c r="O387" s="74">
        <f t="shared" si="36"/>
        <v>0</v>
      </c>
      <c r="P387" s="75"/>
    </row>
    <row r="388" spans="2:16" x14ac:dyDescent="0.2">
      <c r="B388" s="41" t="s">
        <v>586</v>
      </c>
      <c r="C388" s="69">
        <v>2005</v>
      </c>
      <c r="D388" s="59" t="s">
        <v>396</v>
      </c>
      <c r="E388" s="31">
        <v>6.86</v>
      </c>
      <c r="F388" s="32">
        <v>902</v>
      </c>
      <c r="G388" s="33"/>
      <c r="H388" s="76"/>
      <c r="I388" s="33">
        <f t="shared" si="34"/>
        <v>0</v>
      </c>
      <c r="J388" s="33"/>
      <c r="K388" s="76"/>
      <c r="L388" s="33">
        <f t="shared" si="35"/>
        <v>0</v>
      </c>
      <c r="M388" s="76"/>
      <c r="N388" s="34"/>
      <c r="O388" s="35">
        <f t="shared" si="36"/>
        <v>0</v>
      </c>
      <c r="P388" s="36"/>
    </row>
    <row r="389" spans="2:16" ht="17" x14ac:dyDescent="0.2">
      <c r="B389" s="43"/>
      <c r="C389" s="50" t="s">
        <v>579</v>
      </c>
      <c r="D389" s="50"/>
      <c r="E389" s="68">
        <f>SUM(E347:E388)</f>
        <v>1138.08</v>
      </c>
      <c r="F389" s="77">
        <f t="shared" ref="F389:H389" si="40">SUM(F347:F388)</f>
        <v>151600</v>
      </c>
      <c r="G389" s="57">
        <f t="shared" si="40"/>
        <v>10000</v>
      </c>
      <c r="H389" s="68">
        <f t="shared" si="40"/>
        <v>5050</v>
      </c>
      <c r="I389" s="68">
        <f t="shared" si="34"/>
        <v>50.5</v>
      </c>
      <c r="J389" s="57">
        <f t="shared" ref="J389:K389" si="41">SUM(J347:J388)</f>
        <v>4500</v>
      </c>
      <c r="K389" s="68">
        <f t="shared" si="41"/>
        <v>2700</v>
      </c>
      <c r="L389" s="68">
        <f t="shared" si="35"/>
        <v>60</v>
      </c>
      <c r="M389" s="68">
        <f t="shared" ref="M389:N389" si="42">SUM(M347:M388)</f>
        <v>8600</v>
      </c>
      <c r="N389" s="68">
        <f t="shared" si="42"/>
        <v>4200</v>
      </c>
      <c r="O389" s="68">
        <f t="shared" si="36"/>
        <v>48.837209302325583</v>
      </c>
      <c r="P389" s="40"/>
    </row>
    <row r="390" spans="2:16" x14ac:dyDescent="0.2">
      <c r="B390" s="41" t="s">
        <v>587</v>
      </c>
      <c r="C390" s="30">
        <v>1998</v>
      </c>
      <c r="D390" s="30" t="s">
        <v>416</v>
      </c>
      <c r="E390" s="31">
        <v>31.13</v>
      </c>
      <c r="F390" s="32">
        <v>4320</v>
      </c>
      <c r="G390" s="33"/>
      <c r="H390" s="34"/>
      <c r="I390" s="35">
        <f t="shared" si="34"/>
        <v>0</v>
      </c>
      <c r="J390" s="33">
        <v>300</v>
      </c>
      <c r="K390" s="34">
        <v>300</v>
      </c>
      <c r="L390" s="35">
        <f t="shared" si="35"/>
        <v>100</v>
      </c>
      <c r="M390" s="34"/>
      <c r="N390" s="34"/>
      <c r="O390" s="35">
        <f t="shared" si="36"/>
        <v>0</v>
      </c>
      <c r="P390" s="36"/>
    </row>
    <row r="391" spans="2:16" x14ac:dyDescent="0.2">
      <c r="B391" s="41" t="s">
        <v>587</v>
      </c>
      <c r="C391" s="30">
        <v>1998</v>
      </c>
      <c r="D391" s="30" t="s">
        <v>417</v>
      </c>
      <c r="E391" s="31">
        <v>29.82</v>
      </c>
      <c r="F391" s="32">
        <v>4020</v>
      </c>
      <c r="G391" s="33"/>
      <c r="H391" s="34">
        <v>1000</v>
      </c>
      <c r="I391" s="35">
        <f t="shared" si="34"/>
        <v>0</v>
      </c>
      <c r="J391" s="33"/>
      <c r="K391" s="34"/>
      <c r="L391" s="35">
        <f t="shared" si="35"/>
        <v>0</v>
      </c>
      <c r="M391" s="34"/>
      <c r="N391" s="34"/>
      <c r="O391" s="35">
        <f t="shared" si="36"/>
        <v>0</v>
      </c>
      <c r="P391" s="36"/>
    </row>
    <row r="392" spans="2:16" x14ac:dyDescent="0.2">
      <c r="B392" s="41" t="s">
        <v>587</v>
      </c>
      <c r="C392" s="30">
        <v>1998</v>
      </c>
      <c r="D392" s="30" t="s">
        <v>424</v>
      </c>
      <c r="E392" s="31">
        <v>29.64</v>
      </c>
      <c r="F392" s="32">
        <v>4097</v>
      </c>
      <c r="G392" s="33"/>
      <c r="H392" s="34"/>
      <c r="I392" s="35">
        <f t="shared" si="34"/>
        <v>0</v>
      </c>
      <c r="J392" s="33"/>
      <c r="K392" s="34"/>
      <c r="L392" s="35">
        <f t="shared" si="35"/>
        <v>0</v>
      </c>
      <c r="M392" s="34"/>
      <c r="N392" s="34"/>
      <c r="O392" s="35">
        <f t="shared" si="36"/>
        <v>0</v>
      </c>
      <c r="P392" s="36"/>
    </row>
    <row r="393" spans="2:16" x14ac:dyDescent="0.2">
      <c r="B393" s="41" t="s">
        <v>587</v>
      </c>
      <c r="C393" s="30">
        <v>1998</v>
      </c>
      <c r="D393" s="30" t="s">
        <v>402</v>
      </c>
      <c r="E393" s="31">
        <v>29.53</v>
      </c>
      <c r="F393" s="32">
        <v>3855</v>
      </c>
      <c r="G393" s="33"/>
      <c r="H393" s="34"/>
      <c r="I393" s="35">
        <f t="shared" si="34"/>
        <v>0</v>
      </c>
      <c r="J393" s="33"/>
      <c r="K393" s="34"/>
      <c r="L393" s="35">
        <f t="shared" si="35"/>
        <v>0</v>
      </c>
      <c r="M393" s="34"/>
      <c r="N393" s="34"/>
      <c r="O393" s="35">
        <f t="shared" si="36"/>
        <v>0</v>
      </c>
      <c r="P393" s="36"/>
    </row>
    <row r="394" spans="2:16" x14ac:dyDescent="0.2">
      <c r="B394" s="41" t="s">
        <v>587</v>
      </c>
      <c r="C394" s="30">
        <v>1998</v>
      </c>
      <c r="D394" s="30" t="s">
        <v>403</v>
      </c>
      <c r="E394" s="31">
        <v>30.31</v>
      </c>
      <c r="F394" s="32">
        <v>3958</v>
      </c>
      <c r="G394" s="33"/>
      <c r="H394" s="34"/>
      <c r="I394" s="35">
        <f t="shared" ref="I394:I457" si="43">IFERROR(H394/G394%,0)</f>
        <v>0</v>
      </c>
      <c r="J394" s="33"/>
      <c r="K394" s="34"/>
      <c r="L394" s="35">
        <f t="shared" ref="L394:L457" si="44">IFERROR(K394/J394%,0)</f>
        <v>0</v>
      </c>
      <c r="M394" s="34"/>
      <c r="N394" s="34"/>
      <c r="O394" s="35">
        <f t="shared" ref="O394:O457" si="45">IFERROR(N394/M394%,0)</f>
        <v>0</v>
      </c>
      <c r="P394" s="36"/>
    </row>
    <row r="395" spans="2:16" x14ac:dyDescent="0.2">
      <c r="B395" s="41" t="s">
        <v>587</v>
      </c>
      <c r="C395" s="30">
        <v>1998</v>
      </c>
      <c r="D395" s="30" t="s">
        <v>404</v>
      </c>
      <c r="E395" s="31">
        <v>29.13</v>
      </c>
      <c r="F395" s="32">
        <v>3805</v>
      </c>
      <c r="G395" s="33">
        <v>1000</v>
      </c>
      <c r="H395" s="34">
        <v>1000</v>
      </c>
      <c r="I395" s="35">
        <f t="shared" si="43"/>
        <v>100</v>
      </c>
      <c r="J395" s="33"/>
      <c r="K395" s="34"/>
      <c r="L395" s="35">
        <f t="shared" si="44"/>
        <v>0</v>
      </c>
      <c r="M395" s="34"/>
      <c r="N395" s="34"/>
      <c r="O395" s="35">
        <f t="shared" si="45"/>
        <v>0</v>
      </c>
      <c r="P395" s="36"/>
    </row>
    <row r="396" spans="2:16" x14ac:dyDescent="0.2">
      <c r="B396" s="41" t="s">
        <v>587</v>
      </c>
      <c r="C396" s="30">
        <v>1998</v>
      </c>
      <c r="D396" s="30" t="s">
        <v>409</v>
      </c>
      <c r="E396" s="31">
        <v>30.7</v>
      </c>
      <c r="F396" s="32">
        <v>4031</v>
      </c>
      <c r="G396" s="33"/>
      <c r="H396" s="34"/>
      <c r="I396" s="35">
        <f t="shared" si="43"/>
        <v>0</v>
      </c>
      <c r="J396" s="33"/>
      <c r="K396" s="34"/>
      <c r="L396" s="35">
        <f t="shared" si="44"/>
        <v>0</v>
      </c>
      <c r="M396" s="34"/>
      <c r="N396" s="34"/>
      <c r="O396" s="35">
        <f t="shared" si="45"/>
        <v>0</v>
      </c>
      <c r="P396" s="36"/>
    </row>
    <row r="397" spans="2:16" x14ac:dyDescent="0.2">
      <c r="B397" s="41" t="s">
        <v>587</v>
      </c>
      <c r="C397" s="30">
        <v>1998</v>
      </c>
      <c r="D397" s="30" t="s">
        <v>410</v>
      </c>
      <c r="E397" s="31">
        <v>30.03</v>
      </c>
      <c r="F397" s="32">
        <v>3871</v>
      </c>
      <c r="G397" s="33"/>
      <c r="H397" s="34">
        <v>1000</v>
      </c>
      <c r="I397" s="35">
        <f t="shared" si="43"/>
        <v>0</v>
      </c>
      <c r="J397" s="33"/>
      <c r="K397" s="34"/>
      <c r="L397" s="35">
        <f t="shared" si="44"/>
        <v>0</v>
      </c>
      <c r="M397" s="34"/>
      <c r="N397" s="34"/>
      <c r="O397" s="35">
        <f t="shared" si="45"/>
        <v>0</v>
      </c>
      <c r="P397" s="36"/>
    </row>
    <row r="398" spans="2:16" x14ac:dyDescent="0.2">
      <c r="B398" s="41" t="s">
        <v>587</v>
      </c>
      <c r="C398" s="30">
        <v>1999</v>
      </c>
      <c r="D398" s="30" t="s">
        <v>415</v>
      </c>
      <c r="E398" s="31">
        <v>29.94</v>
      </c>
      <c r="F398" s="32">
        <v>3972</v>
      </c>
      <c r="G398" s="33"/>
      <c r="H398" s="34"/>
      <c r="I398" s="35">
        <f t="shared" si="43"/>
        <v>0</v>
      </c>
      <c r="J398" s="33"/>
      <c r="K398" s="34"/>
      <c r="L398" s="35">
        <f t="shared" si="44"/>
        <v>0</v>
      </c>
      <c r="M398" s="34"/>
      <c r="N398" s="34"/>
      <c r="O398" s="35">
        <f t="shared" si="45"/>
        <v>0</v>
      </c>
      <c r="P398" s="36"/>
    </row>
    <row r="399" spans="2:16" x14ac:dyDescent="0.2">
      <c r="B399" s="41" t="s">
        <v>587</v>
      </c>
      <c r="C399" s="30">
        <v>1999</v>
      </c>
      <c r="D399" s="30" t="s">
        <v>422</v>
      </c>
      <c r="E399" s="31">
        <v>27.75</v>
      </c>
      <c r="F399" s="32">
        <v>3825</v>
      </c>
      <c r="G399" s="33"/>
      <c r="H399" s="34"/>
      <c r="I399" s="35">
        <f t="shared" si="43"/>
        <v>0</v>
      </c>
      <c r="J399" s="33"/>
      <c r="K399" s="34"/>
      <c r="L399" s="35">
        <f t="shared" si="44"/>
        <v>0</v>
      </c>
      <c r="M399" s="34"/>
      <c r="N399" s="34"/>
      <c r="O399" s="35">
        <f t="shared" si="45"/>
        <v>0</v>
      </c>
      <c r="P399" s="36"/>
    </row>
    <row r="400" spans="2:16" x14ac:dyDescent="0.2">
      <c r="B400" s="41" t="s">
        <v>587</v>
      </c>
      <c r="C400" s="29">
        <v>2003</v>
      </c>
      <c r="D400" s="30" t="s">
        <v>400</v>
      </c>
      <c r="E400" s="31">
        <v>29.3</v>
      </c>
      <c r="F400" s="32">
        <v>4035</v>
      </c>
      <c r="G400" s="33"/>
      <c r="H400" s="34"/>
      <c r="I400" s="35">
        <f t="shared" si="43"/>
        <v>0</v>
      </c>
      <c r="J400" s="33"/>
      <c r="K400" s="34"/>
      <c r="L400" s="35">
        <f t="shared" si="44"/>
        <v>0</v>
      </c>
      <c r="M400" s="34"/>
      <c r="N400" s="34"/>
      <c r="O400" s="35">
        <f t="shared" si="45"/>
        <v>0</v>
      </c>
      <c r="P400" s="36"/>
    </row>
    <row r="401" spans="2:16" x14ac:dyDescent="0.2">
      <c r="B401" s="41" t="s">
        <v>587</v>
      </c>
      <c r="C401" s="29">
        <v>2004</v>
      </c>
      <c r="D401" s="30" t="s">
        <v>401</v>
      </c>
      <c r="E401" s="31">
        <v>29.7</v>
      </c>
      <c r="F401" s="32">
        <v>4295</v>
      </c>
      <c r="G401" s="33"/>
      <c r="H401" s="34"/>
      <c r="I401" s="35">
        <f t="shared" si="43"/>
        <v>0</v>
      </c>
      <c r="J401" s="33"/>
      <c r="K401" s="34"/>
      <c r="L401" s="35">
        <f t="shared" si="44"/>
        <v>0</v>
      </c>
      <c r="M401" s="34"/>
      <c r="N401" s="34"/>
      <c r="O401" s="35">
        <f t="shared" si="45"/>
        <v>0</v>
      </c>
      <c r="P401" s="36"/>
    </row>
    <row r="402" spans="2:16" x14ac:dyDescent="0.2">
      <c r="B402" s="41" t="s">
        <v>587</v>
      </c>
      <c r="C402" s="29">
        <v>2004</v>
      </c>
      <c r="D402" s="30" t="s">
        <v>407</v>
      </c>
      <c r="E402" s="31">
        <v>29.43</v>
      </c>
      <c r="F402" s="32">
        <v>4341</v>
      </c>
      <c r="G402" s="33"/>
      <c r="H402" s="34"/>
      <c r="I402" s="35">
        <f t="shared" si="43"/>
        <v>0</v>
      </c>
      <c r="J402" s="33"/>
      <c r="K402" s="34"/>
      <c r="L402" s="35">
        <f t="shared" si="44"/>
        <v>0</v>
      </c>
      <c r="M402" s="34"/>
      <c r="N402" s="34"/>
      <c r="O402" s="35">
        <f t="shared" si="45"/>
        <v>0</v>
      </c>
      <c r="P402" s="36"/>
    </row>
    <row r="403" spans="2:16" x14ac:dyDescent="0.2">
      <c r="B403" s="41" t="s">
        <v>587</v>
      </c>
      <c r="C403" s="29">
        <v>2004</v>
      </c>
      <c r="D403" s="30" t="s">
        <v>408</v>
      </c>
      <c r="E403" s="31">
        <v>29.88</v>
      </c>
      <c r="F403" s="32">
        <v>4209</v>
      </c>
      <c r="G403" s="33"/>
      <c r="H403" s="34"/>
      <c r="I403" s="35">
        <f t="shared" si="43"/>
        <v>0</v>
      </c>
      <c r="J403" s="33"/>
      <c r="K403" s="34"/>
      <c r="L403" s="35">
        <f t="shared" si="44"/>
        <v>0</v>
      </c>
      <c r="M403" s="34"/>
      <c r="N403" s="34"/>
      <c r="O403" s="35">
        <f t="shared" si="45"/>
        <v>0</v>
      </c>
      <c r="P403" s="36"/>
    </row>
    <row r="404" spans="2:16" x14ac:dyDescent="0.2">
      <c r="B404" s="41" t="s">
        <v>587</v>
      </c>
      <c r="C404" s="29">
        <v>2004</v>
      </c>
      <c r="D404" s="30" t="s">
        <v>414</v>
      </c>
      <c r="E404" s="31">
        <v>29.51</v>
      </c>
      <c r="F404" s="32">
        <v>4000</v>
      </c>
      <c r="G404" s="33"/>
      <c r="H404" s="34"/>
      <c r="I404" s="35">
        <f t="shared" si="43"/>
        <v>0</v>
      </c>
      <c r="J404" s="33"/>
      <c r="K404" s="34"/>
      <c r="L404" s="35">
        <f t="shared" si="44"/>
        <v>0</v>
      </c>
      <c r="M404" s="34"/>
      <c r="N404" s="34"/>
      <c r="O404" s="35">
        <f t="shared" si="45"/>
        <v>0</v>
      </c>
      <c r="P404" s="36"/>
    </row>
    <row r="405" spans="2:16" x14ac:dyDescent="0.2">
      <c r="B405" s="41" t="s">
        <v>587</v>
      </c>
      <c r="C405" s="29">
        <v>2004</v>
      </c>
      <c r="D405" s="30" t="s">
        <v>423</v>
      </c>
      <c r="E405" s="31">
        <v>30.47</v>
      </c>
      <c r="F405" s="32">
        <v>3937</v>
      </c>
      <c r="G405" s="33"/>
      <c r="H405" s="34"/>
      <c r="I405" s="35">
        <f t="shared" si="43"/>
        <v>0</v>
      </c>
      <c r="J405" s="33">
        <v>300</v>
      </c>
      <c r="K405" s="34">
        <v>300</v>
      </c>
      <c r="L405" s="35">
        <f t="shared" si="44"/>
        <v>100</v>
      </c>
      <c r="M405" s="34"/>
      <c r="N405" s="34"/>
      <c r="O405" s="35">
        <f t="shared" si="45"/>
        <v>0</v>
      </c>
      <c r="P405" s="36"/>
    </row>
    <row r="406" spans="2:16" x14ac:dyDescent="0.2">
      <c r="B406" s="41" t="s">
        <v>587</v>
      </c>
      <c r="C406" s="29">
        <v>2005</v>
      </c>
      <c r="D406" s="30" t="s">
        <v>431</v>
      </c>
      <c r="E406" s="31">
        <v>29.72</v>
      </c>
      <c r="F406" s="32">
        <v>4026</v>
      </c>
      <c r="G406" s="33"/>
      <c r="H406" s="34"/>
      <c r="I406" s="35">
        <f t="shared" si="43"/>
        <v>0</v>
      </c>
      <c r="J406" s="33"/>
      <c r="K406" s="34"/>
      <c r="L406" s="35">
        <f t="shared" si="44"/>
        <v>0</v>
      </c>
      <c r="M406" s="34"/>
      <c r="N406" s="34"/>
      <c r="O406" s="35">
        <f t="shared" si="45"/>
        <v>0</v>
      </c>
      <c r="P406" s="36"/>
    </row>
    <row r="407" spans="2:16" x14ac:dyDescent="0.2">
      <c r="B407" s="41" t="s">
        <v>587</v>
      </c>
      <c r="C407" s="29">
        <v>2005</v>
      </c>
      <c r="D407" s="30" t="s">
        <v>438</v>
      </c>
      <c r="E407" s="31">
        <v>12.88</v>
      </c>
      <c r="F407" s="32">
        <v>1677</v>
      </c>
      <c r="G407" s="33"/>
      <c r="H407" s="34"/>
      <c r="I407" s="35">
        <f t="shared" si="43"/>
        <v>0</v>
      </c>
      <c r="J407" s="33"/>
      <c r="K407" s="34"/>
      <c r="L407" s="35">
        <f t="shared" si="44"/>
        <v>0</v>
      </c>
      <c r="M407" s="34"/>
      <c r="N407" s="34"/>
      <c r="O407" s="35">
        <f t="shared" si="45"/>
        <v>0</v>
      </c>
      <c r="P407" s="36"/>
    </row>
    <row r="408" spans="2:16" x14ac:dyDescent="0.2">
      <c r="B408" s="41" t="s">
        <v>587</v>
      </c>
      <c r="C408" s="29">
        <v>2005</v>
      </c>
      <c r="D408" s="30" t="s">
        <v>405</v>
      </c>
      <c r="E408" s="31">
        <v>20.56</v>
      </c>
      <c r="F408" s="32">
        <v>2814</v>
      </c>
      <c r="G408" s="33"/>
      <c r="H408" s="34"/>
      <c r="I408" s="35">
        <f t="shared" si="43"/>
        <v>0</v>
      </c>
      <c r="J408" s="33"/>
      <c r="K408" s="34"/>
      <c r="L408" s="35">
        <f t="shared" si="44"/>
        <v>0</v>
      </c>
      <c r="M408" s="34"/>
      <c r="N408" s="34"/>
      <c r="O408" s="35">
        <f t="shared" si="45"/>
        <v>0</v>
      </c>
      <c r="P408" s="36"/>
    </row>
    <row r="409" spans="2:16" x14ac:dyDescent="0.2">
      <c r="B409" s="41" t="s">
        <v>587</v>
      </c>
      <c r="C409" s="29">
        <v>2005</v>
      </c>
      <c r="D409" s="30" t="s">
        <v>406</v>
      </c>
      <c r="E409" s="31">
        <v>30.48</v>
      </c>
      <c r="F409" s="32">
        <v>4218</v>
      </c>
      <c r="G409" s="33"/>
      <c r="H409" s="34"/>
      <c r="I409" s="35">
        <f t="shared" si="43"/>
        <v>0</v>
      </c>
      <c r="J409" s="33"/>
      <c r="K409" s="34"/>
      <c r="L409" s="35">
        <f t="shared" si="44"/>
        <v>0</v>
      </c>
      <c r="M409" s="34"/>
      <c r="N409" s="34"/>
      <c r="O409" s="35">
        <f t="shared" si="45"/>
        <v>0</v>
      </c>
      <c r="P409" s="36"/>
    </row>
    <row r="410" spans="2:16" x14ac:dyDescent="0.2">
      <c r="B410" s="41" t="s">
        <v>587</v>
      </c>
      <c r="C410" s="29">
        <v>2005</v>
      </c>
      <c r="D410" s="30" t="s">
        <v>411</v>
      </c>
      <c r="E410" s="31">
        <v>20.010000000000002</v>
      </c>
      <c r="F410" s="32">
        <v>2570</v>
      </c>
      <c r="G410" s="33"/>
      <c r="H410" s="34"/>
      <c r="I410" s="35">
        <f t="shared" si="43"/>
        <v>0</v>
      </c>
      <c r="J410" s="33"/>
      <c r="K410" s="34"/>
      <c r="L410" s="35">
        <f t="shared" si="44"/>
        <v>0</v>
      </c>
      <c r="M410" s="34"/>
      <c r="N410" s="34"/>
      <c r="O410" s="35">
        <f t="shared" si="45"/>
        <v>0</v>
      </c>
      <c r="P410" s="36"/>
    </row>
    <row r="411" spans="2:16" x14ac:dyDescent="0.2">
      <c r="B411" s="41" t="s">
        <v>587</v>
      </c>
      <c r="C411" s="29">
        <v>2005</v>
      </c>
      <c r="D411" s="30" t="s">
        <v>412</v>
      </c>
      <c r="E411" s="31">
        <v>28.2</v>
      </c>
      <c r="F411" s="32">
        <v>3953</v>
      </c>
      <c r="G411" s="33"/>
      <c r="H411" s="34"/>
      <c r="I411" s="35">
        <f t="shared" si="43"/>
        <v>0</v>
      </c>
      <c r="J411" s="33"/>
      <c r="K411" s="34"/>
      <c r="L411" s="35">
        <f t="shared" si="44"/>
        <v>0</v>
      </c>
      <c r="M411" s="34"/>
      <c r="N411" s="34"/>
      <c r="O411" s="35">
        <f t="shared" si="45"/>
        <v>0</v>
      </c>
      <c r="P411" s="36"/>
    </row>
    <row r="412" spans="2:16" x14ac:dyDescent="0.2">
      <c r="B412" s="41" t="s">
        <v>587</v>
      </c>
      <c r="C412" s="29">
        <v>2005</v>
      </c>
      <c r="D412" s="30" t="s">
        <v>413</v>
      </c>
      <c r="E412" s="31">
        <v>30.71</v>
      </c>
      <c r="F412" s="32">
        <v>4046</v>
      </c>
      <c r="G412" s="33"/>
      <c r="H412" s="34"/>
      <c r="I412" s="35">
        <f t="shared" si="43"/>
        <v>0</v>
      </c>
      <c r="J412" s="33"/>
      <c r="K412" s="34"/>
      <c r="L412" s="35">
        <f t="shared" si="44"/>
        <v>0</v>
      </c>
      <c r="M412" s="34"/>
      <c r="N412" s="34"/>
      <c r="O412" s="35">
        <f t="shared" si="45"/>
        <v>0</v>
      </c>
      <c r="P412" s="36"/>
    </row>
    <row r="413" spans="2:16" x14ac:dyDescent="0.2">
      <c r="B413" s="41" t="s">
        <v>587</v>
      </c>
      <c r="C413" s="29">
        <v>2005</v>
      </c>
      <c r="D413" s="30" t="s">
        <v>418</v>
      </c>
      <c r="E413" s="31">
        <v>27.73</v>
      </c>
      <c r="F413" s="32">
        <v>3293</v>
      </c>
      <c r="G413" s="33"/>
      <c r="H413" s="34"/>
      <c r="I413" s="35">
        <f t="shared" si="43"/>
        <v>0</v>
      </c>
      <c r="J413" s="33"/>
      <c r="K413" s="34"/>
      <c r="L413" s="35">
        <f t="shared" si="44"/>
        <v>0</v>
      </c>
      <c r="M413" s="34"/>
      <c r="N413" s="34"/>
      <c r="O413" s="35">
        <f t="shared" si="45"/>
        <v>0</v>
      </c>
      <c r="P413" s="36"/>
    </row>
    <row r="414" spans="2:16" x14ac:dyDescent="0.2">
      <c r="B414" s="41" t="s">
        <v>587</v>
      </c>
      <c r="C414" s="29">
        <v>2005</v>
      </c>
      <c r="D414" s="30" t="s">
        <v>419</v>
      </c>
      <c r="E414" s="31">
        <v>29.41</v>
      </c>
      <c r="F414" s="32">
        <v>3901</v>
      </c>
      <c r="G414" s="33"/>
      <c r="H414" s="34"/>
      <c r="I414" s="35">
        <f t="shared" si="43"/>
        <v>0</v>
      </c>
      <c r="J414" s="33"/>
      <c r="K414" s="34"/>
      <c r="L414" s="35">
        <f t="shared" si="44"/>
        <v>0</v>
      </c>
      <c r="M414" s="34"/>
      <c r="N414" s="34"/>
      <c r="O414" s="35">
        <f t="shared" si="45"/>
        <v>0</v>
      </c>
      <c r="P414" s="36"/>
    </row>
    <row r="415" spans="2:16" x14ac:dyDescent="0.2">
      <c r="B415" s="41" t="s">
        <v>587</v>
      </c>
      <c r="C415" s="29">
        <v>2005</v>
      </c>
      <c r="D415" s="30" t="s">
        <v>420</v>
      </c>
      <c r="E415" s="31">
        <v>30.7</v>
      </c>
      <c r="F415" s="32">
        <v>3946</v>
      </c>
      <c r="G415" s="33"/>
      <c r="H415" s="34"/>
      <c r="I415" s="35">
        <f t="shared" si="43"/>
        <v>0</v>
      </c>
      <c r="J415" s="33"/>
      <c r="K415" s="34"/>
      <c r="L415" s="35">
        <f t="shared" si="44"/>
        <v>0</v>
      </c>
      <c r="M415" s="34"/>
      <c r="N415" s="34"/>
      <c r="O415" s="35">
        <f t="shared" si="45"/>
        <v>0</v>
      </c>
      <c r="P415" s="36"/>
    </row>
    <row r="416" spans="2:16" x14ac:dyDescent="0.2">
      <c r="B416" s="41" t="s">
        <v>587</v>
      </c>
      <c r="C416" s="29">
        <v>2005</v>
      </c>
      <c r="D416" s="30" t="s">
        <v>421</v>
      </c>
      <c r="E416" s="31">
        <v>29.28</v>
      </c>
      <c r="F416" s="32">
        <v>3948</v>
      </c>
      <c r="G416" s="33">
        <v>1000</v>
      </c>
      <c r="H416" s="34">
        <v>200</v>
      </c>
      <c r="I416" s="35">
        <f t="shared" si="43"/>
        <v>20</v>
      </c>
      <c r="J416" s="33"/>
      <c r="K416" s="34"/>
      <c r="L416" s="35">
        <f t="shared" si="44"/>
        <v>0</v>
      </c>
      <c r="M416" s="34"/>
      <c r="N416" s="34"/>
      <c r="O416" s="35">
        <f t="shared" si="45"/>
        <v>0</v>
      </c>
      <c r="P416" s="36"/>
    </row>
    <row r="417" spans="2:16" x14ac:dyDescent="0.2">
      <c r="B417" s="41" t="s">
        <v>587</v>
      </c>
      <c r="C417" s="29">
        <v>2005</v>
      </c>
      <c r="D417" s="30" t="s">
        <v>425</v>
      </c>
      <c r="E417" s="31">
        <v>19.600000000000001</v>
      </c>
      <c r="F417" s="32">
        <v>1854</v>
      </c>
      <c r="G417" s="33"/>
      <c r="H417" s="34"/>
      <c r="I417" s="35">
        <f t="shared" si="43"/>
        <v>0</v>
      </c>
      <c r="J417" s="33"/>
      <c r="K417" s="34"/>
      <c r="L417" s="35">
        <f t="shared" si="44"/>
        <v>0</v>
      </c>
      <c r="M417" s="34"/>
      <c r="N417" s="34"/>
      <c r="O417" s="35">
        <f t="shared" si="45"/>
        <v>0</v>
      </c>
      <c r="P417" s="36"/>
    </row>
    <row r="418" spans="2:16" x14ac:dyDescent="0.2">
      <c r="B418" s="41" t="s">
        <v>587</v>
      </c>
      <c r="C418" s="29">
        <v>2005</v>
      </c>
      <c r="D418" s="30" t="s">
        <v>426</v>
      </c>
      <c r="E418" s="31">
        <v>30.05</v>
      </c>
      <c r="F418" s="32">
        <v>4006</v>
      </c>
      <c r="G418" s="33"/>
      <c r="H418" s="34"/>
      <c r="I418" s="35">
        <f t="shared" si="43"/>
        <v>0</v>
      </c>
      <c r="J418" s="33"/>
      <c r="K418" s="34"/>
      <c r="L418" s="35">
        <f t="shared" si="44"/>
        <v>0</v>
      </c>
      <c r="M418" s="34"/>
      <c r="N418" s="34"/>
      <c r="O418" s="35">
        <f t="shared" si="45"/>
        <v>0</v>
      </c>
      <c r="P418" s="36"/>
    </row>
    <row r="419" spans="2:16" x14ac:dyDescent="0.2">
      <c r="B419" s="41" t="s">
        <v>587</v>
      </c>
      <c r="C419" s="29">
        <v>2005</v>
      </c>
      <c r="D419" s="30" t="s">
        <v>427</v>
      </c>
      <c r="E419" s="31">
        <v>30.94</v>
      </c>
      <c r="F419" s="32">
        <v>4213</v>
      </c>
      <c r="G419" s="33"/>
      <c r="H419" s="34"/>
      <c r="I419" s="35">
        <f t="shared" si="43"/>
        <v>0</v>
      </c>
      <c r="J419" s="33"/>
      <c r="K419" s="34"/>
      <c r="L419" s="35">
        <f t="shared" si="44"/>
        <v>0</v>
      </c>
      <c r="M419" s="34"/>
      <c r="N419" s="34"/>
      <c r="O419" s="35">
        <f t="shared" si="45"/>
        <v>0</v>
      </c>
      <c r="P419" s="36"/>
    </row>
    <row r="420" spans="2:16" x14ac:dyDescent="0.2">
      <c r="B420" s="41" t="s">
        <v>587</v>
      </c>
      <c r="C420" s="29">
        <v>2005</v>
      </c>
      <c r="D420" s="30" t="s">
        <v>428</v>
      </c>
      <c r="E420" s="31">
        <v>28.47</v>
      </c>
      <c r="F420" s="32">
        <v>3988</v>
      </c>
      <c r="G420" s="33"/>
      <c r="H420" s="34"/>
      <c r="I420" s="35">
        <f t="shared" si="43"/>
        <v>0</v>
      </c>
      <c r="J420" s="33"/>
      <c r="K420" s="34"/>
      <c r="L420" s="35">
        <f t="shared" si="44"/>
        <v>0</v>
      </c>
      <c r="M420" s="34"/>
      <c r="N420" s="34"/>
      <c r="O420" s="35">
        <f t="shared" si="45"/>
        <v>0</v>
      </c>
      <c r="P420" s="36"/>
    </row>
    <row r="421" spans="2:16" x14ac:dyDescent="0.2">
      <c r="B421" s="41" t="s">
        <v>587</v>
      </c>
      <c r="C421" s="29">
        <v>2005</v>
      </c>
      <c r="D421" s="30" t="s">
        <v>429</v>
      </c>
      <c r="E421" s="31">
        <v>29.48</v>
      </c>
      <c r="F421" s="32">
        <v>4313</v>
      </c>
      <c r="G421" s="33"/>
      <c r="H421" s="34"/>
      <c r="I421" s="35">
        <f t="shared" si="43"/>
        <v>0</v>
      </c>
      <c r="J421" s="33"/>
      <c r="K421" s="34"/>
      <c r="L421" s="35">
        <f t="shared" si="44"/>
        <v>0</v>
      </c>
      <c r="M421" s="34"/>
      <c r="N421" s="34"/>
      <c r="O421" s="35">
        <f t="shared" si="45"/>
        <v>0</v>
      </c>
      <c r="P421" s="36"/>
    </row>
    <row r="422" spans="2:16" x14ac:dyDescent="0.2">
      <c r="B422" s="41" t="s">
        <v>587</v>
      </c>
      <c r="C422" s="29">
        <v>2005</v>
      </c>
      <c r="D422" s="30" t="s">
        <v>430</v>
      </c>
      <c r="E422" s="31">
        <v>29.95</v>
      </c>
      <c r="F422" s="32">
        <v>4091</v>
      </c>
      <c r="G422" s="33"/>
      <c r="H422" s="34"/>
      <c r="I422" s="35">
        <f t="shared" si="43"/>
        <v>0</v>
      </c>
      <c r="J422" s="33"/>
      <c r="K422" s="34"/>
      <c r="L422" s="35">
        <f t="shared" si="44"/>
        <v>0</v>
      </c>
      <c r="M422" s="34"/>
      <c r="N422" s="34"/>
      <c r="O422" s="35">
        <f t="shared" si="45"/>
        <v>0</v>
      </c>
      <c r="P422" s="36"/>
    </row>
    <row r="423" spans="2:16" x14ac:dyDescent="0.2">
      <c r="B423" s="41" t="s">
        <v>587</v>
      </c>
      <c r="C423" s="29">
        <v>2005</v>
      </c>
      <c r="D423" s="30" t="s">
        <v>399</v>
      </c>
      <c r="E423" s="31">
        <v>31.47</v>
      </c>
      <c r="F423" s="32">
        <v>3932</v>
      </c>
      <c r="G423" s="33"/>
      <c r="H423" s="34"/>
      <c r="I423" s="35">
        <f t="shared" si="43"/>
        <v>0</v>
      </c>
      <c r="J423" s="33"/>
      <c r="K423" s="34"/>
      <c r="L423" s="35">
        <f t="shared" si="44"/>
        <v>0</v>
      </c>
      <c r="M423" s="34"/>
      <c r="N423" s="34"/>
      <c r="O423" s="35">
        <f t="shared" si="45"/>
        <v>0</v>
      </c>
      <c r="P423" s="36"/>
    </row>
    <row r="424" spans="2:16" x14ac:dyDescent="0.2">
      <c r="B424" s="41" t="s">
        <v>587</v>
      </c>
      <c r="C424" s="29">
        <v>2006</v>
      </c>
      <c r="D424" s="30" t="s">
        <v>432</v>
      </c>
      <c r="E424" s="31">
        <v>18.61</v>
      </c>
      <c r="F424" s="32">
        <v>2028</v>
      </c>
      <c r="G424" s="33"/>
      <c r="H424" s="34"/>
      <c r="I424" s="35">
        <f t="shared" si="43"/>
        <v>0</v>
      </c>
      <c r="J424" s="33"/>
      <c r="K424" s="34"/>
      <c r="L424" s="35">
        <f t="shared" si="44"/>
        <v>0</v>
      </c>
      <c r="M424" s="34"/>
      <c r="N424" s="34"/>
      <c r="O424" s="35">
        <f t="shared" si="45"/>
        <v>0</v>
      </c>
      <c r="P424" s="36"/>
    </row>
    <row r="425" spans="2:16" x14ac:dyDescent="0.2">
      <c r="B425" s="41" t="s">
        <v>587</v>
      </c>
      <c r="C425" s="29">
        <v>2006</v>
      </c>
      <c r="D425" s="30" t="s">
        <v>433</v>
      </c>
      <c r="E425" s="31">
        <v>36.96</v>
      </c>
      <c r="F425" s="32">
        <v>4822</v>
      </c>
      <c r="G425" s="33"/>
      <c r="H425" s="34"/>
      <c r="I425" s="35">
        <f t="shared" si="43"/>
        <v>0</v>
      </c>
      <c r="J425" s="33"/>
      <c r="K425" s="34"/>
      <c r="L425" s="35">
        <f t="shared" si="44"/>
        <v>0</v>
      </c>
      <c r="M425" s="34"/>
      <c r="N425" s="34"/>
      <c r="O425" s="35">
        <f t="shared" si="45"/>
        <v>0</v>
      </c>
      <c r="P425" s="36"/>
    </row>
    <row r="426" spans="2:16" x14ac:dyDescent="0.2">
      <c r="B426" s="41" t="s">
        <v>587</v>
      </c>
      <c r="C426" s="29">
        <v>2006</v>
      </c>
      <c r="D426" s="30" t="s">
        <v>434</v>
      </c>
      <c r="E426" s="31">
        <v>35.15</v>
      </c>
      <c r="F426" s="32">
        <v>4722</v>
      </c>
      <c r="G426" s="33"/>
      <c r="H426" s="34"/>
      <c r="I426" s="35">
        <f t="shared" si="43"/>
        <v>0</v>
      </c>
      <c r="J426" s="33"/>
      <c r="K426" s="34"/>
      <c r="L426" s="35">
        <f t="shared" si="44"/>
        <v>0</v>
      </c>
      <c r="M426" s="34"/>
      <c r="N426" s="34"/>
      <c r="O426" s="35">
        <f t="shared" si="45"/>
        <v>0</v>
      </c>
      <c r="P426" s="36"/>
    </row>
    <row r="427" spans="2:16" x14ac:dyDescent="0.2">
      <c r="B427" s="41" t="s">
        <v>587</v>
      </c>
      <c r="C427" s="29">
        <v>2006</v>
      </c>
      <c r="D427" s="30" t="s">
        <v>435</v>
      </c>
      <c r="E427" s="31">
        <v>26.85</v>
      </c>
      <c r="F427" s="32">
        <v>3653</v>
      </c>
      <c r="G427" s="33"/>
      <c r="H427" s="34"/>
      <c r="I427" s="35">
        <f t="shared" si="43"/>
        <v>0</v>
      </c>
      <c r="J427" s="33"/>
      <c r="K427" s="34"/>
      <c r="L427" s="35">
        <f t="shared" si="44"/>
        <v>0</v>
      </c>
      <c r="M427" s="34"/>
      <c r="N427" s="34"/>
      <c r="O427" s="35">
        <f t="shared" si="45"/>
        <v>0</v>
      </c>
      <c r="P427" s="36"/>
    </row>
    <row r="428" spans="2:16" x14ac:dyDescent="0.2">
      <c r="B428" s="41" t="s">
        <v>587</v>
      </c>
      <c r="C428" s="29">
        <v>2006</v>
      </c>
      <c r="D428" s="30" t="s">
        <v>436</v>
      </c>
      <c r="E428" s="31">
        <v>24.09</v>
      </c>
      <c r="F428" s="32">
        <v>3310</v>
      </c>
      <c r="G428" s="33"/>
      <c r="H428" s="34"/>
      <c r="I428" s="35">
        <f t="shared" si="43"/>
        <v>0</v>
      </c>
      <c r="J428" s="33"/>
      <c r="K428" s="34"/>
      <c r="L428" s="35">
        <f t="shared" si="44"/>
        <v>0</v>
      </c>
      <c r="M428" s="34"/>
      <c r="N428" s="34"/>
      <c r="O428" s="35">
        <f t="shared" si="45"/>
        <v>0</v>
      </c>
      <c r="P428" s="36"/>
    </row>
    <row r="429" spans="2:16" x14ac:dyDescent="0.2">
      <c r="B429" s="41" t="s">
        <v>587</v>
      </c>
      <c r="C429" s="29">
        <v>2006</v>
      </c>
      <c r="D429" s="30" t="s">
        <v>437</v>
      </c>
      <c r="E429" s="31">
        <v>16.02</v>
      </c>
      <c r="F429" s="32">
        <v>2210</v>
      </c>
      <c r="G429" s="33"/>
      <c r="H429" s="34"/>
      <c r="I429" s="35">
        <f t="shared" si="43"/>
        <v>0</v>
      </c>
      <c r="J429" s="33"/>
      <c r="K429" s="34"/>
      <c r="L429" s="35">
        <f t="shared" si="44"/>
        <v>0</v>
      </c>
      <c r="M429" s="34"/>
      <c r="N429" s="34"/>
      <c r="O429" s="35">
        <f t="shared" si="45"/>
        <v>0</v>
      </c>
      <c r="P429" s="36"/>
    </row>
    <row r="430" spans="2:16" ht="17" x14ac:dyDescent="0.2">
      <c r="B430" s="43"/>
      <c r="C430" s="50" t="s">
        <v>579</v>
      </c>
      <c r="D430" s="50"/>
      <c r="E430" s="64">
        <f>SUM(E390:E429)</f>
        <v>1123.5900000000001</v>
      </c>
      <c r="F430" s="65">
        <f>SUM(F390:F429)</f>
        <v>150105</v>
      </c>
      <c r="G430" s="57">
        <f t="shared" ref="G430:H430" si="46">SUM(G390:G429)</f>
        <v>2000</v>
      </c>
      <c r="H430" s="64">
        <f t="shared" si="46"/>
        <v>3200</v>
      </c>
      <c r="I430" s="64">
        <f t="shared" si="43"/>
        <v>160</v>
      </c>
      <c r="J430" s="57">
        <f t="shared" ref="J430:K430" si="47">SUM(J390:J429)</f>
        <v>600</v>
      </c>
      <c r="K430" s="64">
        <f t="shared" si="47"/>
        <v>600</v>
      </c>
      <c r="L430" s="64">
        <f t="shared" si="44"/>
        <v>100</v>
      </c>
      <c r="M430" s="64">
        <f t="shared" ref="M430:N430" si="48">SUM(M390:M429)</f>
        <v>0</v>
      </c>
      <c r="N430" s="64">
        <f t="shared" si="48"/>
        <v>0</v>
      </c>
      <c r="O430" s="64">
        <f t="shared" si="45"/>
        <v>0</v>
      </c>
      <c r="P430" s="40"/>
    </row>
    <row r="431" spans="2:16" x14ac:dyDescent="0.2">
      <c r="B431" s="460" t="s">
        <v>588</v>
      </c>
      <c r="C431" s="460"/>
      <c r="D431" s="460"/>
      <c r="E431" s="78">
        <f>+E54+E93+E133+E176+E219+E256+E305+E346+E389+E430</f>
        <v>11305.85</v>
      </c>
      <c r="F431" s="79">
        <f>+F54+F93+F133+F176+F219+F256+F305+F346+F389+F430</f>
        <v>1477824</v>
      </c>
      <c r="G431" s="80">
        <f>+G54+G93+G133+G176+G219+G256+G305+G346+G389+G430</f>
        <v>133276.6</v>
      </c>
      <c r="H431" s="78">
        <f>+H54+H93+H133+H176+H219+H256+H305+H346+H389+H430</f>
        <v>16498.900000000001</v>
      </c>
      <c r="I431" s="78">
        <f t="shared" si="43"/>
        <v>12.379442452763652</v>
      </c>
      <c r="J431" s="80">
        <f>+J54+J93+J133+J176+J219+J256+J305+J346+J389+J430</f>
        <v>47250</v>
      </c>
      <c r="K431" s="78">
        <f>+K54+K93+K133+K176+K219+K256+K305+K346+K389+K430</f>
        <v>9550</v>
      </c>
      <c r="L431" s="78">
        <f t="shared" si="44"/>
        <v>20.211640211640212</v>
      </c>
      <c r="M431" s="78">
        <f>+M54+M93+M133+M176+M219+M256+M305+M346+M389+M430</f>
        <v>19200</v>
      </c>
      <c r="N431" s="78">
        <f>+N54+N93+N133+N176+N219+N256+N305+N346+N389+N430</f>
        <v>13500</v>
      </c>
      <c r="O431" s="78">
        <f t="shared" si="45"/>
        <v>70.3125</v>
      </c>
      <c r="P431" s="81"/>
    </row>
    <row r="432" spans="2:16" ht="17" x14ac:dyDescent="0.2">
      <c r="B432" s="82" t="str">
        <f>C432&amp;D432</f>
        <v>11991</v>
      </c>
      <c r="C432" s="83">
        <v>1</v>
      </c>
      <c r="D432" s="84">
        <v>1991</v>
      </c>
      <c r="E432" s="85">
        <f t="shared" ref="E432:H437" si="49">SUMIF($C$9:$C$53,$D432,E$9:E$53)</f>
        <v>0</v>
      </c>
      <c r="F432" s="86">
        <f t="shared" si="49"/>
        <v>0</v>
      </c>
      <c r="G432" s="87">
        <f t="shared" si="49"/>
        <v>0</v>
      </c>
      <c r="H432" s="85">
        <f t="shared" si="49"/>
        <v>0</v>
      </c>
      <c r="I432" s="85">
        <f t="shared" si="43"/>
        <v>0</v>
      </c>
      <c r="J432" s="87">
        <f t="shared" ref="J432:K437" si="50">SUMIF($C$9:$C$53,$D432,J$9:J$53)</f>
        <v>0</v>
      </c>
      <c r="K432" s="85">
        <f t="shared" si="50"/>
        <v>0</v>
      </c>
      <c r="L432" s="85">
        <f t="shared" si="44"/>
        <v>0</v>
      </c>
      <c r="M432" s="85">
        <f t="shared" ref="M432:N437" si="51">SUMIF($C$9:$C$53,$D432,M$9:M$53)</f>
        <v>0</v>
      </c>
      <c r="N432" s="85">
        <f t="shared" si="51"/>
        <v>0</v>
      </c>
      <c r="O432" s="85">
        <f t="shared" si="45"/>
        <v>0</v>
      </c>
      <c r="P432" s="36"/>
    </row>
    <row r="433" spans="2:16" ht="17" x14ac:dyDescent="0.2">
      <c r="B433" s="88" t="str">
        <f t="shared" ref="B433:B485" si="52">C433&amp;D433</f>
        <v>11997</v>
      </c>
      <c r="C433" s="83">
        <v>1</v>
      </c>
      <c r="D433" s="84">
        <v>1997</v>
      </c>
      <c r="E433" s="85">
        <f t="shared" si="49"/>
        <v>64.599999999999994</v>
      </c>
      <c r="F433" s="86">
        <f t="shared" si="49"/>
        <v>9007</v>
      </c>
      <c r="G433" s="87">
        <f t="shared" si="49"/>
        <v>0</v>
      </c>
      <c r="H433" s="85">
        <f t="shared" si="49"/>
        <v>0</v>
      </c>
      <c r="I433" s="85">
        <f t="shared" si="43"/>
        <v>0</v>
      </c>
      <c r="J433" s="87">
        <f t="shared" si="50"/>
        <v>0</v>
      </c>
      <c r="K433" s="85">
        <f t="shared" si="50"/>
        <v>0</v>
      </c>
      <c r="L433" s="85">
        <f t="shared" si="44"/>
        <v>0</v>
      </c>
      <c r="M433" s="85">
        <f t="shared" si="51"/>
        <v>0</v>
      </c>
      <c r="N433" s="85">
        <f t="shared" si="51"/>
        <v>0</v>
      </c>
      <c r="O433" s="85">
        <f t="shared" si="45"/>
        <v>0</v>
      </c>
      <c r="P433" s="36"/>
    </row>
    <row r="434" spans="2:16" ht="17" x14ac:dyDescent="0.2">
      <c r="B434" s="82" t="str">
        <f t="shared" si="52"/>
        <v>12021</v>
      </c>
      <c r="C434" s="83">
        <v>1</v>
      </c>
      <c r="D434" s="84">
        <v>2021</v>
      </c>
      <c r="E434" s="85">
        <f t="shared" si="49"/>
        <v>200.64</v>
      </c>
      <c r="F434" s="86">
        <f t="shared" si="49"/>
        <v>27291</v>
      </c>
      <c r="G434" s="87">
        <f t="shared" si="49"/>
        <v>2006.4</v>
      </c>
      <c r="H434" s="85">
        <f t="shared" si="49"/>
        <v>1973.9</v>
      </c>
      <c r="I434" s="85">
        <f t="shared" si="43"/>
        <v>98.380183413078157</v>
      </c>
      <c r="J434" s="87">
        <f t="shared" si="50"/>
        <v>0</v>
      </c>
      <c r="K434" s="85">
        <f t="shared" si="50"/>
        <v>0</v>
      </c>
      <c r="L434" s="85">
        <f t="shared" si="44"/>
        <v>0</v>
      </c>
      <c r="M434" s="85">
        <f t="shared" si="51"/>
        <v>0</v>
      </c>
      <c r="N434" s="85">
        <f t="shared" si="51"/>
        <v>0</v>
      </c>
      <c r="O434" s="85">
        <f t="shared" si="45"/>
        <v>0</v>
      </c>
      <c r="P434" s="36"/>
    </row>
    <row r="435" spans="2:16" ht="17" x14ac:dyDescent="0.2">
      <c r="B435" s="82" t="str">
        <f t="shared" si="52"/>
        <v>12024</v>
      </c>
      <c r="C435" s="83">
        <v>1</v>
      </c>
      <c r="D435" s="84">
        <v>2024</v>
      </c>
      <c r="E435" s="85">
        <f t="shared" si="49"/>
        <v>248.70999999999995</v>
      </c>
      <c r="F435" s="86">
        <f t="shared" si="49"/>
        <v>32303</v>
      </c>
      <c r="G435" s="87">
        <f t="shared" si="49"/>
        <v>0</v>
      </c>
      <c r="H435" s="85">
        <f t="shared" si="49"/>
        <v>0</v>
      </c>
      <c r="I435" s="85">
        <f t="shared" si="43"/>
        <v>0</v>
      </c>
      <c r="J435" s="87">
        <f t="shared" si="50"/>
        <v>0</v>
      </c>
      <c r="K435" s="85">
        <f t="shared" si="50"/>
        <v>0</v>
      </c>
      <c r="L435" s="85">
        <f t="shared" si="44"/>
        <v>0</v>
      </c>
      <c r="M435" s="85">
        <f t="shared" si="51"/>
        <v>0</v>
      </c>
      <c r="N435" s="85">
        <f t="shared" si="51"/>
        <v>0</v>
      </c>
      <c r="O435" s="85">
        <f t="shared" si="45"/>
        <v>0</v>
      </c>
      <c r="P435" s="36"/>
    </row>
    <row r="436" spans="2:16" ht="17" x14ac:dyDescent="0.2">
      <c r="B436" s="88" t="str">
        <f t="shared" si="52"/>
        <v>12025</v>
      </c>
      <c r="C436" s="83">
        <v>1</v>
      </c>
      <c r="D436" s="84">
        <v>2025</v>
      </c>
      <c r="E436" s="85">
        <f t="shared" si="49"/>
        <v>293.59000000000003</v>
      </c>
      <c r="F436" s="86">
        <f t="shared" si="49"/>
        <v>37953</v>
      </c>
      <c r="G436" s="87">
        <f t="shared" si="49"/>
        <v>595.20000000000005</v>
      </c>
      <c r="H436" s="85">
        <f t="shared" si="49"/>
        <v>575</v>
      </c>
      <c r="I436" s="85">
        <f t="shared" si="43"/>
        <v>96.606182795698913</v>
      </c>
      <c r="J436" s="87">
        <f t="shared" si="50"/>
        <v>0</v>
      </c>
      <c r="K436" s="85">
        <f t="shared" si="50"/>
        <v>0</v>
      </c>
      <c r="L436" s="85">
        <f t="shared" si="44"/>
        <v>0</v>
      </c>
      <c r="M436" s="85">
        <f t="shared" si="51"/>
        <v>0</v>
      </c>
      <c r="N436" s="85">
        <f t="shared" si="51"/>
        <v>0</v>
      </c>
      <c r="O436" s="85">
        <f t="shared" si="45"/>
        <v>0</v>
      </c>
      <c r="P436" s="36"/>
    </row>
    <row r="437" spans="2:16" ht="17" x14ac:dyDescent="0.2">
      <c r="B437" s="88" t="str">
        <f t="shared" si="52"/>
        <v>12026</v>
      </c>
      <c r="C437" s="83">
        <v>1</v>
      </c>
      <c r="D437" s="84">
        <v>2026</v>
      </c>
      <c r="E437" s="85">
        <f t="shared" si="49"/>
        <v>239.53999999999996</v>
      </c>
      <c r="F437" s="86">
        <f t="shared" si="49"/>
        <v>32487</v>
      </c>
      <c r="G437" s="87">
        <f t="shared" si="49"/>
        <v>0</v>
      </c>
      <c r="H437" s="85">
        <f t="shared" si="49"/>
        <v>0</v>
      </c>
      <c r="I437" s="85">
        <f t="shared" si="43"/>
        <v>0</v>
      </c>
      <c r="J437" s="87">
        <f t="shared" si="50"/>
        <v>0</v>
      </c>
      <c r="K437" s="85">
        <f t="shared" si="50"/>
        <v>0</v>
      </c>
      <c r="L437" s="85">
        <f t="shared" si="44"/>
        <v>0</v>
      </c>
      <c r="M437" s="85">
        <f t="shared" si="51"/>
        <v>0</v>
      </c>
      <c r="N437" s="85">
        <f t="shared" si="51"/>
        <v>0</v>
      </c>
      <c r="O437" s="85">
        <f t="shared" si="45"/>
        <v>0</v>
      </c>
      <c r="P437" s="36"/>
    </row>
    <row r="438" spans="2:16" x14ac:dyDescent="0.2">
      <c r="B438" s="89" t="s">
        <v>589</v>
      </c>
      <c r="C438" s="90"/>
      <c r="D438" s="90"/>
      <c r="E438" s="91">
        <f t="shared" ref="E438:H438" si="53">SUM(E432:E437)</f>
        <v>1047.08</v>
      </c>
      <c r="F438" s="92">
        <f t="shared" si="53"/>
        <v>139041</v>
      </c>
      <c r="G438" s="93">
        <f t="shared" si="53"/>
        <v>2601.6000000000004</v>
      </c>
      <c r="H438" s="91">
        <f t="shared" si="53"/>
        <v>2548.9</v>
      </c>
      <c r="I438" s="91">
        <f t="shared" si="43"/>
        <v>97.97432349323492</v>
      </c>
      <c r="J438" s="93">
        <f t="shared" ref="J438:K438" si="54">SUM(J432:J437)</f>
        <v>0</v>
      </c>
      <c r="K438" s="91">
        <f t="shared" si="54"/>
        <v>0</v>
      </c>
      <c r="L438" s="91">
        <f t="shared" si="44"/>
        <v>0</v>
      </c>
      <c r="M438" s="91">
        <f t="shared" ref="M438:N438" si="55">SUM(M432:M437)</f>
        <v>0</v>
      </c>
      <c r="N438" s="91">
        <f t="shared" si="55"/>
        <v>0</v>
      </c>
      <c r="O438" s="91">
        <f t="shared" si="45"/>
        <v>0</v>
      </c>
      <c r="P438" s="81"/>
    </row>
    <row r="439" spans="2:16" ht="17" x14ac:dyDescent="0.2">
      <c r="B439" s="94" t="str">
        <f t="shared" si="52"/>
        <v>21996</v>
      </c>
      <c r="C439" s="95">
        <v>2</v>
      </c>
      <c r="D439" s="96">
        <v>1996</v>
      </c>
      <c r="E439" s="97">
        <f t="shared" ref="E439:H440" si="56">SUMIF($C$55:$C$92,$D439,E$55:E$92)</f>
        <v>612.41999999999996</v>
      </c>
      <c r="F439" s="98">
        <f t="shared" si="56"/>
        <v>77513</v>
      </c>
      <c r="G439" s="99">
        <f t="shared" si="56"/>
        <v>20000</v>
      </c>
      <c r="H439" s="97">
        <f t="shared" si="56"/>
        <v>1000</v>
      </c>
      <c r="I439" s="97">
        <f t="shared" si="43"/>
        <v>5</v>
      </c>
      <c r="J439" s="99">
        <f>SUMIF($C$55:$C$92,$D439,J$55:J$92)</f>
        <v>6150</v>
      </c>
      <c r="K439" s="97">
        <f>SUMIF($C$55:$C$92,$D439,K$55:K$92)</f>
        <v>650</v>
      </c>
      <c r="L439" s="97">
        <f t="shared" si="44"/>
        <v>10.56910569105691</v>
      </c>
      <c r="M439" s="97">
        <f>SUMIF($C$55:$C$92,$D439,M$55:M$92)</f>
        <v>0</v>
      </c>
      <c r="N439" s="97">
        <f>SUMIF($C$55:$C$92,$D439,N$55:N$92)</f>
        <v>0</v>
      </c>
      <c r="O439" s="97">
        <f t="shared" si="45"/>
        <v>0</v>
      </c>
      <c r="P439" s="36"/>
    </row>
    <row r="440" spans="2:16" ht="17" x14ac:dyDescent="0.2">
      <c r="B440" s="94" t="str">
        <f t="shared" si="52"/>
        <v>21997</v>
      </c>
      <c r="C440" s="96">
        <v>2</v>
      </c>
      <c r="D440" s="96">
        <v>1997</v>
      </c>
      <c r="E440" s="97">
        <f t="shared" si="56"/>
        <v>508.89</v>
      </c>
      <c r="F440" s="98">
        <f t="shared" si="56"/>
        <v>60733</v>
      </c>
      <c r="G440" s="99">
        <f t="shared" si="56"/>
        <v>16710</v>
      </c>
      <c r="H440" s="97">
        <f t="shared" si="56"/>
        <v>500</v>
      </c>
      <c r="I440" s="97">
        <f t="shared" si="43"/>
        <v>2.9922202274087373</v>
      </c>
      <c r="J440" s="99">
        <f>SUMIF($C$55:$C$92,$D440,J$55:J$92)</f>
        <v>3600</v>
      </c>
      <c r="K440" s="97">
        <f>SUMIF($C$55:$C$92,$D440,K$55:K$92)</f>
        <v>300</v>
      </c>
      <c r="L440" s="97">
        <f t="shared" si="44"/>
        <v>8.3333333333333339</v>
      </c>
      <c r="M440" s="97">
        <f>SUMIF($C$55:$C$92,$D440,M$55:M$92)</f>
        <v>0</v>
      </c>
      <c r="N440" s="97">
        <f>SUMIF($C$55:$C$92,$D440,N$55:N$92)</f>
        <v>0</v>
      </c>
      <c r="O440" s="97">
        <f t="shared" si="45"/>
        <v>0</v>
      </c>
      <c r="P440" s="36"/>
    </row>
    <row r="441" spans="2:16" x14ac:dyDescent="0.2">
      <c r="B441" s="89" t="s">
        <v>590</v>
      </c>
      <c r="C441" s="90"/>
      <c r="D441" s="90"/>
      <c r="E441" s="91">
        <f t="shared" ref="E441:H441" si="57">SUM(E439:E440)</f>
        <v>1121.31</v>
      </c>
      <c r="F441" s="92">
        <f t="shared" si="57"/>
        <v>138246</v>
      </c>
      <c r="G441" s="93">
        <f t="shared" si="57"/>
        <v>36710</v>
      </c>
      <c r="H441" s="91">
        <f t="shared" si="57"/>
        <v>1500</v>
      </c>
      <c r="I441" s="91">
        <f t="shared" si="43"/>
        <v>4.0860800871697078</v>
      </c>
      <c r="J441" s="93">
        <f t="shared" ref="J441:K441" si="58">SUM(J439:J440)</f>
        <v>9750</v>
      </c>
      <c r="K441" s="91">
        <f t="shared" si="58"/>
        <v>950</v>
      </c>
      <c r="L441" s="91">
        <f t="shared" si="44"/>
        <v>9.7435897435897427</v>
      </c>
      <c r="M441" s="91">
        <f t="shared" ref="M441:N441" si="59">SUM(M439:M440)</f>
        <v>0</v>
      </c>
      <c r="N441" s="91">
        <f t="shared" si="59"/>
        <v>0</v>
      </c>
      <c r="O441" s="91">
        <f t="shared" si="45"/>
        <v>0</v>
      </c>
      <c r="P441" s="81"/>
    </row>
    <row r="442" spans="2:16" ht="17" x14ac:dyDescent="0.2">
      <c r="B442" s="94" t="str">
        <f t="shared" si="52"/>
        <v>31996</v>
      </c>
      <c r="C442" s="95">
        <v>3</v>
      </c>
      <c r="D442" s="96">
        <v>1996</v>
      </c>
      <c r="E442" s="97">
        <f t="shared" ref="E442:H443" si="60">SUMIF($C$94:$C$132,$D442,E$94:E$132)</f>
        <v>633.69999999999993</v>
      </c>
      <c r="F442" s="98">
        <f t="shared" si="60"/>
        <v>83213</v>
      </c>
      <c r="G442" s="99">
        <f t="shared" si="60"/>
        <v>19000</v>
      </c>
      <c r="H442" s="97">
        <f t="shared" si="60"/>
        <v>0</v>
      </c>
      <c r="I442" s="97">
        <f t="shared" si="43"/>
        <v>0</v>
      </c>
      <c r="J442" s="99">
        <f>SUMIF($C$94:$C$132,$D442,J$94:J$132)</f>
        <v>4800</v>
      </c>
      <c r="K442" s="97">
        <f>SUMIF($C$94:$C$132,$D442,K$94:K$132)</f>
        <v>0</v>
      </c>
      <c r="L442" s="97">
        <f t="shared" si="44"/>
        <v>0</v>
      </c>
      <c r="M442" s="97">
        <f>SUMIF($C$94:$C$132,$D442,M$94:M$132)</f>
        <v>3500</v>
      </c>
      <c r="N442" s="97">
        <f>SUMIF($C$94:$C$132,$D442,N$94:N$132)</f>
        <v>3200</v>
      </c>
      <c r="O442" s="97">
        <f t="shared" si="45"/>
        <v>91.428571428571431</v>
      </c>
      <c r="P442" s="36"/>
    </row>
    <row r="443" spans="2:16" ht="17" x14ac:dyDescent="0.2">
      <c r="B443" s="94" t="str">
        <f t="shared" si="52"/>
        <v>31997</v>
      </c>
      <c r="C443" s="95">
        <v>3</v>
      </c>
      <c r="D443" s="96">
        <v>1997</v>
      </c>
      <c r="E443" s="97">
        <f t="shared" si="60"/>
        <v>534.4</v>
      </c>
      <c r="F443" s="98">
        <f t="shared" si="60"/>
        <v>67939</v>
      </c>
      <c r="G443" s="99">
        <f t="shared" si="60"/>
        <v>19865</v>
      </c>
      <c r="H443" s="97">
        <f t="shared" si="60"/>
        <v>1000</v>
      </c>
      <c r="I443" s="97">
        <f t="shared" si="43"/>
        <v>5.0339793606846213</v>
      </c>
      <c r="J443" s="99">
        <f>SUMIF($C$94:$C$132,$D443,J$94:J$132)</f>
        <v>3300</v>
      </c>
      <c r="K443" s="97">
        <f>SUMIF($C$94:$C$132,$D443,K$94:K$132)</f>
        <v>0</v>
      </c>
      <c r="L443" s="97">
        <f t="shared" si="44"/>
        <v>0</v>
      </c>
      <c r="M443" s="97">
        <f>SUMIF($C$94:$C$132,$D443,M$94:M$132)</f>
        <v>3100</v>
      </c>
      <c r="N443" s="97">
        <f>SUMIF($C$94:$C$132,$D443,N$94:N$132)</f>
        <v>2100</v>
      </c>
      <c r="O443" s="97">
        <f t="shared" si="45"/>
        <v>67.741935483870961</v>
      </c>
      <c r="P443" s="36"/>
    </row>
    <row r="444" spans="2:16" x14ac:dyDescent="0.2">
      <c r="B444" s="89" t="s">
        <v>591</v>
      </c>
      <c r="C444" s="90"/>
      <c r="D444" s="90"/>
      <c r="E444" s="91">
        <f t="shared" ref="E444:F444" si="61">SUM(E442:E443)</f>
        <v>1168.0999999999999</v>
      </c>
      <c r="F444" s="92">
        <f t="shared" si="61"/>
        <v>151152</v>
      </c>
      <c r="G444" s="93">
        <f>SUM(G442:G443)</f>
        <v>38865</v>
      </c>
      <c r="H444" s="91">
        <f t="shared" ref="H444:K444" si="62">SUM(H442:H443)</f>
        <v>1000</v>
      </c>
      <c r="I444" s="91">
        <f t="shared" si="43"/>
        <v>2.5730091341824264</v>
      </c>
      <c r="J444" s="93">
        <f>SUM(J442:J443)</f>
        <v>8100</v>
      </c>
      <c r="K444" s="91">
        <f t="shared" si="62"/>
        <v>0</v>
      </c>
      <c r="L444" s="91">
        <f t="shared" si="44"/>
        <v>0</v>
      </c>
      <c r="M444" s="91">
        <f>SUM(M442:M443)</f>
        <v>6600</v>
      </c>
      <c r="N444" s="91">
        <f t="shared" ref="N444" si="63">SUM(N442:N443)</f>
        <v>5300</v>
      </c>
      <c r="O444" s="91">
        <f t="shared" si="45"/>
        <v>80.303030303030297</v>
      </c>
      <c r="P444" s="81"/>
    </row>
    <row r="445" spans="2:16" ht="17" x14ac:dyDescent="0.2">
      <c r="B445" s="94" t="str">
        <f t="shared" si="52"/>
        <v>41997</v>
      </c>
      <c r="C445" s="95">
        <v>4</v>
      </c>
      <c r="D445" s="96">
        <v>1997</v>
      </c>
      <c r="E445" s="97">
        <f>SUMIF($C$134:$C$175,$D445,E$134:E$175)</f>
        <v>1083.4700000000003</v>
      </c>
      <c r="F445" s="98">
        <f>SUMIF($C$134:$C$175,$D445,F$134:F$175)</f>
        <v>139794</v>
      </c>
      <c r="G445" s="99">
        <f>SUMIF($C$134:$C$175,$D445,G$134:G$175)</f>
        <v>3000</v>
      </c>
      <c r="H445" s="97">
        <f>SUMIF($C$134:$C$175,$D445,H$134:H$175)</f>
        <v>2200</v>
      </c>
      <c r="I445" s="97">
        <f t="shared" si="43"/>
        <v>73.333333333333329</v>
      </c>
      <c r="J445" s="99">
        <f>SUMIF($C$134:$C$175,$D445,J$134:J$175)</f>
        <v>600</v>
      </c>
      <c r="K445" s="97">
        <f>SUMIF($C$134:$C$175,$D445,K$134:K$175)</f>
        <v>600</v>
      </c>
      <c r="L445" s="97">
        <f t="shared" si="44"/>
        <v>100</v>
      </c>
      <c r="M445" s="97">
        <f>SUMIF($C$134:$C$175,$D445,M$134:M$175)</f>
        <v>0</v>
      </c>
      <c r="N445" s="97">
        <f t="shared" ref="N445" si="64">SUMIF($C$134:$C$175,$D445,N$134:N$175)</f>
        <v>0</v>
      </c>
      <c r="O445" s="97">
        <f t="shared" si="45"/>
        <v>0</v>
      </c>
      <c r="P445" s="36"/>
    </row>
    <row r="446" spans="2:16" x14ac:dyDescent="0.2">
      <c r="B446" s="89" t="s">
        <v>592</v>
      </c>
      <c r="C446" s="90"/>
      <c r="D446" s="90"/>
      <c r="E446" s="91">
        <f t="shared" ref="E446:F446" si="65">SUM(E445)</f>
        <v>1083.4700000000003</v>
      </c>
      <c r="F446" s="92">
        <f t="shared" si="65"/>
        <v>139794</v>
      </c>
      <c r="G446" s="93">
        <f>SUM(G445)</f>
        <v>3000</v>
      </c>
      <c r="H446" s="100">
        <f t="shared" ref="H446:K446" si="66">SUM(H445)</f>
        <v>2200</v>
      </c>
      <c r="I446" s="100">
        <f t="shared" si="43"/>
        <v>73.333333333333329</v>
      </c>
      <c r="J446" s="93">
        <f>SUM(J445)</f>
        <v>600</v>
      </c>
      <c r="K446" s="100">
        <f t="shared" si="66"/>
        <v>600</v>
      </c>
      <c r="L446" s="100">
        <f t="shared" si="44"/>
        <v>100</v>
      </c>
      <c r="M446" s="100">
        <f>SUM(M445)</f>
        <v>0</v>
      </c>
      <c r="N446" s="100">
        <f t="shared" ref="N446" si="67">SUM(N445)</f>
        <v>0</v>
      </c>
      <c r="O446" s="100">
        <f t="shared" si="45"/>
        <v>0</v>
      </c>
      <c r="P446" s="81"/>
    </row>
    <row r="447" spans="2:16" ht="17" x14ac:dyDescent="0.2">
      <c r="B447" s="94" t="str">
        <f t="shared" si="52"/>
        <v>51997</v>
      </c>
      <c r="C447" s="95">
        <v>5</v>
      </c>
      <c r="D447" s="96">
        <v>1997</v>
      </c>
      <c r="E447" s="97">
        <f>SUMIF($C$177:$C$218,$D447,E$177:E$218)</f>
        <v>1144.5399999999997</v>
      </c>
      <c r="F447" s="98">
        <f>SUMIF($C$177:$C$218,$D447,F$177:F$218)</f>
        <v>150392</v>
      </c>
      <c r="G447" s="99">
        <f>SUMIF($C$177:$C$218,$D447,G$177:G$218)</f>
        <v>4100</v>
      </c>
      <c r="H447" s="97">
        <f>SUMIF($C$177:$C$218,$D447,H$177:H$218)</f>
        <v>1000</v>
      </c>
      <c r="I447" s="97">
        <f t="shared" si="43"/>
        <v>24.390243902439025</v>
      </c>
      <c r="J447" s="99">
        <f>SUMIF($C$177:$C$218,$D447,J$177:J$218)</f>
        <v>300</v>
      </c>
      <c r="K447" s="97">
        <f>SUMIF($C$177:$C$218,$D447,K$177:K$218)</f>
        <v>150</v>
      </c>
      <c r="L447" s="97">
        <f t="shared" si="44"/>
        <v>50</v>
      </c>
      <c r="M447" s="97">
        <f>SUMIF($C$177:$C$218,$D447,M$177:M$218)</f>
        <v>0</v>
      </c>
      <c r="N447" s="97">
        <f t="shared" ref="N447" si="68">SUMIF($C$177:$C$218,$D447,N$177:N$218)</f>
        <v>0</v>
      </c>
      <c r="O447" s="97">
        <f t="shared" si="45"/>
        <v>0</v>
      </c>
      <c r="P447" s="36"/>
    </row>
    <row r="448" spans="2:16" x14ac:dyDescent="0.2">
      <c r="B448" s="89" t="s">
        <v>593</v>
      </c>
      <c r="C448" s="90"/>
      <c r="D448" s="90"/>
      <c r="E448" s="91">
        <f t="shared" ref="E448:H448" si="69">SUM(E447)</f>
        <v>1144.5399999999997</v>
      </c>
      <c r="F448" s="92">
        <f t="shared" si="69"/>
        <v>150392</v>
      </c>
      <c r="G448" s="93">
        <f t="shared" si="69"/>
        <v>4100</v>
      </c>
      <c r="H448" s="91">
        <f t="shared" si="69"/>
        <v>1000</v>
      </c>
      <c r="I448" s="91">
        <f t="shared" si="43"/>
        <v>24.390243902439025</v>
      </c>
      <c r="J448" s="93">
        <f t="shared" ref="J448:K448" si="70">SUM(J447)</f>
        <v>300</v>
      </c>
      <c r="K448" s="91">
        <f t="shared" si="70"/>
        <v>150</v>
      </c>
      <c r="L448" s="91">
        <f t="shared" si="44"/>
        <v>50</v>
      </c>
      <c r="M448" s="91">
        <f t="shared" ref="M448:N448" si="71">SUM(M447)</f>
        <v>0</v>
      </c>
      <c r="N448" s="91">
        <f t="shared" si="71"/>
        <v>0</v>
      </c>
      <c r="O448" s="91">
        <f t="shared" si="45"/>
        <v>0</v>
      </c>
      <c r="P448" s="81"/>
    </row>
    <row r="449" spans="2:16" ht="17" x14ac:dyDescent="0.2">
      <c r="B449" s="88" t="str">
        <f t="shared" si="52"/>
        <v>61997</v>
      </c>
      <c r="C449" s="83">
        <v>6</v>
      </c>
      <c r="D449" s="84">
        <v>1997</v>
      </c>
      <c r="E449" s="101">
        <f t="shared" ref="E449:H453" si="72">SUMIF($C$220:$C$255,$D449,E$220:E$255)</f>
        <v>274.74</v>
      </c>
      <c r="F449" s="102">
        <f t="shared" si="72"/>
        <v>36157</v>
      </c>
      <c r="G449" s="103">
        <f t="shared" si="72"/>
        <v>9000</v>
      </c>
      <c r="H449" s="101">
        <f t="shared" si="72"/>
        <v>0</v>
      </c>
      <c r="I449" s="101">
        <f t="shared" si="43"/>
        <v>0</v>
      </c>
      <c r="J449" s="103">
        <f t="shared" ref="J449:K453" si="73">SUMIF($C$220:$C$255,$D449,J$220:J$255)</f>
        <v>2700</v>
      </c>
      <c r="K449" s="101">
        <f t="shared" si="73"/>
        <v>1200</v>
      </c>
      <c r="L449" s="101">
        <f t="shared" si="44"/>
        <v>44.444444444444443</v>
      </c>
      <c r="M449" s="101">
        <f>SUMIF($C$220:$C$255,$D449,M$220:M$255)</f>
        <v>0</v>
      </c>
      <c r="N449" s="101">
        <f t="shared" ref="N449" si="74">SUMIF($C$220:$C$255,$D449,N$220:N$255)</f>
        <v>0</v>
      </c>
      <c r="O449" s="101">
        <f t="shared" si="45"/>
        <v>0</v>
      </c>
      <c r="P449" s="36"/>
    </row>
    <row r="450" spans="2:16" ht="17" x14ac:dyDescent="0.2">
      <c r="B450" s="82" t="str">
        <f t="shared" si="52"/>
        <v>62003</v>
      </c>
      <c r="C450" s="83">
        <v>6</v>
      </c>
      <c r="D450" s="84">
        <v>2003</v>
      </c>
      <c r="E450" s="101">
        <f t="shared" si="72"/>
        <v>205.35999999999999</v>
      </c>
      <c r="F450" s="102">
        <f t="shared" si="72"/>
        <v>26594</v>
      </c>
      <c r="G450" s="103">
        <f t="shared" si="72"/>
        <v>7000</v>
      </c>
      <c r="H450" s="101">
        <f t="shared" si="72"/>
        <v>0</v>
      </c>
      <c r="I450" s="101">
        <f t="shared" si="43"/>
        <v>0</v>
      </c>
      <c r="J450" s="103">
        <f t="shared" si="73"/>
        <v>2100</v>
      </c>
      <c r="K450" s="101">
        <f t="shared" si="73"/>
        <v>300</v>
      </c>
      <c r="L450" s="101">
        <f t="shared" si="44"/>
        <v>14.285714285714286</v>
      </c>
      <c r="M450" s="101">
        <f>SUMIF($C$220:$C$255,$D450,M$220:M$255)</f>
        <v>0</v>
      </c>
      <c r="N450" s="101">
        <f>SUMIF($C$220:$C$255,$D450,N$220:N$255)</f>
        <v>0</v>
      </c>
      <c r="O450" s="101">
        <f t="shared" si="45"/>
        <v>0</v>
      </c>
      <c r="P450" s="36"/>
    </row>
    <row r="451" spans="2:16" ht="17" x14ac:dyDescent="0.2">
      <c r="B451" s="88" t="str">
        <f t="shared" si="52"/>
        <v>62004</v>
      </c>
      <c r="C451" s="83">
        <v>6</v>
      </c>
      <c r="D451" s="84">
        <v>2004</v>
      </c>
      <c r="E451" s="101">
        <f t="shared" si="72"/>
        <v>165.91</v>
      </c>
      <c r="F451" s="102">
        <f t="shared" si="72"/>
        <v>21515</v>
      </c>
      <c r="G451" s="103">
        <f t="shared" si="72"/>
        <v>5000</v>
      </c>
      <c r="H451" s="101">
        <f t="shared" si="72"/>
        <v>0</v>
      </c>
      <c r="I451" s="101">
        <f t="shared" si="43"/>
        <v>0</v>
      </c>
      <c r="J451" s="103">
        <f t="shared" si="73"/>
        <v>1500</v>
      </c>
      <c r="K451" s="101">
        <f t="shared" si="73"/>
        <v>460</v>
      </c>
      <c r="L451" s="101">
        <f t="shared" si="44"/>
        <v>30.666666666666668</v>
      </c>
      <c r="M451" s="101">
        <f>SUMIF($C$220:$C$255,$D451,M$220:M$255)</f>
        <v>0</v>
      </c>
      <c r="N451" s="101">
        <f>SUMIF($C$220:$C$255,$D451,N$220:N$255)</f>
        <v>0</v>
      </c>
      <c r="O451" s="101">
        <f t="shared" si="45"/>
        <v>0</v>
      </c>
      <c r="P451" s="36"/>
    </row>
    <row r="452" spans="2:16" ht="17" x14ac:dyDescent="0.2">
      <c r="B452" s="82" t="str">
        <f t="shared" si="52"/>
        <v>62005</v>
      </c>
      <c r="C452" s="83">
        <v>6</v>
      </c>
      <c r="D452" s="84">
        <v>2005</v>
      </c>
      <c r="E452" s="101">
        <f t="shared" si="72"/>
        <v>210.22000000000003</v>
      </c>
      <c r="F452" s="102">
        <f t="shared" si="72"/>
        <v>28370</v>
      </c>
      <c r="G452" s="103">
        <f t="shared" si="72"/>
        <v>9000</v>
      </c>
      <c r="H452" s="101">
        <f t="shared" si="72"/>
        <v>0</v>
      </c>
      <c r="I452" s="101">
        <f t="shared" si="43"/>
        <v>0</v>
      </c>
      <c r="J452" s="103">
        <f t="shared" si="73"/>
        <v>2700</v>
      </c>
      <c r="K452" s="101">
        <f t="shared" si="73"/>
        <v>470</v>
      </c>
      <c r="L452" s="101">
        <f t="shared" si="44"/>
        <v>17.407407407407408</v>
      </c>
      <c r="M452" s="101">
        <f>SUMIF($C$220:$C$255,$D452,M$220:M$255)</f>
        <v>0</v>
      </c>
      <c r="N452" s="101">
        <f>SUMIF($C$220:$C$255,$D452,N$220:N$255)</f>
        <v>0</v>
      </c>
      <c r="O452" s="101">
        <f t="shared" si="45"/>
        <v>0</v>
      </c>
      <c r="P452" s="36"/>
    </row>
    <row r="453" spans="2:16" ht="17" x14ac:dyDescent="0.2">
      <c r="B453" s="88" t="str">
        <f t="shared" si="52"/>
        <v>62006</v>
      </c>
      <c r="C453" s="83">
        <v>6</v>
      </c>
      <c r="D453" s="84">
        <v>2006</v>
      </c>
      <c r="E453" s="101">
        <f t="shared" si="72"/>
        <v>168.78000000000003</v>
      </c>
      <c r="F453" s="102">
        <f t="shared" si="72"/>
        <v>21532</v>
      </c>
      <c r="G453" s="103">
        <f t="shared" si="72"/>
        <v>6000</v>
      </c>
      <c r="H453" s="101">
        <f t="shared" si="72"/>
        <v>0</v>
      </c>
      <c r="I453" s="101">
        <f t="shared" si="43"/>
        <v>0</v>
      </c>
      <c r="J453" s="103">
        <f t="shared" si="73"/>
        <v>1800</v>
      </c>
      <c r="K453" s="101">
        <f t="shared" si="73"/>
        <v>0</v>
      </c>
      <c r="L453" s="101">
        <f t="shared" si="44"/>
        <v>0</v>
      </c>
      <c r="M453" s="101">
        <f>SUMIF($C$220:$C$255,$D453,M$220:M$255)</f>
        <v>0</v>
      </c>
      <c r="N453" s="101">
        <f>SUMIF($C$220:$C$255,$D453,N$220:N$255)</f>
        <v>0</v>
      </c>
      <c r="O453" s="101">
        <f t="shared" si="45"/>
        <v>0</v>
      </c>
      <c r="P453" s="36"/>
    </row>
    <row r="454" spans="2:16" x14ac:dyDescent="0.2">
      <c r="B454" s="89" t="s">
        <v>594</v>
      </c>
      <c r="C454" s="90"/>
      <c r="D454" s="90"/>
      <c r="E454" s="91">
        <f t="shared" ref="E454:H454" si="75">SUM(E449:E453)</f>
        <v>1025.01</v>
      </c>
      <c r="F454" s="92">
        <f t="shared" si="75"/>
        <v>134168</v>
      </c>
      <c r="G454" s="93">
        <f t="shared" si="75"/>
        <v>36000</v>
      </c>
      <c r="H454" s="91">
        <f t="shared" si="75"/>
        <v>0</v>
      </c>
      <c r="I454" s="91">
        <f t="shared" si="43"/>
        <v>0</v>
      </c>
      <c r="J454" s="93">
        <f t="shared" ref="J454:K454" si="76">SUM(J449:J453)</f>
        <v>10800</v>
      </c>
      <c r="K454" s="91">
        <f t="shared" si="76"/>
        <v>2430</v>
      </c>
      <c r="L454" s="91">
        <f t="shared" si="44"/>
        <v>22.5</v>
      </c>
      <c r="M454" s="91">
        <f t="shared" ref="M454:N454" si="77">SUM(M449:M453)</f>
        <v>0</v>
      </c>
      <c r="N454" s="91">
        <f t="shared" si="77"/>
        <v>0</v>
      </c>
      <c r="O454" s="91">
        <f t="shared" si="45"/>
        <v>0</v>
      </c>
      <c r="P454" s="81"/>
    </row>
    <row r="455" spans="2:16" ht="17" x14ac:dyDescent="0.2">
      <c r="B455" s="88" t="str">
        <f t="shared" si="52"/>
        <v>71997</v>
      </c>
      <c r="C455" s="83">
        <v>7</v>
      </c>
      <c r="D455" s="84">
        <v>1997</v>
      </c>
      <c r="E455" s="101">
        <f t="shared" ref="E455:H465" si="78">SUMIF($C$257:$C$304,$D455,E$257:E$304)</f>
        <v>177.31</v>
      </c>
      <c r="F455" s="102">
        <f t="shared" si="78"/>
        <v>21635</v>
      </c>
      <c r="G455" s="103">
        <f t="shared" si="78"/>
        <v>0</v>
      </c>
      <c r="H455" s="101">
        <f t="shared" si="78"/>
        <v>0</v>
      </c>
      <c r="I455" s="101">
        <f t="shared" si="43"/>
        <v>0</v>
      </c>
      <c r="J455" s="103">
        <f t="shared" ref="J455:K465" si="79">SUMIF($C$257:$C$304,$D455,J$257:J$304)</f>
        <v>0</v>
      </c>
      <c r="K455" s="101">
        <f t="shared" si="79"/>
        <v>0</v>
      </c>
      <c r="L455" s="101">
        <f t="shared" si="44"/>
        <v>0</v>
      </c>
      <c r="M455" s="101">
        <f t="shared" ref="M455:N465" si="80">SUMIF($C$257:$C$304,$D455,M$257:M$304)</f>
        <v>0</v>
      </c>
      <c r="N455" s="101">
        <f t="shared" si="80"/>
        <v>0</v>
      </c>
      <c r="O455" s="101">
        <f t="shared" si="45"/>
        <v>0</v>
      </c>
      <c r="P455" s="36"/>
    </row>
    <row r="456" spans="2:16" ht="17" x14ac:dyDescent="0.2">
      <c r="B456" s="82" t="str">
        <f t="shared" si="52"/>
        <v>71998</v>
      </c>
      <c r="C456" s="83">
        <v>7</v>
      </c>
      <c r="D456" s="84">
        <v>1998</v>
      </c>
      <c r="E456" s="101">
        <f t="shared" si="78"/>
        <v>463.75</v>
      </c>
      <c r="F456" s="102">
        <f t="shared" si="78"/>
        <v>62271</v>
      </c>
      <c r="G456" s="103">
        <f t="shared" si="78"/>
        <v>0</v>
      </c>
      <c r="H456" s="101">
        <f t="shared" si="78"/>
        <v>0</v>
      </c>
      <c r="I456" s="101">
        <f t="shared" si="43"/>
        <v>0</v>
      </c>
      <c r="J456" s="103">
        <f t="shared" si="79"/>
        <v>1200</v>
      </c>
      <c r="K456" s="101">
        <f t="shared" si="79"/>
        <v>1200</v>
      </c>
      <c r="L456" s="101">
        <f t="shared" si="44"/>
        <v>100</v>
      </c>
      <c r="M456" s="101">
        <f t="shared" si="80"/>
        <v>1000</v>
      </c>
      <c r="N456" s="101">
        <f t="shared" si="80"/>
        <v>1000</v>
      </c>
      <c r="O456" s="101">
        <f t="shared" si="45"/>
        <v>100</v>
      </c>
      <c r="P456" s="36"/>
    </row>
    <row r="457" spans="2:16" ht="17" x14ac:dyDescent="0.2">
      <c r="B457" s="88" t="str">
        <f t="shared" si="52"/>
        <v>71999</v>
      </c>
      <c r="C457" s="83">
        <v>7</v>
      </c>
      <c r="D457" s="84">
        <v>1999</v>
      </c>
      <c r="E457" s="101">
        <f t="shared" si="78"/>
        <v>29.43</v>
      </c>
      <c r="F457" s="102">
        <f t="shared" si="78"/>
        <v>3534</v>
      </c>
      <c r="G457" s="103">
        <f t="shared" si="78"/>
        <v>0</v>
      </c>
      <c r="H457" s="101">
        <f t="shared" si="78"/>
        <v>0</v>
      </c>
      <c r="I457" s="101">
        <f t="shared" si="43"/>
        <v>0</v>
      </c>
      <c r="J457" s="103">
        <f t="shared" si="79"/>
        <v>0</v>
      </c>
      <c r="K457" s="101">
        <f t="shared" si="79"/>
        <v>0</v>
      </c>
      <c r="L457" s="101">
        <f t="shared" si="44"/>
        <v>0</v>
      </c>
      <c r="M457" s="101">
        <f t="shared" si="80"/>
        <v>0</v>
      </c>
      <c r="N457" s="101">
        <f t="shared" si="80"/>
        <v>0</v>
      </c>
      <c r="O457" s="101">
        <f t="shared" si="45"/>
        <v>0</v>
      </c>
      <c r="P457" s="36"/>
    </row>
    <row r="458" spans="2:16" ht="17" x14ac:dyDescent="0.2">
      <c r="B458" s="82" t="str">
        <f t="shared" si="52"/>
        <v>72002</v>
      </c>
      <c r="C458" s="83">
        <v>7</v>
      </c>
      <c r="D458" s="84">
        <v>2002</v>
      </c>
      <c r="E458" s="101">
        <f t="shared" si="78"/>
        <v>243.20000000000002</v>
      </c>
      <c r="F458" s="102">
        <f t="shared" si="78"/>
        <v>32838</v>
      </c>
      <c r="G458" s="103">
        <f t="shared" si="78"/>
        <v>0</v>
      </c>
      <c r="H458" s="101">
        <f t="shared" si="78"/>
        <v>0</v>
      </c>
      <c r="I458" s="101">
        <f t="shared" ref="I458:I515" si="81">IFERROR(H458/G458%,0)</f>
        <v>0</v>
      </c>
      <c r="J458" s="103">
        <f t="shared" si="79"/>
        <v>0</v>
      </c>
      <c r="K458" s="101">
        <f t="shared" si="79"/>
        <v>0</v>
      </c>
      <c r="L458" s="101">
        <f t="shared" ref="L458:L515" si="82">IFERROR(K458/J458%,0)</f>
        <v>0</v>
      </c>
      <c r="M458" s="101">
        <f t="shared" si="80"/>
        <v>3000</v>
      </c>
      <c r="N458" s="101">
        <f t="shared" si="80"/>
        <v>3000</v>
      </c>
      <c r="O458" s="101">
        <f t="shared" ref="O458:O515" si="83">IFERROR(N458/M458%,0)</f>
        <v>100</v>
      </c>
      <c r="P458" s="36"/>
    </row>
    <row r="459" spans="2:16" ht="17" x14ac:dyDescent="0.2">
      <c r="B459" s="88" t="str">
        <f t="shared" si="52"/>
        <v>72003</v>
      </c>
      <c r="C459" s="83">
        <v>7</v>
      </c>
      <c r="D459" s="84">
        <v>2003</v>
      </c>
      <c r="E459" s="101">
        <f t="shared" si="78"/>
        <v>101.27</v>
      </c>
      <c r="F459" s="102">
        <f t="shared" si="78"/>
        <v>12984</v>
      </c>
      <c r="G459" s="103">
        <f t="shared" si="78"/>
        <v>0</v>
      </c>
      <c r="H459" s="101">
        <f t="shared" si="78"/>
        <v>0</v>
      </c>
      <c r="I459" s="101">
        <f t="shared" si="81"/>
        <v>0</v>
      </c>
      <c r="J459" s="103">
        <f t="shared" si="79"/>
        <v>0</v>
      </c>
      <c r="K459" s="101">
        <f t="shared" si="79"/>
        <v>0</v>
      </c>
      <c r="L459" s="101">
        <f t="shared" si="82"/>
        <v>0</v>
      </c>
      <c r="M459" s="101">
        <f t="shared" si="80"/>
        <v>0</v>
      </c>
      <c r="N459" s="101">
        <f t="shared" si="80"/>
        <v>0</v>
      </c>
      <c r="O459" s="101">
        <f t="shared" si="83"/>
        <v>0</v>
      </c>
      <c r="P459" s="36"/>
    </row>
    <row r="460" spans="2:16" ht="17" x14ac:dyDescent="0.2">
      <c r="B460" s="82" t="str">
        <f t="shared" si="52"/>
        <v>72004</v>
      </c>
      <c r="C460" s="83">
        <v>7</v>
      </c>
      <c r="D460" s="84">
        <v>2004</v>
      </c>
      <c r="E460" s="101">
        <f t="shared" si="78"/>
        <v>89.929999999999993</v>
      </c>
      <c r="F460" s="102">
        <f t="shared" si="78"/>
        <v>10762</v>
      </c>
      <c r="G460" s="103">
        <f t="shared" si="78"/>
        <v>0</v>
      </c>
      <c r="H460" s="101">
        <f t="shared" si="78"/>
        <v>0</v>
      </c>
      <c r="I460" s="101">
        <f t="shared" si="81"/>
        <v>0</v>
      </c>
      <c r="J460" s="103">
        <f t="shared" si="79"/>
        <v>0</v>
      </c>
      <c r="K460" s="101">
        <f t="shared" si="79"/>
        <v>0</v>
      </c>
      <c r="L460" s="101">
        <f t="shared" si="82"/>
        <v>0</v>
      </c>
      <c r="M460" s="101">
        <f t="shared" si="80"/>
        <v>0</v>
      </c>
      <c r="N460" s="101">
        <f t="shared" si="80"/>
        <v>0</v>
      </c>
      <c r="O460" s="101">
        <f t="shared" si="83"/>
        <v>0</v>
      </c>
      <c r="P460" s="36"/>
    </row>
    <row r="461" spans="2:16" ht="17" x14ac:dyDescent="0.2">
      <c r="B461" s="88" t="str">
        <f t="shared" si="52"/>
        <v>72012</v>
      </c>
      <c r="C461" s="83">
        <v>7</v>
      </c>
      <c r="D461" s="84">
        <v>2012</v>
      </c>
      <c r="E461" s="101">
        <f t="shared" si="78"/>
        <v>96.53</v>
      </c>
      <c r="F461" s="102">
        <f t="shared" si="78"/>
        <v>12223</v>
      </c>
      <c r="G461" s="103">
        <f t="shared" si="78"/>
        <v>0</v>
      </c>
      <c r="H461" s="101">
        <f t="shared" si="78"/>
        <v>0</v>
      </c>
      <c r="I461" s="101">
        <f t="shared" si="81"/>
        <v>0</v>
      </c>
      <c r="J461" s="103">
        <f t="shared" si="79"/>
        <v>0</v>
      </c>
      <c r="K461" s="101">
        <f t="shared" si="79"/>
        <v>0</v>
      </c>
      <c r="L461" s="101">
        <f t="shared" si="82"/>
        <v>0</v>
      </c>
      <c r="M461" s="101">
        <f t="shared" si="80"/>
        <v>0</v>
      </c>
      <c r="N461" s="101">
        <f t="shared" si="80"/>
        <v>0</v>
      </c>
      <c r="O461" s="101">
        <f t="shared" si="83"/>
        <v>0</v>
      </c>
      <c r="P461" s="36"/>
    </row>
    <row r="462" spans="2:16" ht="17" x14ac:dyDescent="0.2">
      <c r="B462" s="82" t="str">
        <f t="shared" si="52"/>
        <v>72013</v>
      </c>
      <c r="C462" s="83">
        <v>7</v>
      </c>
      <c r="D462" s="84">
        <v>2013</v>
      </c>
      <c r="E462" s="101">
        <f t="shared" si="78"/>
        <v>21.83</v>
      </c>
      <c r="F462" s="102">
        <f t="shared" si="78"/>
        <v>2865</v>
      </c>
      <c r="G462" s="103">
        <f t="shared" si="78"/>
        <v>0</v>
      </c>
      <c r="H462" s="101">
        <f t="shared" si="78"/>
        <v>0</v>
      </c>
      <c r="I462" s="101">
        <f t="shared" si="81"/>
        <v>0</v>
      </c>
      <c r="J462" s="103">
        <f t="shared" si="79"/>
        <v>0</v>
      </c>
      <c r="K462" s="101">
        <f t="shared" si="79"/>
        <v>0</v>
      </c>
      <c r="L462" s="101">
        <f t="shared" si="82"/>
        <v>0</v>
      </c>
      <c r="M462" s="101">
        <f t="shared" si="80"/>
        <v>0</v>
      </c>
      <c r="N462" s="101">
        <f t="shared" si="80"/>
        <v>0</v>
      </c>
      <c r="O462" s="101">
        <f t="shared" si="83"/>
        <v>0</v>
      </c>
      <c r="P462" s="36"/>
    </row>
    <row r="463" spans="2:16" ht="17" x14ac:dyDescent="0.2">
      <c r="B463" s="88" t="str">
        <f>C463&amp;D463</f>
        <v>72018</v>
      </c>
      <c r="C463" s="83">
        <v>7</v>
      </c>
      <c r="D463" s="84">
        <v>2018</v>
      </c>
      <c r="E463" s="101">
        <f t="shared" si="78"/>
        <v>18.2</v>
      </c>
      <c r="F463" s="102">
        <f t="shared" si="78"/>
        <v>2450</v>
      </c>
      <c r="G463" s="103">
        <f t="shared" si="78"/>
        <v>0</v>
      </c>
      <c r="H463" s="101">
        <f t="shared" si="78"/>
        <v>0</v>
      </c>
      <c r="I463" s="101">
        <f t="shared" si="81"/>
        <v>0</v>
      </c>
      <c r="J463" s="103">
        <f t="shared" si="79"/>
        <v>0</v>
      </c>
      <c r="K463" s="101">
        <f t="shared" si="79"/>
        <v>0</v>
      </c>
      <c r="L463" s="101">
        <f t="shared" si="82"/>
        <v>0</v>
      </c>
      <c r="M463" s="101">
        <f t="shared" si="80"/>
        <v>0</v>
      </c>
      <c r="N463" s="101">
        <f t="shared" si="80"/>
        <v>0</v>
      </c>
      <c r="O463" s="101">
        <f t="shared" si="83"/>
        <v>0</v>
      </c>
      <c r="P463" s="36"/>
    </row>
    <row r="464" spans="2:16" ht="17" x14ac:dyDescent="0.2">
      <c r="B464" s="88" t="str">
        <f>C464&amp;D464</f>
        <v>72019</v>
      </c>
      <c r="C464" s="83">
        <v>7</v>
      </c>
      <c r="D464" s="84">
        <v>2019</v>
      </c>
      <c r="E464" s="101">
        <f t="shared" si="78"/>
        <v>81.099999999999994</v>
      </c>
      <c r="F464" s="102">
        <f t="shared" si="78"/>
        <v>11012</v>
      </c>
      <c r="G464" s="103">
        <f t="shared" si="78"/>
        <v>0</v>
      </c>
      <c r="H464" s="101">
        <f t="shared" si="78"/>
        <v>0</v>
      </c>
      <c r="I464" s="101">
        <f t="shared" si="81"/>
        <v>0</v>
      </c>
      <c r="J464" s="103">
        <f t="shared" si="79"/>
        <v>0</v>
      </c>
      <c r="K464" s="101">
        <f t="shared" si="79"/>
        <v>0</v>
      </c>
      <c r="L464" s="101">
        <f t="shared" si="82"/>
        <v>0</v>
      </c>
      <c r="M464" s="101">
        <f t="shared" si="80"/>
        <v>0</v>
      </c>
      <c r="N464" s="101">
        <f t="shared" si="80"/>
        <v>0</v>
      </c>
      <c r="O464" s="101">
        <f t="shared" si="83"/>
        <v>0</v>
      </c>
      <c r="P464" s="36"/>
    </row>
    <row r="465" spans="2:16" x14ac:dyDescent="0.2">
      <c r="B465" s="88"/>
      <c r="C465" s="83">
        <v>7</v>
      </c>
      <c r="D465" s="84">
        <v>2021</v>
      </c>
      <c r="E465" s="101">
        <f t="shared" si="78"/>
        <v>3.07</v>
      </c>
      <c r="F465" s="102">
        <f t="shared" si="78"/>
        <v>435</v>
      </c>
      <c r="G465" s="103">
        <f t="shared" si="78"/>
        <v>0</v>
      </c>
      <c r="H465" s="101">
        <f t="shared" si="78"/>
        <v>0</v>
      </c>
      <c r="I465" s="101">
        <f t="shared" si="81"/>
        <v>0</v>
      </c>
      <c r="J465" s="103">
        <f t="shared" si="79"/>
        <v>0</v>
      </c>
      <c r="K465" s="101">
        <f t="shared" si="79"/>
        <v>0</v>
      </c>
      <c r="L465" s="101">
        <f t="shared" si="82"/>
        <v>0</v>
      </c>
      <c r="M465" s="101">
        <f t="shared" si="80"/>
        <v>0</v>
      </c>
      <c r="N465" s="101">
        <f t="shared" si="80"/>
        <v>0</v>
      </c>
      <c r="O465" s="101">
        <f t="shared" si="83"/>
        <v>0</v>
      </c>
      <c r="P465" s="36"/>
    </row>
    <row r="466" spans="2:16" x14ac:dyDescent="0.2">
      <c r="B466" s="89" t="s">
        <v>595</v>
      </c>
      <c r="C466" s="90"/>
      <c r="D466" s="90"/>
      <c r="E466" s="91">
        <f>SUM(E455:E465)</f>
        <v>1325.6199999999997</v>
      </c>
      <c r="F466" s="92">
        <f t="shared" ref="F466:H466" si="84">SUM(F455:F465)</f>
        <v>173009</v>
      </c>
      <c r="G466" s="93">
        <f t="shared" si="84"/>
        <v>0</v>
      </c>
      <c r="H466" s="91">
        <f t="shared" si="84"/>
        <v>0</v>
      </c>
      <c r="I466" s="91">
        <f t="shared" si="81"/>
        <v>0</v>
      </c>
      <c r="J466" s="93">
        <f t="shared" ref="J466:K466" si="85">SUM(J455:J465)</f>
        <v>1200</v>
      </c>
      <c r="K466" s="91">
        <f t="shared" si="85"/>
        <v>1200</v>
      </c>
      <c r="L466" s="91">
        <f t="shared" si="82"/>
        <v>100</v>
      </c>
      <c r="M466" s="91">
        <f t="shared" ref="M466:N466" si="86">SUM(M455:M465)</f>
        <v>4000</v>
      </c>
      <c r="N466" s="91">
        <f t="shared" si="86"/>
        <v>4000</v>
      </c>
      <c r="O466" s="91">
        <f t="shared" si="83"/>
        <v>100</v>
      </c>
      <c r="P466" s="81"/>
    </row>
    <row r="467" spans="2:16" ht="17" x14ac:dyDescent="0.2">
      <c r="B467" s="88" t="str">
        <f t="shared" si="52"/>
        <v>81998</v>
      </c>
      <c r="C467" s="83">
        <v>8</v>
      </c>
      <c r="D467" s="84">
        <v>1998</v>
      </c>
      <c r="E467" s="101">
        <f t="shared" ref="E467:H472" si="87">SUMIF($C$306:$C$345,$D467,E$306:E$345)</f>
        <v>261.58</v>
      </c>
      <c r="F467" s="102">
        <f t="shared" si="87"/>
        <v>34712</v>
      </c>
      <c r="G467" s="103">
        <f t="shared" si="87"/>
        <v>0</v>
      </c>
      <c r="H467" s="101">
        <f t="shared" si="87"/>
        <v>0</v>
      </c>
      <c r="I467" s="101">
        <f t="shared" si="81"/>
        <v>0</v>
      </c>
      <c r="J467" s="103">
        <f t="shared" ref="J467:K472" si="88">SUMIF($C$306:$C$345,$D467,J$306:J$345)</f>
        <v>2700</v>
      </c>
      <c r="K467" s="101">
        <f t="shared" si="88"/>
        <v>0</v>
      </c>
      <c r="L467" s="101">
        <f t="shared" si="82"/>
        <v>0</v>
      </c>
      <c r="M467" s="101">
        <f t="shared" ref="M467:N472" si="89">SUMIF($C$306:$C$345,$D467,M$306:M$345)</f>
        <v>0</v>
      </c>
      <c r="N467" s="101">
        <f t="shared" si="89"/>
        <v>0</v>
      </c>
      <c r="O467" s="101">
        <f t="shared" si="83"/>
        <v>0</v>
      </c>
      <c r="P467" s="36"/>
    </row>
    <row r="468" spans="2:16" ht="17" x14ac:dyDescent="0.2">
      <c r="B468" s="82" t="str">
        <f t="shared" si="52"/>
        <v>81999</v>
      </c>
      <c r="C468" s="83">
        <v>8</v>
      </c>
      <c r="D468" s="84">
        <v>1999</v>
      </c>
      <c r="E468" s="101">
        <f t="shared" si="87"/>
        <v>263.02</v>
      </c>
      <c r="F468" s="102">
        <f t="shared" si="87"/>
        <v>35213</v>
      </c>
      <c r="G468" s="103">
        <f t="shared" si="87"/>
        <v>0</v>
      </c>
      <c r="H468" s="101">
        <f t="shared" si="87"/>
        <v>0</v>
      </c>
      <c r="I468" s="101">
        <f t="shared" si="81"/>
        <v>0</v>
      </c>
      <c r="J468" s="103">
        <f t="shared" si="88"/>
        <v>2700</v>
      </c>
      <c r="K468" s="101">
        <f t="shared" si="88"/>
        <v>1200</v>
      </c>
      <c r="L468" s="101">
        <f t="shared" si="82"/>
        <v>44.444444444444443</v>
      </c>
      <c r="M468" s="101">
        <f t="shared" si="89"/>
        <v>0</v>
      </c>
      <c r="N468" s="101">
        <f t="shared" si="89"/>
        <v>0</v>
      </c>
      <c r="O468" s="101">
        <f t="shared" si="83"/>
        <v>0</v>
      </c>
      <c r="P468" s="36"/>
    </row>
    <row r="469" spans="2:16" ht="17" x14ac:dyDescent="0.2">
      <c r="B469" s="88" t="str">
        <f t="shared" si="52"/>
        <v>82002</v>
      </c>
      <c r="C469" s="83">
        <v>8</v>
      </c>
      <c r="D469" s="84">
        <v>2002</v>
      </c>
      <c r="E469" s="101">
        <f t="shared" si="87"/>
        <v>219.27000000000004</v>
      </c>
      <c r="F469" s="102">
        <f t="shared" si="87"/>
        <v>29137</v>
      </c>
      <c r="G469" s="103">
        <f t="shared" si="87"/>
        <v>0</v>
      </c>
      <c r="H469" s="101">
        <f t="shared" si="87"/>
        <v>0</v>
      </c>
      <c r="I469" s="101">
        <f t="shared" si="81"/>
        <v>0</v>
      </c>
      <c r="J469" s="103">
        <f t="shared" si="88"/>
        <v>2400</v>
      </c>
      <c r="K469" s="101">
        <f t="shared" si="88"/>
        <v>300</v>
      </c>
      <c r="L469" s="101">
        <f t="shared" si="82"/>
        <v>12.5</v>
      </c>
      <c r="M469" s="101">
        <f t="shared" si="89"/>
        <v>0</v>
      </c>
      <c r="N469" s="101">
        <f t="shared" si="89"/>
        <v>0</v>
      </c>
      <c r="O469" s="101">
        <f t="shared" si="83"/>
        <v>0</v>
      </c>
      <c r="P469" s="36"/>
    </row>
    <row r="470" spans="2:16" ht="17" x14ac:dyDescent="0.2">
      <c r="B470" s="82" t="str">
        <f t="shared" si="52"/>
        <v>82003</v>
      </c>
      <c r="C470" s="83">
        <v>8</v>
      </c>
      <c r="D470" s="84">
        <v>2003</v>
      </c>
      <c r="E470" s="101">
        <f t="shared" si="87"/>
        <v>176.69</v>
      </c>
      <c r="F470" s="102">
        <f t="shared" si="87"/>
        <v>23834</v>
      </c>
      <c r="G470" s="103">
        <f t="shared" si="87"/>
        <v>0</v>
      </c>
      <c r="H470" s="101">
        <f t="shared" si="87"/>
        <v>0</v>
      </c>
      <c r="I470" s="101">
        <f t="shared" si="81"/>
        <v>0</v>
      </c>
      <c r="J470" s="103">
        <f t="shared" si="88"/>
        <v>1800</v>
      </c>
      <c r="K470" s="101">
        <f t="shared" si="88"/>
        <v>20</v>
      </c>
      <c r="L470" s="101">
        <f t="shared" si="82"/>
        <v>1.1111111111111112</v>
      </c>
      <c r="M470" s="101">
        <f t="shared" si="89"/>
        <v>0</v>
      </c>
      <c r="N470" s="101">
        <f t="shared" si="89"/>
        <v>0</v>
      </c>
      <c r="O470" s="101">
        <f t="shared" si="83"/>
        <v>0</v>
      </c>
      <c r="P470" s="36"/>
    </row>
    <row r="471" spans="2:16" ht="17" x14ac:dyDescent="0.2">
      <c r="B471" s="88" t="str">
        <f t="shared" si="52"/>
        <v>82004</v>
      </c>
      <c r="C471" s="83">
        <v>8</v>
      </c>
      <c r="D471" s="84">
        <v>2004</v>
      </c>
      <c r="E471" s="101">
        <f t="shared" si="87"/>
        <v>86.7</v>
      </c>
      <c r="F471" s="102">
        <f t="shared" si="87"/>
        <v>11637</v>
      </c>
      <c r="G471" s="103">
        <f t="shared" si="87"/>
        <v>0</v>
      </c>
      <c r="H471" s="101">
        <f t="shared" si="87"/>
        <v>0</v>
      </c>
      <c r="I471" s="101">
        <f t="shared" si="81"/>
        <v>0</v>
      </c>
      <c r="J471" s="103">
        <f t="shared" si="88"/>
        <v>900</v>
      </c>
      <c r="K471" s="101">
        <f t="shared" si="88"/>
        <v>0</v>
      </c>
      <c r="L471" s="101">
        <f t="shared" si="82"/>
        <v>0</v>
      </c>
      <c r="M471" s="101">
        <f t="shared" si="89"/>
        <v>0</v>
      </c>
      <c r="N471" s="101">
        <f t="shared" si="89"/>
        <v>0</v>
      </c>
      <c r="O471" s="101">
        <f t="shared" si="83"/>
        <v>0</v>
      </c>
      <c r="P471" s="36"/>
    </row>
    <row r="472" spans="2:16" ht="17" x14ac:dyDescent="0.2">
      <c r="B472" s="82" t="str">
        <f t="shared" si="52"/>
        <v>82005</v>
      </c>
      <c r="C472" s="83">
        <v>8</v>
      </c>
      <c r="D472" s="84">
        <v>2005</v>
      </c>
      <c r="E472" s="101">
        <f t="shared" si="87"/>
        <v>121.78999999999999</v>
      </c>
      <c r="F472" s="102">
        <f t="shared" si="87"/>
        <v>15784</v>
      </c>
      <c r="G472" s="103">
        <f t="shared" si="87"/>
        <v>0</v>
      </c>
      <c r="H472" s="101">
        <f t="shared" si="87"/>
        <v>0</v>
      </c>
      <c r="I472" s="101">
        <f t="shared" si="81"/>
        <v>0</v>
      </c>
      <c r="J472" s="103">
        <f t="shared" si="88"/>
        <v>1500</v>
      </c>
      <c r="K472" s="101">
        <f t="shared" si="88"/>
        <v>0</v>
      </c>
      <c r="L472" s="101">
        <f t="shared" si="82"/>
        <v>0</v>
      </c>
      <c r="M472" s="101">
        <f t="shared" si="89"/>
        <v>0</v>
      </c>
      <c r="N472" s="101">
        <f t="shared" si="89"/>
        <v>0</v>
      </c>
      <c r="O472" s="101">
        <f t="shared" si="83"/>
        <v>0</v>
      </c>
      <c r="P472" s="36"/>
    </row>
    <row r="473" spans="2:16" x14ac:dyDescent="0.2">
      <c r="B473" s="89" t="s">
        <v>596</v>
      </c>
      <c r="C473" s="90"/>
      <c r="D473" s="90"/>
      <c r="E473" s="91">
        <f t="shared" ref="E473:H473" si="90">SUM(E467:E472)</f>
        <v>1129.05</v>
      </c>
      <c r="F473" s="104">
        <f t="shared" si="90"/>
        <v>150317</v>
      </c>
      <c r="G473" s="93">
        <f t="shared" si="90"/>
        <v>0</v>
      </c>
      <c r="H473" s="91">
        <f t="shared" si="90"/>
        <v>0</v>
      </c>
      <c r="I473" s="91">
        <f t="shared" si="81"/>
        <v>0</v>
      </c>
      <c r="J473" s="93">
        <f t="shared" ref="J473:K473" si="91">SUM(J467:J472)</f>
        <v>12000</v>
      </c>
      <c r="K473" s="91">
        <f t="shared" si="91"/>
        <v>1520</v>
      </c>
      <c r="L473" s="91">
        <f t="shared" si="82"/>
        <v>12.666666666666666</v>
      </c>
      <c r="M473" s="91">
        <f t="shared" ref="M473:N473" si="92">SUM(M467:M472)</f>
        <v>0</v>
      </c>
      <c r="N473" s="91">
        <f t="shared" si="92"/>
        <v>0</v>
      </c>
      <c r="O473" s="91">
        <f t="shared" si="83"/>
        <v>0</v>
      </c>
      <c r="P473" s="81"/>
    </row>
    <row r="474" spans="2:16" ht="17" x14ac:dyDescent="0.2">
      <c r="B474" s="82" t="str">
        <f t="shared" si="52"/>
        <v>91997</v>
      </c>
      <c r="C474" s="83">
        <v>9</v>
      </c>
      <c r="D474" s="84">
        <v>1997</v>
      </c>
      <c r="E474" s="85">
        <f t="shared" ref="E474:H478" si="93">SUMIF($C$347:$C$388,$D474,E$347:E$388)</f>
        <v>207.10999999999999</v>
      </c>
      <c r="F474" s="86">
        <f t="shared" si="93"/>
        <v>27548</v>
      </c>
      <c r="G474" s="87">
        <f t="shared" si="93"/>
        <v>3000</v>
      </c>
      <c r="H474" s="85">
        <f t="shared" si="93"/>
        <v>1050</v>
      </c>
      <c r="I474" s="85">
        <f t="shared" si="81"/>
        <v>35</v>
      </c>
      <c r="J474" s="87">
        <f t="shared" ref="J474:K478" si="94">SUMIF($C$347:$C$388,$D474,J$347:J$388)</f>
        <v>900</v>
      </c>
      <c r="K474" s="85">
        <f t="shared" si="94"/>
        <v>300</v>
      </c>
      <c r="L474" s="85">
        <f t="shared" si="82"/>
        <v>33.333333333333336</v>
      </c>
      <c r="M474" s="85">
        <f>SUMIF($C$347:$C$388,$D474,M$347:M$388)</f>
        <v>600</v>
      </c>
      <c r="N474" s="85">
        <f t="shared" ref="M474:O478" si="95">SUMIF($C$347:$C$388,$D474,N$347:N$388)</f>
        <v>300</v>
      </c>
      <c r="O474" s="85">
        <f t="shared" si="83"/>
        <v>50</v>
      </c>
      <c r="P474" s="36"/>
    </row>
    <row r="475" spans="2:16" ht="17" x14ac:dyDescent="0.2">
      <c r="B475" s="88" t="str">
        <f t="shared" si="52"/>
        <v>91998</v>
      </c>
      <c r="C475" s="83">
        <v>9</v>
      </c>
      <c r="D475" s="84">
        <v>1998</v>
      </c>
      <c r="E475" s="85">
        <f t="shared" si="93"/>
        <v>574.80000000000007</v>
      </c>
      <c r="F475" s="86">
        <f t="shared" si="93"/>
        <v>75765</v>
      </c>
      <c r="G475" s="87">
        <f t="shared" si="93"/>
        <v>7000</v>
      </c>
      <c r="H475" s="85">
        <f t="shared" si="93"/>
        <v>4000</v>
      </c>
      <c r="I475" s="85">
        <f t="shared" si="81"/>
        <v>57.142857142857146</v>
      </c>
      <c r="J475" s="87">
        <f t="shared" si="94"/>
        <v>2400</v>
      </c>
      <c r="K475" s="85">
        <f t="shared" si="94"/>
        <v>1200</v>
      </c>
      <c r="L475" s="85">
        <f t="shared" si="82"/>
        <v>50</v>
      </c>
      <c r="M475" s="85">
        <f t="shared" si="95"/>
        <v>8000</v>
      </c>
      <c r="N475" s="85">
        <f t="shared" si="95"/>
        <v>3900</v>
      </c>
      <c r="O475" s="85">
        <f t="shared" si="83"/>
        <v>48.75</v>
      </c>
      <c r="P475" s="36"/>
    </row>
    <row r="476" spans="2:16" ht="17" x14ac:dyDescent="0.2">
      <c r="B476" s="82" t="str">
        <f t="shared" si="52"/>
        <v>92003</v>
      </c>
      <c r="C476" s="83">
        <v>9</v>
      </c>
      <c r="D476" s="84">
        <v>2003</v>
      </c>
      <c r="E476" s="85">
        <f t="shared" si="93"/>
        <v>146.06</v>
      </c>
      <c r="F476" s="86">
        <f t="shared" si="93"/>
        <v>19638</v>
      </c>
      <c r="G476" s="87">
        <f t="shared" si="93"/>
        <v>0</v>
      </c>
      <c r="H476" s="85">
        <f t="shared" si="93"/>
        <v>0</v>
      </c>
      <c r="I476" s="85">
        <f t="shared" si="81"/>
        <v>0</v>
      </c>
      <c r="J476" s="87">
        <f t="shared" si="94"/>
        <v>0</v>
      </c>
      <c r="K476" s="85">
        <f t="shared" si="94"/>
        <v>0</v>
      </c>
      <c r="L476" s="85">
        <f t="shared" si="82"/>
        <v>0</v>
      </c>
      <c r="M476" s="85">
        <f t="shared" si="95"/>
        <v>0</v>
      </c>
      <c r="N476" s="85">
        <f t="shared" si="95"/>
        <v>0</v>
      </c>
      <c r="O476" s="85">
        <f t="shared" si="83"/>
        <v>0</v>
      </c>
      <c r="P476" s="36"/>
    </row>
    <row r="477" spans="2:16" ht="17" x14ac:dyDescent="0.2">
      <c r="B477" s="88" t="str">
        <f t="shared" si="52"/>
        <v>92004</v>
      </c>
      <c r="C477" s="83">
        <v>9</v>
      </c>
      <c r="D477" s="84">
        <v>2004</v>
      </c>
      <c r="E477" s="85">
        <f t="shared" si="93"/>
        <v>28.25</v>
      </c>
      <c r="F477" s="86">
        <f t="shared" si="93"/>
        <v>3838</v>
      </c>
      <c r="G477" s="87">
        <f t="shared" si="93"/>
        <v>0</v>
      </c>
      <c r="H477" s="85">
        <f t="shared" si="93"/>
        <v>0</v>
      </c>
      <c r="I477" s="85">
        <f t="shared" si="81"/>
        <v>0</v>
      </c>
      <c r="J477" s="87">
        <f t="shared" si="94"/>
        <v>0</v>
      </c>
      <c r="K477" s="85">
        <f t="shared" si="94"/>
        <v>0</v>
      </c>
      <c r="L477" s="85">
        <f t="shared" si="82"/>
        <v>0</v>
      </c>
      <c r="M477" s="85">
        <f t="shared" si="95"/>
        <v>0</v>
      </c>
      <c r="N477" s="85">
        <f t="shared" si="95"/>
        <v>0</v>
      </c>
      <c r="O477" s="85">
        <f t="shared" si="83"/>
        <v>0</v>
      </c>
      <c r="P477" s="36"/>
    </row>
    <row r="478" spans="2:16" ht="17" x14ac:dyDescent="0.2">
      <c r="B478" s="82" t="str">
        <f t="shared" si="52"/>
        <v>92005</v>
      </c>
      <c r="C478" s="83">
        <v>9</v>
      </c>
      <c r="D478" s="84">
        <v>2005</v>
      </c>
      <c r="E478" s="85">
        <f t="shared" si="93"/>
        <v>181.86</v>
      </c>
      <c r="F478" s="86">
        <f t="shared" si="93"/>
        <v>24811</v>
      </c>
      <c r="G478" s="87">
        <f t="shared" si="93"/>
        <v>0</v>
      </c>
      <c r="H478" s="85">
        <f t="shared" si="93"/>
        <v>0</v>
      </c>
      <c r="I478" s="85">
        <f t="shared" si="81"/>
        <v>0</v>
      </c>
      <c r="J478" s="87">
        <f t="shared" si="94"/>
        <v>1200</v>
      </c>
      <c r="K478" s="85">
        <f t="shared" si="94"/>
        <v>1200</v>
      </c>
      <c r="L478" s="85">
        <f t="shared" si="82"/>
        <v>100</v>
      </c>
      <c r="M478" s="85">
        <f t="shared" si="95"/>
        <v>0</v>
      </c>
      <c r="N478" s="85">
        <f t="shared" si="95"/>
        <v>0</v>
      </c>
      <c r="O478" s="85">
        <f t="shared" si="83"/>
        <v>0</v>
      </c>
      <c r="P478" s="36"/>
    </row>
    <row r="479" spans="2:16" x14ac:dyDescent="0.2">
      <c r="B479" s="89" t="s">
        <v>597</v>
      </c>
      <c r="C479" s="90"/>
      <c r="D479" s="90"/>
      <c r="E479" s="91">
        <f t="shared" ref="E479:H479" si="96">SUM(E474:E478)</f>
        <v>1138.08</v>
      </c>
      <c r="F479" s="92">
        <f t="shared" si="96"/>
        <v>151600</v>
      </c>
      <c r="G479" s="93">
        <f t="shared" si="96"/>
        <v>10000</v>
      </c>
      <c r="H479" s="91">
        <f t="shared" si="96"/>
        <v>5050</v>
      </c>
      <c r="I479" s="91">
        <f t="shared" si="81"/>
        <v>50.5</v>
      </c>
      <c r="J479" s="93">
        <f t="shared" ref="J479:K479" si="97">SUM(J474:J478)</f>
        <v>4500</v>
      </c>
      <c r="K479" s="91">
        <f t="shared" si="97"/>
        <v>2700</v>
      </c>
      <c r="L479" s="91">
        <f t="shared" si="82"/>
        <v>60</v>
      </c>
      <c r="M479" s="91">
        <f t="shared" ref="M479:N479" si="98">SUM(M474:M478)</f>
        <v>8600</v>
      </c>
      <c r="N479" s="91">
        <f t="shared" si="98"/>
        <v>4200</v>
      </c>
      <c r="O479" s="91">
        <f t="shared" si="83"/>
        <v>48.837209302325583</v>
      </c>
      <c r="P479" s="81"/>
    </row>
    <row r="480" spans="2:16" ht="17" x14ac:dyDescent="0.2">
      <c r="B480" s="82" t="str">
        <f t="shared" si="52"/>
        <v>101998</v>
      </c>
      <c r="C480" s="83">
        <v>10</v>
      </c>
      <c r="D480" s="84">
        <v>1998</v>
      </c>
      <c r="E480" s="85">
        <f t="shared" ref="E480:H485" si="99">SUMIF($C$390:$C$429,$D480,E$390:E$429)</f>
        <v>240.29</v>
      </c>
      <c r="F480" s="86">
        <f t="shared" si="99"/>
        <v>31957</v>
      </c>
      <c r="G480" s="87">
        <f t="shared" si="99"/>
        <v>1000</v>
      </c>
      <c r="H480" s="85">
        <f t="shared" si="99"/>
        <v>3000</v>
      </c>
      <c r="I480" s="85">
        <f t="shared" si="81"/>
        <v>300</v>
      </c>
      <c r="J480" s="87">
        <f t="shared" ref="J480:K485" si="100">SUMIF($C$390:$C$429,$D480,J$390:J$429)</f>
        <v>300</v>
      </c>
      <c r="K480" s="85">
        <f t="shared" si="100"/>
        <v>300</v>
      </c>
      <c r="L480" s="85">
        <f t="shared" si="82"/>
        <v>100</v>
      </c>
      <c r="M480" s="85">
        <f t="shared" ref="M480:N485" si="101">SUMIF($C$390:$C$429,$D480,M$390:M$429)</f>
        <v>0</v>
      </c>
      <c r="N480" s="85">
        <f t="shared" si="101"/>
        <v>0</v>
      </c>
      <c r="O480" s="85">
        <f t="shared" si="83"/>
        <v>0</v>
      </c>
      <c r="P480" s="36"/>
    </row>
    <row r="481" spans="2:16" ht="17" x14ac:dyDescent="0.2">
      <c r="B481" s="88" t="str">
        <f t="shared" si="52"/>
        <v>101999</v>
      </c>
      <c r="C481" s="83">
        <v>10</v>
      </c>
      <c r="D481" s="84">
        <v>1999</v>
      </c>
      <c r="E481" s="85">
        <f t="shared" si="99"/>
        <v>57.69</v>
      </c>
      <c r="F481" s="86">
        <f t="shared" si="99"/>
        <v>7797</v>
      </c>
      <c r="G481" s="87">
        <f t="shared" si="99"/>
        <v>0</v>
      </c>
      <c r="H481" s="85">
        <f t="shared" si="99"/>
        <v>0</v>
      </c>
      <c r="I481" s="85">
        <f t="shared" si="81"/>
        <v>0</v>
      </c>
      <c r="J481" s="87">
        <f t="shared" si="100"/>
        <v>0</v>
      </c>
      <c r="K481" s="85">
        <f t="shared" si="100"/>
        <v>0</v>
      </c>
      <c r="L481" s="85">
        <f t="shared" si="82"/>
        <v>0</v>
      </c>
      <c r="M481" s="85">
        <f t="shared" si="101"/>
        <v>0</v>
      </c>
      <c r="N481" s="85">
        <f t="shared" si="101"/>
        <v>0</v>
      </c>
      <c r="O481" s="85">
        <f t="shared" si="83"/>
        <v>0</v>
      </c>
      <c r="P481" s="36"/>
    </row>
    <row r="482" spans="2:16" ht="17" x14ac:dyDescent="0.2">
      <c r="B482" s="82" t="str">
        <f t="shared" si="52"/>
        <v>102003</v>
      </c>
      <c r="C482" s="83">
        <v>10</v>
      </c>
      <c r="D482" s="84">
        <v>2003</v>
      </c>
      <c r="E482" s="85">
        <f t="shared" si="99"/>
        <v>29.3</v>
      </c>
      <c r="F482" s="86">
        <f t="shared" si="99"/>
        <v>4035</v>
      </c>
      <c r="G482" s="87">
        <f t="shared" si="99"/>
        <v>0</v>
      </c>
      <c r="H482" s="85">
        <f t="shared" si="99"/>
        <v>0</v>
      </c>
      <c r="I482" s="85">
        <f t="shared" si="81"/>
        <v>0</v>
      </c>
      <c r="J482" s="87">
        <f t="shared" si="100"/>
        <v>0</v>
      </c>
      <c r="K482" s="85">
        <f t="shared" si="100"/>
        <v>0</v>
      </c>
      <c r="L482" s="85">
        <f t="shared" si="82"/>
        <v>0</v>
      </c>
      <c r="M482" s="85">
        <f t="shared" si="101"/>
        <v>0</v>
      </c>
      <c r="N482" s="85">
        <f t="shared" si="101"/>
        <v>0</v>
      </c>
      <c r="O482" s="85">
        <f t="shared" si="83"/>
        <v>0</v>
      </c>
      <c r="P482" s="36"/>
    </row>
    <row r="483" spans="2:16" ht="17" x14ac:dyDescent="0.2">
      <c r="B483" s="88" t="str">
        <f t="shared" si="52"/>
        <v>102004</v>
      </c>
      <c r="C483" s="83">
        <v>10</v>
      </c>
      <c r="D483" s="84">
        <v>2004</v>
      </c>
      <c r="E483" s="85">
        <f t="shared" si="99"/>
        <v>148.99</v>
      </c>
      <c r="F483" s="86">
        <f t="shared" si="99"/>
        <v>20782</v>
      </c>
      <c r="G483" s="87">
        <f t="shared" si="99"/>
        <v>0</v>
      </c>
      <c r="H483" s="85">
        <f t="shared" si="99"/>
        <v>0</v>
      </c>
      <c r="I483" s="85">
        <f t="shared" si="81"/>
        <v>0</v>
      </c>
      <c r="J483" s="87">
        <f t="shared" si="100"/>
        <v>300</v>
      </c>
      <c r="K483" s="85">
        <f t="shared" si="100"/>
        <v>300</v>
      </c>
      <c r="L483" s="85">
        <f t="shared" si="82"/>
        <v>100</v>
      </c>
      <c r="M483" s="85">
        <f t="shared" si="101"/>
        <v>0</v>
      </c>
      <c r="N483" s="85">
        <f t="shared" si="101"/>
        <v>0</v>
      </c>
      <c r="O483" s="85">
        <f t="shared" si="83"/>
        <v>0</v>
      </c>
      <c r="P483" s="36"/>
    </row>
    <row r="484" spans="2:16" ht="17" x14ac:dyDescent="0.2">
      <c r="B484" s="82" t="str">
        <f t="shared" si="52"/>
        <v>102005</v>
      </c>
      <c r="C484" s="83">
        <v>10</v>
      </c>
      <c r="D484" s="84">
        <v>2005</v>
      </c>
      <c r="E484" s="85">
        <f t="shared" si="99"/>
        <v>489.64</v>
      </c>
      <c r="F484" s="86">
        <f t="shared" si="99"/>
        <v>64789</v>
      </c>
      <c r="G484" s="87">
        <f t="shared" si="99"/>
        <v>1000</v>
      </c>
      <c r="H484" s="85">
        <f t="shared" si="99"/>
        <v>200</v>
      </c>
      <c r="I484" s="85">
        <f t="shared" si="81"/>
        <v>20</v>
      </c>
      <c r="J484" s="87">
        <f t="shared" si="100"/>
        <v>0</v>
      </c>
      <c r="K484" s="85">
        <f t="shared" si="100"/>
        <v>0</v>
      </c>
      <c r="L484" s="85">
        <f t="shared" si="82"/>
        <v>0</v>
      </c>
      <c r="M484" s="85">
        <f t="shared" si="101"/>
        <v>0</v>
      </c>
      <c r="N484" s="85">
        <f t="shared" si="101"/>
        <v>0</v>
      </c>
      <c r="O484" s="85">
        <f t="shared" si="83"/>
        <v>0</v>
      </c>
      <c r="P484" s="36"/>
    </row>
    <row r="485" spans="2:16" ht="17" x14ac:dyDescent="0.2">
      <c r="B485" s="88" t="str">
        <f t="shared" si="52"/>
        <v>102006</v>
      </c>
      <c r="C485" s="83">
        <v>10</v>
      </c>
      <c r="D485" s="84">
        <v>2006</v>
      </c>
      <c r="E485" s="85">
        <f t="shared" si="99"/>
        <v>157.68</v>
      </c>
      <c r="F485" s="86">
        <f t="shared" si="99"/>
        <v>20745</v>
      </c>
      <c r="G485" s="87">
        <f t="shared" si="99"/>
        <v>0</v>
      </c>
      <c r="H485" s="85">
        <f t="shared" si="99"/>
        <v>0</v>
      </c>
      <c r="I485" s="85">
        <f t="shared" si="81"/>
        <v>0</v>
      </c>
      <c r="J485" s="87">
        <f t="shared" si="100"/>
        <v>0</v>
      </c>
      <c r="K485" s="85">
        <f t="shared" si="100"/>
        <v>0</v>
      </c>
      <c r="L485" s="85">
        <f t="shared" si="82"/>
        <v>0</v>
      </c>
      <c r="M485" s="85">
        <f t="shared" si="101"/>
        <v>0</v>
      </c>
      <c r="N485" s="85">
        <f t="shared" si="101"/>
        <v>0</v>
      </c>
      <c r="O485" s="85">
        <f t="shared" si="83"/>
        <v>0</v>
      </c>
      <c r="P485" s="36"/>
    </row>
    <row r="486" spans="2:16" x14ac:dyDescent="0.2">
      <c r="B486" s="105" t="s">
        <v>598</v>
      </c>
      <c r="C486" s="90"/>
      <c r="D486" s="90"/>
      <c r="E486" s="91">
        <f t="shared" ref="E486:H486" si="102">SUM(E480:E485)</f>
        <v>1123.5900000000001</v>
      </c>
      <c r="F486" s="92">
        <f t="shared" si="102"/>
        <v>150105</v>
      </c>
      <c r="G486" s="93">
        <f t="shared" si="102"/>
        <v>2000</v>
      </c>
      <c r="H486" s="91">
        <f t="shared" si="102"/>
        <v>3200</v>
      </c>
      <c r="I486" s="91">
        <f t="shared" si="81"/>
        <v>160</v>
      </c>
      <c r="J486" s="93">
        <f t="shared" ref="J486:K486" si="103">SUM(J480:J485)</f>
        <v>600</v>
      </c>
      <c r="K486" s="91">
        <f t="shared" si="103"/>
        <v>600</v>
      </c>
      <c r="L486" s="91">
        <f t="shared" si="82"/>
        <v>100</v>
      </c>
      <c r="M486" s="91">
        <f t="shared" ref="M486:N486" si="104">SUM(M480:M485)</f>
        <v>0</v>
      </c>
      <c r="N486" s="91">
        <f t="shared" si="104"/>
        <v>0</v>
      </c>
      <c r="O486" s="91">
        <f t="shared" si="83"/>
        <v>0</v>
      </c>
      <c r="P486" s="81"/>
    </row>
    <row r="487" spans="2:16" x14ac:dyDescent="0.2">
      <c r="B487" s="461" t="s">
        <v>563</v>
      </c>
      <c r="C487" s="106">
        <v>1991</v>
      </c>
      <c r="D487" s="106"/>
      <c r="E487" s="107">
        <f t="shared" ref="E487:H514" si="105">SUMIF($D$432:$D$485,$C487,E$432:E$485)</f>
        <v>0</v>
      </c>
      <c r="F487" s="108">
        <f t="shared" si="105"/>
        <v>0</v>
      </c>
      <c r="G487" s="109">
        <f t="shared" si="105"/>
        <v>0</v>
      </c>
      <c r="H487" s="107">
        <f t="shared" si="105"/>
        <v>0</v>
      </c>
      <c r="I487" s="107">
        <f t="shared" si="81"/>
        <v>0</v>
      </c>
      <c r="J487" s="109">
        <f t="shared" ref="J487:N502" si="106">SUMIF($D$432:$D$485,$C487,J$432:J$485)</f>
        <v>0</v>
      </c>
      <c r="K487" s="107">
        <f t="shared" si="106"/>
        <v>0</v>
      </c>
      <c r="L487" s="107">
        <f t="shared" si="82"/>
        <v>0</v>
      </c>
      <c r="M487" s="107">
        <f t="shared" si="106"/>
        <v>0</v>
      </c>
      <c r="N487" s="107">
        <f t="shared" si="106"/>
        <v>0</v>
      </c>
      <c r="O487" s="107">
        <f t="shared" si="83"/>
        <v>0</v>
      </c>
      <c r="P487" s="36"/>
    </row>
    <row r="488" spans="2:16" x14ac:dyDescent="0.2">
      <c r="B488" s="461"/>
      <c r="C488" s="106">
        <v>1992</v>
      </c>
      <c r="D488" s="106"/>
      <c r="E488" s="107">
        <f t="shared" si="105"/>
        <v>0</v>
      </c>
      <c r="F488" s="108">
        <f t="shared" si="105"/>
        <v>0</v>
      </c>
      <c r="G488" s="109">
        <f t="shared" si="105"/>
        <v>0</v>
      </c>
      <c r="H488" s="107">
        <f t="shared" si="105"/>
        <v>0</v>
      </c>
      <c r="I488" s="107">
        <f t="shared" si="81"/>
        <v>0</v>
      </c>
      <c r="J488" s="109">
        <f t="shared" si="106"/>
        <v>0</v>
      </c>
      <c r="K488" s="107">
        <f t="shared" si="106"/>
        <v>0</v>
      </c>
      <c r="L488" s="107">
        <f t="shared" si="82"/>
        <v>0</v>
      </c>
      <c r="M488" s="107">
        <f t="shared" si="106"/>
        <v>0</v>
      </c>
      <c r="N488" s="107">
        <f t="shared" si="106"/>
        <v>0</v>
      </c>
      <c r="O488" s="107">
        <f t="shared" si="83"/>
        <v>0</v>
      </c>
      <c r="P488" s="36"/>
    </row>
    <row r="489" spans="2:16" x14ac:dyDescent="0.2">
      <c r="B489" s="461"/>
      <c r="C489" s="106">
        <v>1993</v>
      </c>
      <c r="D489" s="106"/>
      <c r="E489" s="107">
        <f t="shared" si="105"/>
        <v>0</v>
      </c>
      <c r="F489" s="108">
        <f t="shared" si="105"/>
        <v>0</v>
      </c>
      <c r="G489" s="109">
        <f t="shared" si="105"/>
        <v>0</v>
      </c>
      <c r="H489" s="107">
        <f t="shared" si="105"/>
        <v>0</v>
      </c>
      <c r="I489" s="107">
        <f t="shared" si="81"/>
        <v>0</v>
      </c>
      <c r="J489" s="109">
        <f t="shared" si="106"/>
        <v>0</v>
      </c>
      <c r="K489" s="107">
        <f t="shared" si="106"/>
        <v>0</v>
      </c>
      <c r="L489" s="107">
        <f t="shared" si="82"/>
        <v>0</v>
      </c>
      <c r="M489" s="107">
        <f t="shared" si="106"/>
        <v>0</v>
      </c>
      <c r="N489" s="107">
        <f t="shared" si="106"/>
        <v>0</v>
      </c>
      <c r="O489" s="107">
        <f t="shared" si="83"/>
        <v>0</v>
      </c>
      <c r="P489" s="36"/>
    </row>
    <row r="490" spans="2:16" x14ac:dyDescent="0.2">
      <c r="B490" s="461"/>
      <c r="C490" s="106">
        <v>1994</v>
      </c>
      <c r="D490" s="106"/>
      <c r="E490" s="107">
        <f t="shared" si="105"/>
        <v>0</v>
      </c>
      <c r="F490" s="108">
        <f t="shared" si="105"/>
        <v>0</v>
      </c>
      <c r="G490" s="109">
        <f t="shared" si="105"/>
        <v>0</v>
      </c>
      <c r="H490" s="107">
        <f t="shared" si="105"/>
        <v>0</v>
      </c>
      <c r="I490" s="107">
        <f t="shared" si="81"/>
        <v>0</v>
      </c>
      <c r="J490" s="109">
        <f t="shared" si="106"/>
        <v>0</v>
      </c>
      <c r="K490" s="107">
        <f t="shared" si="106"/>
        <v>0</v>
      </c>
      <c r="L490" s="107">
        <f t="shared" si="82"/>
        <v>0</v>
      </c>
      <c r="M490" s="107">
        <f t="shared" si="106"/>
        <v>0</v>
      </c>
      <c r="N490" s="107">
        <f t="shared" si="106"/>
        <v>0</v>
      </c>
      <c r="O490" s="107">
        <f t="shared" si="83"/>
        <v>0</v>
      </c>
      <c r="P490" s="36"/>
    </row>
    <row r="491" spans="2:16" x14ac:dyDescent="0.2">
      <c r="B491" s="461"/>
      <c r="C491" s="106">
        <v>1996</v>
      </c>
      <c r="D491" s="106"/>
      <c r="E491" s="107">
        <f t="shared" si="105"/>
        <v>1246.1199999999999</v>
      </c>
      <c r="F491" s="108">
        <f t="shared" si="105"/>
        <v>160726</v>
      </c>
      <c r="G491" s="109">
        <f t="shared" si="105"/>
        <v>39000</v>
      </c>
      <c r="H491" s="107">
        <f t="shared" si="105"/>
        <v>1000</v>
      </c>
      <c r="I491" s="107">
        <f t="shared" si="81"/>
        <v>2.5641025641025643</v>
      </c>
      <c r="J491" s="109">
        <f t="shared" si="106"/>
        <v>10950</v>
      </c>
      <c r="K491" s="107">
        <f t="shared" si="106"/>
        <v>650</v>
      </c>
      <c r="L491" s="107">
        <f t="shared" si="82"/>
        <v>5.9360730593607309</v>
      </c>
      <c r="M491" s="107">
        <f t="shared" si="106"/>
        <v>3500</v>
      </c>
      <c r="N491" s="107">
        <f t="shared" si="106"/>
        <v>3200</v>
      </c>
      <c r="O491" s="107">
        <f t="shared" si="83"/>
        <v>91.428571428571431</v>
      </c>
      <c r="P491" s="36"/>
    </row>
    <row r="492" spans="2:16" x14ac:dyDescent="0.2">
      <c r="B492" s="461"/>
      <c r="C492" s="106">
        <v>1997</v>
      </c>
      <c r="D492" s="106"/>
      <c r="E492" s="107">
        <f t="shared" si="105"/>
        <v>3995.0599999999995</v>
      </c>
      <c r="F492" s="108">
        <f t="shared" si="105"/>
        <v>513205</v>
      </c>
      <c r="G492" s="109">
        <f t="shared" si="105"/>
        <v>55675</v>
      </c>
      <c r="H492" s="107">
        <f t="shared" si="105"/>
        <v>5750</v>
      </c>
      <c r="I492" s="107">
        <f t="shared" si="81"/>
        <v>10.327795240233497</v>
      </c>
      <c r="J492" s="109">
        <f t="shared" si="106"/>
        <v>11400</v>
      </c>
      <c r="K492" s="107">
        <f t="shared" si="106"/>
        <v>2550</v>
      </c>
      <c r="L492" s="107">
        <f t="shared" si="82"/>
        <v>22.368421052631579</v>
      </c>
      <c r="M492" s="107">
        <f t="shared" si="106"/>
        <v>3700</v>
      </c>
      <c r="N492" s="107">
        <f t="shared" si="106"/>
        <v>2400</v>
      </c>
      <c r="O492" s="107">
        <f t="shared" si="83"/>
        <v>64.86486486486487</v>
      </c>
      <c r="P492" s="36"/>
    </row>
    <row r="493" spans="2:16" x14ac:dyDescent="0.2">
      <c r="B493" s="461"/>
      <c r="C493" s="106">
        <v>1998</v>
      </c>
      <c r="D493" s="106"/>
      <c r="E493" s="107">
        <f t="shared" si="105"/>
        <v>1540.42</v>
      </c>
      <c r="F493" s="108">
        <f t="shared" si="105"/>
        <v>204705</v>
      </c>
      <c r="G493" s="109">
        <f t="shared" si="105"/>
        <v>8000</v>
      </c>
      <c r="H493" s="107">
        <f t="shared" si="105"/>
        <v>7000</v>
      </c>
      <c r="I493" s="107">
        <f t="shared" si="81"/>
        <v>87.5</v>
      </c>
      <c r="J493" s="109">
        <f t="shared" si="106"/>
        <v>6600</v>
      </c>
      <c r="K493" s="107">
        <f t="shared" si="106"/>
        <v>2700</v>
      </c>
      <c r="L493" s="107">
        <f t="shared" si="82"/>
        <v>40.909090909090907</v>
      </c>
      <c r="M493" s="107">
        <f t="shared" si="106"/>
        <v>9000</v>
      </c>
      <c r="N493" s="107">
        <f t="shared" si="106"/>
        <v>4900</v>
      </c>
      <c r="O493" s="107">
        <f t="shared" si="83"/>
        <v>54.444444444444443</v>
      </c>
      <c r="P493" s="36"/>
    </row>
    <row r="494" spans="2:16" x14ac:dyDescent="0.2">
      <c r="B494" s="461"/>
      <c r="C494" s="106">
        <v>1999</v>
      </c>
      <c r="D494" s="106"/>
      <c r="E494" s="107">
        <f t="shared" si="105"/>
        <v>350.14</v>
      </c>
      <c r="F494" s="108">
        <f t="shared" si="105"/>
        <v>46544</v>
      </c>
      <c r="G494" s="109">
        <f t="shared" si="105"/>
        <v>0</v>
      </c>
      <c r="H494" s="107">
        <f t="shared" si="105"/>
        <v>0</v>
      </c>
      <c r="I494" s="107">
        <f t="shared" si="81"/>
        <v>0</v>
      </c>
      <c r="J494" s="109">
        <f t="shared" si="106"/>
        <v>2700</v>
      </c>
      <c r="K494" s="107">
        <f t="shared" si="106"/>
        <v>1200</v>
      </c>
      <c r="L494" s="107">
        <f t="shared" si="82"/>
        <v>44.444444444444443</v>
      </c>
      <c r="M494" s="107">
        <f>SUMIF($D$432:$D$485,$C494,M$432:M$485)</f>
        <v>0</v>
      </c>
      <c r="N494" s="107">
        <f t="shared" si="106"/>
        <v>0</v>
      </c>
      <c r="O494" s="107">
        <f t="shared" si="83"/>
        <v>0</v>
      </c>
      <c r="P494" s="36"/>
    </row>
    <row r="495" spans="2:16" x14ac:dyDescent="0.2">
      <c r="B495" s="461"/>
      <c r="C495" s="106">
        <v>2000</v>
      </c>
      <c r="D495" s="106"/>
      <c r="E495" s="107">
        <f t="shared" si="105"/>
        <v>0</v>
      </c>
      <c r="F495" s="108">
        <f t="shared" si="105"/>
        <v>0</v>
      </c>
      <c r="G495" s="109">
        <f t="shared" si="105"/>
        <v>0</v>
      </c>
      <c r="H495" s="107">
        <f t="shared" si="105"/>
        <v>0</v>
      </c>
      <c r="I495" s="107">
        <f t="shared" si="81"/>
        <v>0</v>
      </c>
      <c r="J495" s="109">
        <f t="shared" si="106"/>
        <v>0</v>
      </c>
      <c r="K495" s="107">
        <f t="shared" si="106"/>
        <v>0</v>
      </c>
      <c r="L495" s="107">
        <f t="shared" si="82"/>
        <v>0</v>
      </c>
      <c r="M495" s="107">
        <f t="shared" si="106"/>
        <v>0</v>
      </c>
      <c r="N495" s="107">
        <f t="shared" si="106"/>
        <v>0</v>
      </c>
      <c r="O495" s="107">
        <f t="shared" si="83"/>
        <v>0</v>
      </c>
      <c r="P495" s="36"/>
    </row>
    <row r="496" spans="2:16" x14ac:dyDescent="0.2">
      <c r="B496" s="461"/>
      <c r="C496" s="106">
        <v>2001</v>
      </c>
      <c r="D496" s="106"/>
      <c r="E496" s="107">
        <f t="shared" si="105"/>
        <v>0</v>
      </c>
      <c r="F496" s="108">
        <f t="shared" si="105"/>
        <v>0</v>
      </c>
      <c r="G496" s="109">
        <f t="shared" si="105"/>
        <v>0</v>
      </c>
      <c r="H496" s="107">
        <f t="shared" si="105"/>
        <v>0</v>
      </c>
      <c r="I496" s="107">
        <f t="shared" si="81"/>
        <v>0</v>
      </c>
      <c r="J496" s="109">
        <f t="shared" si="106"/>
        <v>0</v>
      </c>
      <c r="K496" s="107">
        <f t="shared" si="106"/>
        <v>0</v>
      </c>
      <c r="L496" s="107">
        <f t="shared" si="82"/>
        <v>0</v>
      </c>
      <c r="M496" s="107">
        <f t="shared" si="106"/>
        <v>0</v>
      </c>
      <c r="N496" s="107">
        <f t="shared" si="106"/>
        <v>0</v>
      </c>
      <c r="O496" s="107">
        <f t="shared" si="83"/>
        <v>0</v>
      </c>
      <c r="P496" s="36"/>
    </row>
    <row r="497" spans="2:16" x14ac:dyDescent="0.2">
      <c r="B497" s="461"/>
      <c r="C497" s="106">
        <v>2002</v>
      </c>
      <c r="D497" s="106"/>
      <c r="E497" s="107">
        <f t="shared" si="105"/>
        <v>462.47</v>
      </c>
      <c r="F497" s="108">
        <f t="shared" si="105"/>
        <v>61975</v>
      </c>
      <c r="G497" s="109">
        <f t="shared" si="105"/>
        <v>0</v>
      </c>
      <c r="H497" s="107">
        <f t="shared" si="105"/>
        <v>0</v>
      </c>
      <c r="I497" s="107">
        <f t="shared" si="81"/>
        <v>0</v>
      </c>
      <c r="J497" s="109">
        <f t="shared" si="106"/>
        <v>2400</v>
      </c>
      <c r="K497" s="107">
        <f t="shared" si="106"/>
        <v>300</v>
      </c>
      <c r="L497" s="107">
        <f t="shared" si="82"/>
        <v>12.5</v>
      </c>
      <c r="M497" s="107">
        <f t="shared" si="106"/>
        <v>3000</v>
      </c>
      <c r="N497" s="107">
        <f t="shared" si="106"/>
        <v>3000</v>
      </c>
      <c r="O497" s="107">
        <f t="shared" si="83"/>
        <v>100</v>
      </c>
      <c r="P497" s="36"/>
    </row>
    <row r="498" spans="2:16" x14ac:dyDescent="0.2">
      <c r="B498" s="461"/>
      <c r="C498" s="106">
        <v>2003</v>
      </c>
      <c r="D498" s="106"/>
      <c r="E498" s="107">
        <f t="shared" si="105"/>
        <v>658.68</v>
      </c>
      <c r="F498" s="108">
        <f t="shared" si="105"/>
        <v>87085</v>
      </c>
      <c r="G498" s="109">
        <f t="shared" si="105"/>
        <v>7000</v>
      </c>
      <c r="H498" s="107">
        <f t="shared" si="105"/>
        <v>0</v>
      </c>
      <c r="I498" s="107">
        <f t="shared" si="81"/>
        <v>0</v>
      </c>
      <c r="J498" s="109">
        <f t="shared" si="106"/>
        <v>3900</v>
      </c>
      <c r="K498" s="107">
        <f t="shared" si="106"/>
        <v>320</v>
      </c>
      <c r="L498" s="107">
        <f t="shared" si="82"/>
        <v>8.2051282051282044</v>
      </c>
      <c r="M498" s="107">
        <f t="shared" si="106"/>
        <v>0</v>
      </c>
      <c r="N498" s="107">
        <f t="shared" si="106"/>
        <v>0</v>
      </c>
      <c r="O498" s="107">
        <f t="shared" si="83"/>
        <v>0</v>
      </c>
      <c r="P498" s="36"/>
    </row>
    <row r="499" spans="2:16" x14ac:dyDescent="0.2">
      <c r="B499" s="461"/>
      <c r="C499" s="106">
        <v>2004</v>
      </c>
      <c r="D499" s="106"/>
      <c r="E499" s="107">
        <f t="shared" si="105"/>
        <v>519.78</v>
      </c>
      <c r="F499" s="108">
        <f t="shared" si="105"/>
        <v>68534</v>
      </c>
      <c r="G499" s="109">
        <f t="shared" si="105"/>
        <v>5000</v>
      </c>
      <c r="H499" s="107">
        <f t="shared" si="105"/>
        <v>0</v>
      </c>
      <c r="I499" s="107">
        <f t="shared" si="81"/>
        <v>0</v>
      </c>
      <c r="J499" s="109">
        <f t="shared" si="106"/>
        <v>2700</v>
      </c>
      <c r="K499" s="107">
        <f t="shared" si="106"/>
        <v>760</v>
      </c>
      <c r="L499" s="107">
        <f t="shared" si="82"/>
        <v>28.148148148148149</v>
      </c>
      <c r="M499" s="107">
        <f t="shared" si="106"/>
        <v>0</v>
      </c>
      <c r="N499" s="107">
        <f t="shared" si="106"/>
        <v>0</v>
      </c>
      <c r="O499" s="107">
        <f t="shared" si="83"/>
        <v>0</v>
      </c>
      <c r="P499" s="36"/>
    </row>
    <row r="500" spans="2:16" x14ac:dyDescent="0.2">
      <c r="B500" s="461"/>
      <c r="C500" s="106">
        <v>2005</v>
      </c>
      <c r="D500" s="106"/>
      <c r="E500" s="107">
        <f t="shared" si="105"/>
        <v>1003.51</v>
      </c>
      <c r="F500" s="108">
        <f t="shared" si="105"/>
        <v>133754</v>
      </c>
      <c r="G500" s="109">
        <f t="shared" si="105"/>
        <v>10000</v>
      </c>
      <c r="H500" s="107">
        <f t="shared" si="105"/>
        <v>200</v>
      </c>
      <c r="I500" s="107">
        <f t="shared" si="81"/>
        <v>2</v>
      </c>
      <c r="J500" s="109">
        <f t="shared" si="106"/>
        <v>5400</v>
      </c>
      <c r="K500" s="107">
        <f t="shared" si="106"/>
        <v>1670</v>
      </c>
      <c r="L500" s="107">
        <f t="shared" si="82"/>
        <v>30.925925925925927</v>
      </c>
      <c r="M500" s="107">
        <f t="shared" si="106"/>
        <v>0</v>
      </c>
      <c r="N500" s="107">
        <f t="shared" si="106"/>
        <v>0</v>
      </c>
      <c r="O500" s="107">
        <f t="shared" si="83"/>
        <v>0</v>
      </c>
      <c r="P500" s="36"/>
    </row>
    <row r="501" spans="2:16" x14ac:dyDescent="0.2">
      <c r="B501" s="461"/>
      <c r="C501" s="106">
        <v>2006</v>
      </c>
      <c r="D501" s="106"/>
      <c r="E501" s="107">
        <f t="shared" si="105"/>
        <v>326.46000000000004</v>
      </c>
      <c r="F501" s="108">
        <f t="shared" si="105"/>
        <v>42277</v>
      </c>
      <c r="G501" s="109">
        <f t="shared" si="105"/>
        <v>6000</v>
      </c>
      <c r="H501" s="107">
        <f t="shared" si="105"/>
        <v>0</v>
      </c>
      <c r="I501" s="107">
        <f t="shared" si="81"/>
        <v>0</v>
      </c>
      <c r="J501" s="109">
        <f t="shared" si="106"/>
        <v>1800</v>
      </c>
      <c r="K501" s="107">
        <f t="shared" si="106"/>
        <v>0</v>
      </c>
      <c r="L501" s="107">
        <f t="shared" si="82"/>
        <v>0</v>
      </c>
      <c r="M501" s="107">
        <f t="shared" si="106"/>
        <v>0</v>
      </c>
      <c r="N501" s="107">
        <f t="shared" si="106"/>
        <v>0</v>
      </c>
      <c r="O501" s="107">
        <f t="shared" si="83"/>
        <v>0</v>
      </c>
      <c r="P501" s="36"/>
    </row>
    <row r="502" spans="2:16" x14ac:dyDescent="0.2">
      <c r="B502" s="461"/>
      <c r="C502" s="106">
        <v>2007</v>
      </c>
      <c r="D502" s="106"/>
      <c r="E502" s="107">
        <f t="shared" si="105"/>
        <v>0</v>
      </c>
      <c r="F502" s="108">
        <f t="shared" si="105"/>
        <v>0</v>
      </c>
      <c r="G502" s="109">
        <f t="shared" si="105"/>
        <v>0</v>
      </c>
      <c r="H502" s="107">
        <f t="shared" si="105"/>
        <v>0</v>
      </c>
      <c r="I502" s="107">
        <f t="shared" si="81"/>
        <v>0</v>
      </c>
      <c r="J502" s="109">
        <f t="shared" si="106"/>
        <v>0</v>
      </c>
      <c r="K502" s="107">
        <f t="shared" si="106"/>
        <v>0</v>
      </c>
      <c r="L502" s="107">
        <f t="shared" si="82"/>
        <v>0</v>
      </c>
      <c r="M502" s="107">
        <f t="shared" si="106"/>
        <v>0</v>
      </c>
      <c r="N502" s="107">
        <f t="shared" si="106"/>
        <v>0</v>
      </c>
      <c r="O502" s="107">
        <f t="shared" si="83"/>
        <v>0</v>
      </c>
      <c r="P502" s="36"/>
    </row>
    <row r="503" spans="2:16" x14ac:dyDescent="0.2">
      <c r="B503" s="461"/>
      <c r="C503" s="106">
        <v>2008</v>
      </c>
      <c r="D503" s="106"/>
      <c r="E503" s="107">
        <f t="shared" si="105"/>
        <v>0</v>
      </c>
      <c r="F503" s="108">
        <f t="shared" si="105"/>
        <v>0</v>
      </c>
      <c r="G503" s="109">
        <f t="shared" si="105"/>
        <v>0</v>
      </c>
      <c r="H503" s="107">
        <f t="shared" si="105"/>
        <v>0</v>
      </c>
      <c r="I503" s="107">
        <f t="shared" si="81"/>
        <v>0</v>
      </c>
      <c r="J503" s="109">
        <f t="shared" ref="J503:K514" si="107">SUMIF($D$432:$D$485,$C503,J$432:J$485)</f>
        <v>0</v>
      </c>
      <c r="K503" s="107">
        <f t="shared" si="107"/>
        <v>0</v>
      </c>
      <c r="L503" s="107">
        <f t="shared" si="82"/>
        <v>0</v>
      </c>
      <c r="M503" s="107">
        <f t="shared" ref="M503:N514" si="108">SUMIF($D$432:$D$485,$C503,M$432:M$485)</f>
        <v>0</v>
      </c>
      <c r="N503" s="107">
        <f t="shared" si="108"/>
        <v>0</v>
      </c>
      <c r="O503" s="107">
        <f t="shared" si="83"/>
        <v>0</v>
      </c>
      <c r="P503" s="36"/>
    </row>
    <row r="504" spans="2:16" x14ac:dyDescent="0.2">
      <c r="B504" s="461"/>
      <c r="C504" s="106">
        <v>2009</v>
      </c>
      <c r="D504" s="106"/>
      <c r="E504" s="107">
        <f t="shared" si="105"/>
        <v>0</v>
      </c>
      <c r="F504" s="108">
        <f t="shared" si="105"/>
        <v>0</v>
      </c>
      <c r="G504" s="109">
        <f t="shared" si="105"/>
        <v>0</v>
      </c>
      <c r="H504" s="107">
        <f t="shared" si="105"/>
        <v>0</v>
      </c>
      <c r="I504" s="107">
        <f t="shared" si="81"/>
        <v>0</v>
      </c>
      <c r="J504" s="109">
        <f t="shared" si="107"/>
        <v>0</v>
      </c>
      <c r="K504" s="107">
        <f t="shared" si="107"/>
        <v>0</v>
      </c>
      <c r="L504" s="107">
        <f t="shared" si="82"/>
        <v>0</v>
      </c>
      <c r="M504" s="107">
        <f t="shared" si="108"/>
        <v>0</v>
      </c>
      <c r="N504" s="107">
        <f t="shared" si="108"/>
        <v>0</v>
      </c>
      <c r="O504" s="107">
        <f t="shared" si="83"/>
        <v>0</v>
      </c>
      <c r="P504" s="36"/>
    </row>
    <row r="505" spans="2:16" x14ac:dyDescent="0.2">
      <c r="B505" s="461"/>
      <c r="C505" s="106">
        <v>2010</v>
      </c>
      <c r="D505" s="106"/>
      <c r="E505" s="107">
        <f t="shared" si="105"/>
        <v>0</v>
      </c>
      <c r="F505" s="108">
        <f t="shared" si="105"/>
        <v>0</v>
      </c>
      <c r="G505" s="109">
        <f t="shared" si="105"/>
        <v>0</v>
      </c>
      <c r="H505" s="107">
        <f t="shared" si="105"/>
        <v>0</v>
      </c>
      <c r="I505" s="107">
        <f t="shared" si="81"/>
        <v>0</v>
      </c>
      <c r="J505" s="109">
        <f t="shared" si="107"/>
        <v>0</v>
      </c>
      <c r="K505" s="107">
        <f t="shared" si="107"/>
        <v>0</v>
      </c>
      <c r="L505" s="107">
        <f t="shared" si="82"/>
        <v>0</v>
      </c>
      <c r="M505" s="107">
        <f t="shared" si="108"/>
        <v>0</v>
      </c>
      <c r="N505" s="107">
        <f t="shared" si="108"/>
        <v>0</v>
      </c>
      <c r="O505" s="107">
        <f t="shared" si="83"/>
        <v>0</v>
      </c>
      <c r="P505" s="36"/>
    </row>
    <row r="506" spans="2:16" x14ac:dyDescent="0.2">
      <c r="B506" s="461"/>
      <c r="C506" s="106">
        <v>2011</v>
      </c>
      <c r="D506" s="106"/>
      <c r="E506" s="107">
        <f t="shared" si="105"/>
        <v>0</v>
      </c>
      <c r="F506" s="108">
        <f t="shared" si="105"/>
        <v>0</v>
      </c>
      <c r="G506" s="109">
        <f t="shared" si="105"/>
        <v>0</v>
      </c>
      <c r="H506" s="107">
        <f t="shared" si="105"/>
        <v>0</v>
      </c>
      <c r="I506" s="107">
        <f t="shared" si="81"/>
        <v>0</v>
      </c>
      <c r="J506" s="109">
        <f t="shared" si="107"/>
        <v>0</v>
      </c>
      <c r="K506" s="107">
        <f t="shared" si="107"/>
        <v>0</v>
      </c>
      <c r="L506" s="107">
        <f t="shared" si="82"/>
        <v>0</v>
      </c>
      <c r="M506" s="107">
        <f t="shared" si="108"/>
        <v>0</v>
      </c>
      <c r="N506" s="107">
        <f t="shared" si="108"/>
        <v>0</v>
      </c>
      <c r="O506" s="107">
        <f t="shared" si="83"/>
        <v>0</v>
      </c>
      <c r="P506" s="36"/>
    </row>
    <row r="507" spans="2:16" x14ac:dyDescent="0.2">
      <c r="B507" s="461"/>
      <c r="C507" s="106">
        <v>2012</v>
      </c>
      <c r="D507" s="106"/>
      <c r="E507" s="107">
        <f t="shared" si="105"/>
        <v>96.53</v>
      </c>
      <c r="F507" s="108">
        <f t="shared" si="105"/>
        <v>12223</v>
      </c>
      <c r="G507" s="109">
        <f t="shared" si="105"/>
        <v>0</v>
      </c>
      <c r="H507" s="107">
        <f t="shared" si="105"/>
        <v>0</v>
      </c>
      <c r="I507" s="107">
        <f t="shared" si="81"/>
        <v>0</v>
      </c>
      <c r="J507" s="109">
        <f t="shared" si="107"/>
        <v>0</v>
      </c>
      <c r="K507" s="107">
        <f t="shared" si="107"/>
        <v>0</v>
      </c>
      <c r="L507" s="107">
        <f t="shared" si="82"/>
        <v>0</v>
      </c>
      <c r="M507" s="107">
        <f t="shared" si="108"/>
        <v>0</v>
      </c>
      <c r="N507" s="107">
        <f t="shared" si="108"/>
        <v>0</v>
      </c>
      <c r="O507" s="107">
        <f t="shared" si="83"/>
        <v>0</v>
      </c>
      <c r="P507" s="36"/>
    </row>
    <row r="508" spans="2:16" x14ac:dyDescent="0.2">
      <c r="B508" s="461"/>
      <c r="C508" s="106">
        <v>2013</v>
      </c>
      <c r="D508" s="106"/>
      <c r="E508" s="107">
        <f t="shared" si="105"/>
        <v>21.83</v>
      </c>
      <c r="F508" s="108">
        <f t="shared" si="105"/>
        <v>2865</v>
      </c>
      <c r="G508" s="109">
        <f t="shared" si="105"/>
        <v>0</v>
      </c>
      <c r="H508" s="107">
        <f t="shared" si="105"/>
        <v>0</v>
      </c>
      <c r="I508" s="107">
        <f t="shared" si="81"/>
        <v>0</v>
      </c>
      <c r="J508" s="109">
        <f t="shared" si="107"/>
        <v>0</v>
      </c>
      <c r="K508" s="107">
        <f t="shared" si="107"/>
        <v>0</v>
      </c>
      <c r="L508" s="107">
        <f t="shared" si="82"/>
        <v>0</v>
      </c>
      <c r="M508" s="107">
        <f t="shared" si="108"/>
        <v>0</v>
      </c>
      <c r="N508" s="107">
        <f t="shared" si="108"/>
        <v>0</v>
      </c>
      <c r="O508" s="107">
        <f t="shared" si="83"/>
        <v>0</v>
      </c>
      <c r="P508" s="36"/>
    </row>
    <row r="509" spans="2:16" x14ac:dyDescent="0.2">
      <c r="B509" s="461"/>
      <c r="C509" s="106">
        <v>2018</v>
      </c>
      <c r="D509" s="106"/>
      <c r="E509" s="107">
        <f t="shared" si="105"/>
        <v>18.2</v>
      </c>
      <c r="F509" s="108">
        <f t="shared" si="105"/>
        <v>2450</v>
      </c>
      <c r="G509" s="109">
        <f t="shared" si="105"/>
        <v>0</v>
      </c>
      <c r="H509" s="107">
        <f t="shared" si="105"/>
        <v>0</v>
      </c>
      <c r="I509" s="107">
        <f t="shared" si="81"/>
        <v>0</v>
      </c>
      <c r="J509" s="109">
        <f t="shared" si="107"/>
        <v>0</v>
      </c>
      <c r="K509" s="107">
        <f t="shared" si="107"/>
        <v>0</v>
      </c>
      <c r="L509" s="107">
        <f t="shared" si="82"/>
        <v>0</v>
      </c>
      <c r="M509" s="107">
        <f t="shared" si="108"/>
        <v>0</v>
      </c>
      <c r="N509" s="107">
        <f t="shared" si="108"/>
        <v>0</v>
      </c>
      <c r="O509" s="107">
        <f t="shared" si="83"/>
        <v>0</v>
      </c>
      <c r="P509" s="36"/>
    </row>
    <row r="510" spans="2:16" x14ac:dyDescent="0.2">
      <c r="B510" s="461"/>
      <c r="C510" s="106">
        <v>2019</v>
      </c>
      <c r="D510" s="106"/>
      <c r="E510" s="107">
        <f t="shared" si="105"/>
        <v>81.099999999999994</v>
      </c>
      <c r="F510" s="108">
        <f t="shared" si="105"/>
        <v>11012</v>
      </c>
      <c r="G510" s="109">
        <f t="shared" si="105"/>
        <v>0</v>
      </c>
      <c r="H510" s="107">
        <f t="shared" si="105"/>
        <v>0</v>
      </c>
      <c r="I510" s="107">
        <f t="shared" si="81"/>
        <v>0</v>
      </c>
      <c r="J510" s="109">
        <f t="shared" si="107"/>
        <v>0</v>
      </c>
      <c r="K510" s="107">
        <f t="shared" si="107"/>
        <v>0</v>
      </c>
      <c r="L510" s="107">
        <f t="shared" si="82"/>
        <v>0</v>
      </c>
      <c r="M510" s="107">
        <f t="shared" si="108"/>
        <v>0</v>
      </c>
      <c r="N510" s="107">
        <f t="shared" si="108"/>
        <v>0</v>
      </c>
      <c r="O510" s="107">
        <f t="shared" si="83"/>
        <v>0</v>
      </c>
      <c r="P510" s="36"/>
    </row>
    <row r="511" spans="2:16" x14ac:dyDescent="0.2">
      <c r="B511" s="461"/>
      <c r="C511" s="106">
        <v>2021</v>
      </c>
      <c r="D511" s="106"/>
      <c r="E511" s="107">
        <f t="shared" si="105"/>
        <v>203.70999999999998</v>
      </c>
      <c r="F511" s="108">
        <f t="shared" si="105"/>
        <v>27726</v>
      </c>
      <c r="G511" s="109">
        <f t="shared" si="105"/>
        <v>2006.4</v>
      </c>
      <c r="H511" s="107">
        <f t="shared" si="105"/>
        <v>1973.9</v>
      </c>
      <c r="I511" s="107">
        <f t="shared" si="81"/>
        <v>98.380183413078157</v>
      </c>
      <c r="J511" s="109">
        <f t="shared" si="107"/>
        <v>0</v>
      </c>
      <c r="K511" s="107">
        <f t="shared" si="107"/>
        <v>0</v>
      </c>
      <c r="L511" s="107">
        <f t="shared" si="82"/>
        <v>0</v>
      </c>
      <c r="M511" s="107">
        <f t="shared" si="108"/>
        <v>0</v>
      </c>
      <c r="N511" s="107">
        <f t="shared" si="108"/>
        <v>0</v>
      </c>
      <c r="O511" s="107">
        <f t="shared" si="83"/>
        <v>0</v>
      </c>
      <c r="P511" s="36"/>
    </row>
    <row r="512" spans="2:16" x14ac:dyDescent="0.2">
      <c r="B512" s="461"/>
      <c r="C512" s="106">
        <v>2024</v>
      </c>
      <c r="D512" s="106"/>
      <c r="E512" s="107">
        <f t="shared" si="105"/>
        <v>248.70999999999995</v>
      </c>
      <c r="F512" s="108">
        <f t="shared" si="105"/>
        <v>32303</v>
      </c>
      <c r="G512" s="109">
        <f t="shared" si="105"/>
        <v>0</v>
      </c>
      <c r="H512" s="107">
        <f t="shared" si="105"/>
        <v>0</v>
      </c>
      <c r="I512" s="107">
        <f t="shared" si="81"/>
        <v>0</v>
      </c>
      <c r="J512" s="109">
        <f t="shared" si="107"/>
        <v>0</v>
      </c>
      <c r="K512" s="107">
        <f t="shared" si="107"/>
        <v>0</v>
      </c>
      <c r="L512" s="107">
        <f t="shared" si="82"/>
        <v>0</v>
      </c>
      <c r="M512" s="107">
        <f t="shared" si="108"/>
        <v>0</v>
      </c>
      <c r="N512" s="107">
        <f t="shared" si="108"/>
        <v>0</v>
      </c>
      <c r="O512" s="107">
        <f t="shared" si="83"/>
        <v>0</v>
      </c>
      <c r="P512" s="36"/>
    </row>
    <row r="513" spans="2:16" x14ac:dyDescent="0.2">
      <c r="B513" s="110"/>
      <c r="C513" s="106">
        <v>2025</v>
      </c>
      <c r="D513" s="106"/>
      <c r="E513" s="107">
        <f t="shared" si="105"/>
        <v>293.59000000000003</v>
      </c>
      <c r="F513" s="108">
        <f t="shared" si="105"/>
        <v>37953</v>
      </c>
      <c r="G513" s="109">
        <f t="shared" si="105"/>
        <v>595.20000000000005</v>
      </c>
      <c r="H513" s="107">
        <f t="shared" si="105"/>
        <v>575</v>
      </c>
      <c r="I513" s="107">
        <f t="shared" si="81"/>
        <v>96.606182795698913</v>
      </c>
      <c r="J513" s="109">
        <f t="shared" si="107"/>
        <v>0</v>
      </c>
      <c r="K513" s="107">
        <f t="shared" si="107"/>
        <v>0</v>
      </c>
      <c r="L513" s="107">
        <f t="shared" si="82"/>
        <v>0</v>
      </c>
      <c r="M513" s="107">
        <f t="shared" si="108"/>
        <v>0</v>
      </c>
      <c r="N513" s="107">
        <f t="shared" si="108"/>
        <v>0</v>
      </c>
      <c r="O513" s="107">
        <f t="shared" si="83"/>
        <v>0</v>
      </c>
      <c r="P513" s="36"/>
    </row>
    <row r="514" spans="2:16" x14ac:dyDescent="0.2">
      <c r="B514" s="111"/>
      <c r="C514" s="106">
        <v>2026</v>
      </c>
      <c r="D514" s="106"/>
      <c r="E514" s="107">
        <f t="shared" si="105"/>
        <v>239.53999999999996</v>
      </c>
      <c r="F514" s="108">
        <f t="shared" si="105"/>
        <v>32487</v>
      </c>
      <c r="G514" s="109">
        <f t="shared" si="105"/>
        <v>0</v>
      </c>
      <c r="H514" s="107">
        <f t="shared" si="105"/>
        <v>0</v>
      </c>
      <c r="I514" s="107">
        <f t="shared" si="81"/>
        <v>0</v>
      </c>
      <c r="J514" s="109">
        <f t="shared" si="107"/>
        <v>0</v>
      </c>
      <c r="K514" s="107">
        <f t="shared" si="107"/>
        <v>0</v>
      </c>
      <c r="L514" s="107">
        <f t="shared" si="82"/>
        <v>0</v>
      </c>
      <c r="M514" s="107">
        <f t="shared" si="108"/>
        <v>0</v>
      </c>
      <c r="N514" s="107">
        <f t="shared" si="108"/>
        <v>0</v>
      </c>
      <c r="O514" s="107">
        <f t="shared" si="83"/>
        <v>0</v>
      </c>
      <c r="P514" s="36"/>
    </row>
    <row r="515" spans="2:16" x14ac:dyDescent="0.2">
      <c r="B515" s="112" t="s">
        <v>599</v>
      </c>
      <c r="C515" s="113"/>
      <c r="D515" s="113"/>
      <c r="E515" s="114">
        <f>SUBTOTAL(9,E487:E514)</f>
        <v>11305.849999999999</v>
      </c>
      <c r="F515" s="115">
        <f>SUBTOTAL(9,F487:F514)</f>
        <v>1477824</v>
      </c>
      <c r="G515" s="116">
        <f>SUBTOTAL(9,G487:G514)</f>
        <v>133276.6</v>
      </c>
      <c r="H515" s="114">
        <f t="shared" ref="H515:K515" si="109">SUBTOTAL(9,H487:H514)</f>
        <v>16498.900000000001</v>
      </c>
      <c r="I515" s="114">
        <f t="shared" si="81"/>
        <v>12.379442452763652</v>
      </c>
      <c r="J515" s="116">
        <f>SUBTOTAL(9,J487:J514)</f>
        <v>47850</v>
      </c>
      <c r="K515" s="114">
        <f t="shared" si="109"/>
        <v>10150</v>
      </c>
      <c r="L515" s="114">
        <f t="shared" si="82"/>
        <v>21.212121212121211</v>
      </c>
      <c r="M515" s="114">
        <f>SUBTOTAL(9,M487:M514)</f>
        <v>19200</v>
      </c>
      <c r="N515" s="114">
        <f t="shared" ref="N515" si="110">SUBTOTAL(9,N487:N514)</f>
        <v>13500</v>
      </c>
      <c r="O515" s="114">
        <f t="shared" si="83"/>
        <v>70.3125</v>
      </c>
      <c r="P515" s="117"/>
    </row>
    <row r="516" spans="2:16" x14ac:dyDescent="0.2">
      <c r="E516" s="118">
        <f>SUM(E486,E479,E473,E466,E454,E448,E446,E444,E441,E438)</f>
        <v>11305.85</v>
      </c>
      <c r="F516" s="119">
        <f>SUM(F486,F479,F473,F466,F454,F448,F446,F444,F441,F438)</f>
        <v>1477824</v>
      </c>
      <c r="G516" s="120">
        <f>SUM(G486,G479,G473,G466,G454,G448,G446,G444,G441,G438)</f>
        <v>133276.6</v>
      </c>
      <c r="H516" s="118">
        <f t="shared" ref="H516" si="111">SUM(H486,H479,H473,H466,H454,H448,H446,H444,H441,H438)</f>
        <v>16498.900000000001</v>
      </c>
      <c r="I516" s="118"/>
      <c r="J516" s="120">
        <f t="shared" ref="J516:K516" si="112">SUM(J486,J479,J473,J466,J454,J448,J446,J444,J441,J438)</f>
        <v>47850</v>
      </c>
      <c r="K516" s="118">
        <f t="shared" si="112"/>
        <v>10150</v>
      </c>
      <c r="L516" s="118"/>
      <c r="M516" s="118">
        <f t="shared" ref="M516:N516" si="113">SUM(M486,M479,M473,M466,M454,M448,M446,M444,M441,M438)</f>
        <v>19200</v>
      </c>
      <c r="N516" s="118">
        <f t="shared" si="113"/>
        <v>13500</v>
      </c>
      <c r="O516" s="118"/>
    </row>
    <row r="517" spans="2:16" x14ac:dyDescent="0.2">
      <c r="G517" s="121">
        <f>G515-G516</f>
        <v>0</v>
      </c>
      <c r="H517" s="121">
        <f t="shared" ref="H517:K517" si="114">H515-H516</f>
        <v>0</v>
      </c>
      <c r="I517" s="121"/>
      <c r="J517" s="120">
        <f>J515-J516</f>
        <v>0</v>
      </c>
      <c r="K517" s="121">
        <f t="shared" si="114"/>
        <v>0</v>
      </c>
      <c r="L517" s="121"/>
      <c r="M517" s="121">
        <f>M515-M516</f>
        <v>0</v>
      </c>
      <c r="N517" s="121">
        <f t="shared" ref="N517" si="115">N515-N516</f>
        <v>0</v>
      </c>
      <c r="O517" s="121"/>
    </row>
  </sheetData>
  <mergeCells count="15">
    <mergeCell ref="C346:D346"/>
    <mergeCell ref="B431:D431"/>
    <mergeCell ref="B487:B512"/>
    <mergeCell ref="P6:P8"/>
    <mergeCell ref="G7:I7"/>
    <mergeCell ref="J7:L7"/>
    <mergeCell ref="M7:O7"/>
    <mergeCell ref="C54:D54"/>
    <mergeCell ref="C93:D93"/>
    <mergeCell ref="B6:B8"/>
    <mergeCell ref="C6:C8"/>
    <mergeCell ref="D6:D8"/>
    <mergeCell ref="E6:E8"/>
    <mergeCell ref="F6:F8"/>
    <mergeCell ref="G6:O6"/>
  </mergeCells>
  <conditionalFormatting sqref="C487:O514">
    <cfRule type="containsBlanks" dxfId="0" priority="1">
      <formula>LEN(TRIM(C487))=0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REKAP SNS UPDKS</vt:lpstr>
      <vt:lpstr>REKAP ESTATE UPDKS</vt:lpstr>
      <vt:lpstr>REKAP PENGENDALIAN HAMA UPDKS</vt:lpstr>
      <vt:lpstr>REKAP SNS TIKUS</vt:lpstr>
      <vt:lpstr>REKAP ESTATE TIKUS</vt:lpstr>
      <vt:lpstr>KUMBANG</vt:lpstr>
      <vt:lpstr>REKAP PENGENDALIAN TIKUS</vt:lpstr>
      <vt:lpstr>REKAP SNS KBH</vt:lpstr>
      <vt:lpstr>REKAP KBH</vt:lpstr>
      <vt:lpstr>SNSS ORYCTES</vt:lpstr>
      <vt:lpstr>REKAP ESTATE ORYCTES</vt:lpstr>
      <vt:lpstr>BENEFICIAL PLANT </vt:lpstr>
      <vt:lpstr>SNSS RAYAP</vt:lpstr>
      <vt:lpstr>SNS GANODERMA</vt:lpstr>
      <vt:lpstr>SENSUS KBH</vt:lpstr>
      <vt:lpstr>REALISASI BENEFICIAL PLANT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Agus Widanarko</cp:lastModifiedBy>
  <dcterms:created xsi:type="dcterms:W3CDTF">2026-05-04T09:22:20Z</dcterms:created>
  <dcterms:modified xsi:type="dcterms:W3CDTF">2026-08-23T20:28:51Z</dcterms:modified>
</cp:coreProperties>
</file>